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Siming Shen\Desktop\DSP分布图\"/>
    </mc:Choice>
  </mc:AlternateContent>
  <xr:revisionPtr revIDLastSave="0" documentId="13_ncr:1_{914433E2-EE0B-457D-9A1C-F2E9E407972E}" xr6:coauthVersionLast="47" xr6:coauthVersionMax="47" xr10:uidLastSave="{00000000-0000-0000-0000-000000000000}"/>
  <bookViews>
    <workbookView xWindow="-110" yWindow="-110" windowWidth="19420" windowHeight="11620" xr2:uid="{752BAC88-3D22-6345-9E5D-6A586CA68B77}"/>
  </bookViews>
  <sheets>
    <sheet name="by_zipcode" sheetId="11" r:id="rId1"/>
    <sheet name="转单情况" sheetId="4" r:id="rId2"/>
    <sheet name="YW邮编覆盖" sheetId="10" r:id="rId3"/>
    <sheet name="SWFTX邮编覆盖" sheetId="9" r:id="rId4"/>
    <sheet name="单量概况" sheetId="8" r:id="rId5"/>
    <sheet name="全量" sheetId="3" r:id="rId6"/>
    <sheet name="AE" sheetId="7" r:id="rId7"/>
    <sheet name="线路DSP对应" sheetId="12" r:id="rId8"/>
  </sheets>
  <definedNames>
    <definedName name="_xlnm._FilterDatabase" localSheetId="0" hidden="1">by_zipcode!$A$1:$J$1304</definedName>
    <definedName name="_xlnm._FilterDatabase" localSheetId="1" hidden="1">转单情况!$A$1:$B$1137</definedName>
  </definedName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85" i="11" l="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8" i="11"/>
  <c r="C379" i="11"/>
  <c r="C380" i="11"/>
  <c r="C381" i="11"/>
  <c r="C382" i="11"/>
  <c r="C383" i="11"/>
  <c r="C384" i="11"/>
  <c r="C385" i="11"/>
  <c r="C386" i="11"/>
  <c r="C387" i="11"/>
  <c r="C388" i="11"/>
  <c r="C389" i="11"/>
  <c r="C390" i="11"/>
  <c r="C391" i="11"/>
  <c r="C392" i="11"/>
  <c r="C393" i="11"/>
  <c r="C394" i="11"/>
  <c r="C395" i="11"/>
  <c r="C396" i="11"/>
  <c r="C397" i="11"/>
  <c r="C398" i="11"/>
  <c r="C399" i="11"/>
  <c r="C400" i="11"/>
  <c r="C401" i="11"/>
  <c r="C402" i="11"/>
  <c r="C403" i="11"/>
  <c r="C404" i="11"/>
  <c r="C405" i="11"/>
  <c r="C406" i="11"/>
  <c r="C407" i="11"/>
  <c r="C408" i="11"/>
  <c r="C409" i="11"/>
  <c r="C410" i="11"/>
  <c r="C411" i="11"/>
  <c r="C412" i="11"/>
  <c r="C413" i="11"/>
  <c r="C414" i="11"/>
  <c r="C415" i="11"/>
  <c r="C416" i="11"/>
  <c r="C417" i="11"/>
  <c r="C418" i="11"/>
  <c r="C419" i="11"/>
  <c r="C420" i="11"/>
  <c r="C421" i="11"/>
  <c r="C422" i="11"/>
  <c r="C423" i="11"/>
  <c r="C424" i="11"/>
  <c r="C425" i="11"/>
  <c r="C426" i="11"/>
  <c r="C427" i="11"/>
  <c r="C428" i="11"/>
  <c r="C429" i="11"/>
  <c r="C430" i="11"/>
  <c r="C431" i="11"/>
  <c r="C432" i="11"/>
  <c r="C433" i="11"/>
  <c r="C434" i="11"/>
  <c r="C435" i="11"/>
  <c r="C436" i="11"/>
  <c r="C437" i="11"/>
  <c r="C438" i="11"/>
  <c r="C439" i="11"/>
  <c r="C440" i="11"/>
  <c r="C441" i="11"/>
  <c r="C442" i="11"/>
  <c r="C443" i="11"/>
  <c r="C444" i="11"/>
  <c r="C445" i="11"/>
  <c r="C446" i="11"/>
  <c r="C447" i="11"/>
  <c r="C448" i="11"/>
  <c r="C449" i="11"/>
  <c r="C450" i="11"/>
  <c r="C451" i="11"/>
  <c r="C452" i="11"/>
  <c r="C453" i="11"/>
  <c r="C454" i="11"/>
  <c r="C455" i="11"/>
  <c r="C456" i="11"/>
  <c r="C457" i="11"/>
  <c r="C458" i="11"/>
  <c r="C459" i="11"/>
  <c r="C460" i="11"/>
  <c r="C461" i="11"/>
  <c r="C462" i="11"/>
  <c r="C463" i="11"/>
  <c r="C464" i="11"/>
  <c r="C465" i="11"/>
  <c r="C466" i="11"/>
  <c r="C467" i="11"/>
  <c r="C468" i="11"/>
  <c r="C469" i="11"/>
  <c r="C470" i="11"/>
  <c r="C471" i="11"/>
  <c r="C472" i="11"/>
  <c r="C473" i="11"/>
  <c r="C474" i="11"/>
  <c r="C475" i="11"/>
  <c r="C476" i="11"/>
  <c r="C477" i="11"/>
  <c r="C478" i="11"/>
  <c r="C479" i="11"/>
  <c r="C480" i="11"/>
  <c r="C481" i="11"/>
  <c r="C482" i="11"/>
  <c r="C483" i="11"/>
  <c r="C484" i="11"/>
  <c r="C485" i="11"/>
  <c r="C486" i="11"/>
  <c r="C487" i="11"/>
  <c r="C488" i="11"/>
  <c r="C489" i="11"/>
  <c r="C490" i="11"/>
  <c r="C491" i="11"/>
  <c r="C492" i="11"/>
  <c r="C493" i="11"/>
  <c r="C494" i="11"/>
  <c r="C495" i="11"/>
  <c r="C496" i="11"/>
  <c r="C497" i="11"/>
  <c r="C498" i="11"/>
  <c r="C499" i="11"/>
  <c r="C500" i="11"/>
  <c r="C501" i="11"/>
  <c r="C502" i="11"/>
  <c r="C503" i="11"/>
  <c r="C504" i="11"/>
  <c r="C505" i="11"/>
  <c r="C506" i="11"/>
  <c r="C507" i="11"/>
  <c r="C508" i="11"/>
  <c r="C509" i="11"/>
  <c r="C510" i="11"/>
  <c r="C511" i="11"/>
  <c r="C512" i="11"/>
  <c r="C513" i="11"/>
  <c r="C514" i="11"/>
  <c r="C515" i="11"/>
  <c r="C516" i="11"/>
  <c r="C517" i="11"/>
  <c r="C518" i="11"/>
  <c r="C519" i="11"/>
  <c r="C520" i="11"/>
  <c r="C521" i="11"/>
  <c r="C522" i="11"/>
  <c r="C523" i="11"/>
  <c r="C524" i="11"/>
  <c r="C525" i="11"/>
  <c r="C526" i="11"/>
  <c r="C527" i="11"/>
  <c r="C528" i="11"/>
  <c r="C529" i="11"/>
  <c r="C530" i="11"/>
  <c r="C531" i="11"/>
  <c r="C532" i="11"/>
  <c r="C533" i="11"/>
  <c r="C534" i="11"/>
  <c r="C535" i="11"/>
  <c r="C536" i="11"/>
  <c r="C537" i="11"/>
  <c r="C538" i="11"/>
  <c r="C539" i="11"/>
  <c r="C540" i="11"/>
  <c r="C541" i="11"/>
  <c r="C542" i="11"/>
  <c r="C543" i="11"/>
  <c r="C544" i="11"/>
  <c r="C545" i="11"/>
  <c r="C546" i="11"/>
  <c r="C547" i="11"/>
  <c r="C548" i="11"/>
  <c r="C549" i="11"/>
  <c r="C550" i="11"/>
  <c r="C551" i="11"/>
  <c r="C552" i="11"/>
  <c r="C553" i="11"/>
  <c r="C554" i="11"/>
  <c r="C555" i="11"/>
  <c r="C556" i="11"/>
  <c r="C557" i="11"/>
  <c r="C558" i="11"/>
  <c r="C559" i="11"/>
  <c r="C560" i="11"/>
  <c r="C561" i="11"/>
  <c r="C562" i="11"/>
  <c r="C563" i="11"/>
  <c r="C564" i="11"/>
  <c r="C565" i="11"/>
  <c r="C566" i="11"/>
  <c r="C567" i="11"/>
  <c r="C568" i="11"/>
  <c r="C569" i="11"/>
  <c r="C570" i="11"/>
  <c r="C571" i="11"/>
  <c r="C572" i="11"/>
  <c r="C573" i="11"/>
  <c r="C574" i="11"/>
  <c r="C575" i="11"/>
  <c r="C576" i="11"/>
  <c r="C577" i="11"/>
  <c r="C578" i="11"/>
  <c r="C579" i="11"/>
  <c r="C580" i="11"/>
  <c r="C581" i="11"/>
  <c r="C582" i="11"/>
  <c r="C583" i="11"/>
  <c r="C584" i="11"/>
  <c r="C585" i="11"/>
  <c r="C586" i="11"/>
  <c r="C587" i="11"/>
  <c r="C588" i="11"/>
  <c r="C589" i="11"/>
  <c r="C590" i="11"/>
  <c r="C591" i="11"/>
  <c r="C592" i="11"/>
  <c r="C593" i="11"/>
  <c r="C594" i="11"/>
  <c r="C595" i="11"/>
  <c r="C596" i="11"/>
  <c r="C597" i="11"/>
  <c r="C598" i="11"/>
  <c r="C599" i="11"/>
  <c r="C600" i="11"/>
  <c r="C601" i="11"/>
  <c r="C602" i="11"/>
  <c r="C603" i="11"/>
  <c r="C604" i="11"/>
  <c r="C605" i="11"/>
  <c r="C606" i="11"/>
  <c r="C607" i="11"/>
  <c r="C608" i="11"/>
  <c r="C609" i="11"/>
  <c r="C610" i="11"/>
  <c r="C611" i="11"/>
  <c r="C612" i="11"/>
  <c r="C613" i="11"/>
  <c r="C614" i="11"/>
  <c r="C615" i="11"/>
  <c r="C616" i="11"/>
  <c r="C617" i="11"/>
  <c r="C618" i="11"/>
  <c r="C619" i="11"/>
  <c r="C620" i="11"/>
  <c r="C621" i="11"/>
  <c r="C622" i="11"/>
  <c r="C623" i="11"/>
  <c r="C624" i="11"/>
  <c r="C625" i="11"/>
  <c r="C626" i="11"/>
  <c r="C627" i="11"/>
  <c r="C628" i="11"/>
  <c r="C629" i="11"/>
  <c r="C630" i="11"/>
  <c r="C631" i="11"/>
  <c r="C632" i="11"/>
  <c r="C633" i="11"/>
  <c r="C634" i="11"/>
  <c r="C635" i="11"/>
  <c r="C636" i="11"/>
  <c r="C637" i="11"/>
  <c r="C638" i="11"/>
  <c r="C639" i="11"/>
  <c r="C640" i="11"/>
  <c r="C641" i="11"/>
  <c r="C642" i="11"/>
  <c r="C643" i="11"/>
  <c r="C644" i="11"/>
  <c r="C645" i="11"/>
  <c r="C646" i="11"/>
  <c r="C647" i="11"/>
  <c r="C648" i="11"/>
  <c r="C649" i="11"/>
  <c r="C650" i="11"/>
  <c r="C651" i="11"/>
  <c r="C652" i="11"/>
  <c r="C653" i="11"/>
  <c r="C654" i="11"/>
  <c r="C655" i="11"/>
  <c r="C656" i="11"/>
  <c r="C657" i="11"/>
  <c r="C658" i="11"/>
  <c r="C659" i="11"/>
  <c r="C660" i="11"/>
  <c r="C661" i="11"/>
  <c r="C662" i="11"/>
  <c r="C663" i="11"/>
  <c r="C664" i="11"/>
  <c r="C665" i="11"/>
  <c r="C666" i="11"/>
  <c r="C667" i="11"/>
  <c r="C668" i="11"/>
  <c r="C669" i="11"/>
  <c r="C670" i="11"/>
  <c r="C671" i="11"/>
  <c r="C672" i="11"/>
  <c r="C673" i="11"/>
  <c r="C674" i="11"/>
  <c r="C675" i="11"/>
  <c r="C676" i="11"/>
  <c r="C677" i="11"/>
  <c r="C678" i="11"/>
  <c r="C679" i="11"/>
  <c r="C680" i="11"/>
  <c r="C681" i="11"/>
  <c r="C682" i="11"/>
  <c r="C683" i="11"/>
  <c r="C684" i="11"/>
  <c r="C685" i="11"/>
  <c r="C686" i="11"/>
  <c r="C687" i="11"/>
  <c r="C688" i="11"/>
  <c r="C689" i="11"/>
  <c r="C690" i="11"/>
  <c r="C691" i="11"/>
  <c r="C692" i="11"/>
  <c r="C693" i="11"/>
  <c r="C694" i="11"/>
  <c r="C695" i="11"/>
  <c r="C696" i="11"/>
  <c r="C697" i="11"/>
  <c r="C698" i="11"/>
  <c r="C699" i="11"/>
  <c r="C700" i="11"/>
  <c r="C701" i="11"/>
  <c r="C702" i="11"/>
  <c r="C703" i="11"/>
  <c r="C704" i="11"/>
  <c r="C705" i="11"/>
  <c r="C706" i="11"/>
  <c r="C707" i="11"/>
  <c r="C708" i="11"/>
  <c r="C709" i="11"/>
  <c r="C710" i="11"/>
  <c r="C711" i="11"/>
  <c r="C712" i="11"/>
  <c r="C713" i="11"/>
  <c r="C714" i="11"/>
  <c r="C715" i="11"/>
  <c r="C716" i="11"/>
  <c r="C717" i="11"/>
  <c r="C718" i="11"/>
  <c r="C719" i="11"/>
  <c r="C720" i="11"/>
  <c r="C721" i="11"/>
  <c r="C722" i="11"/>
  <c r="C723" i="11"/>
  <c r="C724" i="11"/>
  <c r="C725" i="11"/>
  <c r="C726" i="11"/>
  <c r="C727" i="11"/>
  <c r="C728" i="11"/>
  <c r="C729" i="11"/>
  <c r="C730" i="11"/>
  <c r="C731" i="11"/>
  <c r="C732" i="11"/>
  <c r="C733" i="11"/>
  <c r="C734" i="11"/>
  <c r="C735" i="11"/>
  <c r="C736" i="11"/>
  <c r="C737" i="11"/>
  <c r="C738" i="11"/>
  <c r="C739" i="11"/>
  <c r="C740" i="11"/>
  <c r="C741" i="11"/>
  <c r="C742" i="11"/>
  <c r="C743" i="11"/>
  <c r="C744" i="11"/>
  <c r="C745" i="11"/>
  <c r="C746" i="11"/>
  <c r="C747" i="11"/>
  <c r="C748" i="11"/>
  <c r="C749" i="11"/>
  <c r="C750" i="11"/>
  <c r="C751" i="11"/>
  <c r="C752" i="11"/>
  <c r="C753" i="11"/>
  <c r="C754" i="11"/>
  <c r="C755" i="11"/>
  <c r="C756" i="11"/>
  <c r="C757" i="11"/>
  <c r="C758" i="11"/>
  <c r="C759" i="11"/>
  <c r="C760" i="11"/>
  <c r="C761" i="11"/>
  <c r="C762" i="11"/>
  <c r="C763" i="11"/>
  <c r="C764" i="11"/>
  <c r="C765" i="11"/>
  <c r="C766" i="11"/>
  <c r="C767" i="11"/>
  <c r="C768" i="11"/>
  <c r="C769" i="11"/>
  <c r="C770" i="11"/>
  <c r="C771" i="11"/>
  <c r="C772" i="11"/>
  <c r="C773" i="11"/>
  <c r="C774" i="11"/>
  <c r="C775" i="11"/>
  <c r="C776" i="11"/>
  <c r="C777" i="11"/>
  <c r="C778" i="11"/>
  <c r="C779" i="11"/>
  <c r="C780" i="11"/>
  <c r="C781" i="11"/>
  <c r="C782" i="11"/>
  <c r="C783" i="11"/>
  <c r="C784" i="11"/>
  <c r="C785" i="11"/>
  <c r="C786" i="11"/>
  <c r="C787" i="11"/>
  <c r="C788" i="11"/>
  <c r="C789" i="11"/>
  <c r="C790" i="11"/>
  <c r="C791" i="11"/>
  <c r="C792" i="11"/>
  <c r="C793" i="11"/>
  <c r="C794" i="11"/>
  <c r="C795" i="11"/>
  <c r="C796" i="11"/>
  <c r="C797" i="11"/>
  <c r="C798" i="11"/>
  <c r="C799" i="11"/>
  <c r="C800" i="11"/>
  <c r="C801" i="11"/>
  <c r="C802" i="11"/>
  <c r="C803" i="11"/>
  <c r="C804" i="11"/>
  <c r="C805" i="11"/>
  <c r="C806" i="11"/>
  <c r="C807" i="11"/>
  <c r="C808" i="11"/>
  <c r="C809" i="11"/>
  <c r="C810" i="11"/>
  <c r="C811" i="11"/>
  <c r="C812" i="11"/>
  <c r="C813" i="11"/>
  <c r="C814" i="11"/>
  <c r="C815" i="11"/>
  <c r="C816" i="11"/>
  <c r="C817" i="11"/>
  <c r="C818" i="11"/>
  <c r="C819" i="11"/>
  <c r="C820" i="11"/>
  <c r="C821" i="11"/>
  <c r="C822" i="11"/>
  <c r="C823" i="11"/>
  <c r="C824" i="11"/>
  <c r="C825" i="11"/>
  <c r="C826" i="11"/>
  <c r="C827" i="11"/>
  <c r="C828" i="11"/>
  <c r="C829" i="11"/>
  <c r="C830" i="11"/>
  <c r="C831" i="11"/>
  <c r="C832" i="11"/>
  <c r="C833" i="11"/>
  <c r="C834" i="11"/>
  <c r="C835" i="11"/>
  <c r="C836" i="11"/>
  <c r="C837" i="11"/>
  <c r="C838" i="11"/>
  <c r="C839" i="11"/>
  <c r="C840" i="11"/>
  <c r="C841" i="11"/>
  <c r="C842" i="11"/>
  <c r="C843" i="11"/>
  <c r="C844" i="11"/>
  <c r="C845" i="11"/>
  <c r="C846" i="11"/>
  <c r="C847" i="11"/>
  <c r="C848" i="11"/>
  <c r="C849" i="11"/>
  <c r="C850" i="11"/>
  <c r="C851" i="11"/>
  <c r="C852" i="11"/>
  <c r="C853" i="11"/>
  <c r="C854" i="11"/>
  <c r="C855" i="11"/>
  <c r="C856" i="11"/>
  <c r="C857" i="11"/>
  <c r="C858" i="11"/>
  <c r="C859" i="11"/>
  <c r="C860" i="11"/>
  <c r="C861" i="11"/>
  <c r="C862" i="11"/>
  <c r="C863" i="11"/>
  <c r="C864" i="11"/>
  <c r="C865" i="11"/>
  <c r="C866" i="11"/>
  <c r="C867" i="11"/>
  <c r="C868" i="11"/>
  <c r="C869" i="11"/>
  <c r="C870" i="11"/>
  <c r="C871" i="11"/>
  <c r="C872" i="11"/>
  <c r="C873" i="11"/>
  <c r="C874" i="11"/>
  <c r="C875" i="11"/>
  <c r="C876" i="11"/>
  <c r="C877" i="11"/>
  <c r="C878" i="11"/>
  <c r="C879" i="11"/>
  <c r="C880" i="11"/>
  <c r="C881" i="11"/>
  <c r="C882" i="11"/>
  <c r="C883" i="11"/>
  <c r="C884" i="11"/>
  <c r="C885" i="11"/>
  <c r="C886" i="11"/>
  <c r="C887" i="11"/>
  <c r="C888" i="11"/>
  <c r="C889" i="11"/>
  <c r="C890" i="11"/>
  <c r="C891" i="11"/>
  <c r="C892" i="11"/>
  <c r="C893" i="11"/>
  <c r="C894" i="11"/>
  <c r="C895" i="11"/>
  <c r="C896" i="11"/>
  <c r="C897" i="11"/>
  <c r="C898" i="11"/>
  <c r="C899" i="11"/>
  <c r="C900" i="11"/>
  <c r="C901" i="11"/>
  <c r="C902" i="11"/>
  <c r="C903" i="11"/>
  <c r="C904" i="11"/>
  <c r="C905" i="11"/>
  <c r="C906" i="11"/>
  <c r="C907" i="11"/>
  <c r="C908" i="11"/>
  <c r="C909" i="11"/>
  <c r="C910" i="11"/>
  <c r="C911" i="11"/>
  <c r="C912" i="11"/>
  <c r="C913" i="11"/>
  <c r="C914" i="11"/>
  <c r="C915" i="11"/>
  <c r="C916" i="11"/>
  <c r="C917" i="11"/>
  <c r="C918" i="11"/>
  <c r="C919" i="11"/>
  <c r="C920" i="11"/>
  <c r="C921" i="11"/>
  <c r="C922" i="11"/>
  <c r="C923" i="11"/>
  <c r="C924" i="11"/>
  <c r="C925" i="11"/>
  <c r="C926" i="11"/>
  <c r="C927" i="11"/>
  <c r="C928" i="11"/>
  <c r="C929" i="11"/>
  <c r="C930" i="11"/>
  <c r="C931" i="11"/>
  <c r="C932" i="11"/>
  <c r="C933" i="11"/>
  <c r="C934" i="11"/>
  <c r="C935" i="11"/>
  <c r="C936" i="11"/>
  <c r="C937" i="11"/>
  <c r="C938" i="11"/>
  <c r="C939" i="11"/>
  <c r="C940" i="11"/>
  <c r="C941" i="11"/>
  <c r="C942" i="11"/>
  <c r="C943" i="11"/>
  <c r="C944" i="11"/>
  <c r="C945" i="11"/>
  <c r="C946" i="11"/>
  <c r="C947" i="11"/>
  <c r="C948" i="11"/>
  <c r="C949" i="11"/>
  <c r="C950" i="11"/>
  <c r="C951" i="11"/>
  <c r="C952" i="11"/>
  <c r="C953" i="11"/>
  <c r="C954" i="11"/>
  <c r="C955" i="11"/>
  <c r="C956" i="11"/>
  <c r="C957" i="11"/>
  <c r="C958" i="11"/>
  <c r="C959" i="11"/>
  <c r="C960" i="11"/>
  <c r="C961" i="11"/>
  <c r="C962" i="11"/>
  <c r="C963" i="11"/>
  <c r="C964" i="11"/>
  <c r="C965" i="11"/>
  <c r="C966" i="11"/>
  <c r="C967" i="11"/>
  <c r="C968" i="11"/>
  <c r="C969" i="11"/>
  <c r="C970" i="11"/>
  <c r="C971" i="11"/>
  <c r="C972" i="11"/>
  <c r="C973" i="11"/>
  <c r="C974" i="11"/>
  <c r="C975" i="11"/>
  <c r="C976" i="11"/>
  <c r="C977" i="11"/>
  <c r="C978" i="11"/>
  <c r="C979" i="11"/>
  <c r="C980" i="11"/>
  <c r="C981" i="11"/>
  <c r="C982" i="11"/>
  <c r="C983" i="11"/>
  <c r="C984" i="11"/>
  <c r="C985" i="11"/>
  <c r="C986" i="11"/>
  <c r="C987" i="11"/>
  <c r="C988" i="11"/>
  <c r="C989" i="11"/>
  <c r="C990" i="11"/>
  <c r="C991" i="11"/>
  <c r="C992" i="11"/>
  <c r="C993" i="11"/>
  <c r="C994" i="11"/>
  <c r="C995" i="11"/>
  <c r="C996" i="11"/>
  <c r="C997" i="11"/>
  <c r="C998" i="11"/>
  <c r="C999" i="11"/>
  <c r="C1000" i="11"/>
  <c r="C1001" i="11"/>
  <c r="C1002" i="11"/>
  <c r="C1003" i="11"/>
  <c r="C1004" i="11"/>
  <c r="C1005" i="11"/>
  <c r="C1006" i="11"/>
  <c r="C1007" i="11"/>
  <c r="C1008" i="11"/>
  <c r="C1009" i="11"/>
  <c r="C1010" i="11"/>
  <c r="C1011" i="11"/>
  <c r="C1012" i="11"/>
  <c r="C1013" i="11"/>
  <c r="C1014" i="11"/>
  <c r="C1015" i="11"/>
  <c r="C1016" i="11"/>
  <c r="C1017" i="11"/>
  <c r="C1018" i="11"/>
  <c r="C1019" i="11"/>
  <c r="C1020" i="11"/>
  <c r="C1021" i="11"/>
  <c r="C1022" i="11"/>
  <c r="C1023" i="11"/>
  <c r="C1024" i="11"/>
  <c r="C1025" i="11"/>
  <c r="C1026" i="11"/>
  <c r="C1027" i="11"/>
  <c r="C1028" i="11"/>
  <c r="C1029" i="11"/>
  <c r="C1030" i="11"/>
  <c r="C1031" i="11"/>
  <c r="C1032" i="11"/>
  <c r="C1033" i="11"/>
  <c r="C1034" i="11"/>
  <c r="C1035" i="11"/>
  <c r="C1036" i="11"/>
  <c r="C1037" i="11"/>
  <c r="C1038" i="11"/>
  <c r="C1039" i="11"/>
  <c r="C1040" i="11"/>
  <c r="C1041" i="11"/>
  <c r="C1042" i="11"/>
  <c r="C1043" i="11"/>
  <c r="C1044" i="11"/>
  <c r="C1045" i="11"/>
  <c r="C1046" i="11"/>
  <c r="C1047" i="11"/>
  <c r="C1048" i="11"/>
  <c r="C1049" i="11"/>
  <c r="C1050" i="11"/>
  <c r="C1051" i="11"/>
  <c r="C1052" i="11"/>
  <c r="C1053" i="11"/>
  <c r="C1054" i="11"/>
  <c r="C1055" i="11"/>
  <c r="C1056" i="11"/>
  <c r="C1057" i="11"/>
  <c r="C1058" i="11"/>
  <c r="C1059" i="11"/>
  <c r="C1060" i="11"/>
  <c r="C1061" i="11"/>
  <c r="C1062" i="11"/>
  <c r="C1063" i="11"/>
  <c r="C1064" i="11"/>
  <c r="C1065" i="11"/>
  <c r="C1066" i="11"/>
  <c r="C1067" i="11"/>
  <c r="C1068" i="11"/>
  <c r="C1069" i="11"/>
  <c r="C1070" i="11"/>
  <c r="C1071" i="11"/>
  <c r="C1072" i="11"/>
  <c r="C1073" i="11"/>
  <c r="C1074" i="11"/>
  <c r="C1075" i="11"/>
  <c r="C1076" i="11"/>
  <c r="C1077" i="11"/>
  <c r="C1078" i="11"/>
  <c r="C1079" i="11"/>
  <c r="C1080" i="11"/>
  <c r="C1081" i="11"/>
  <c r="C1082" i="11"/>
  <c r="C1083" i="11"/>
  <c r="C1084" i="11"/>
  <c r="C1085" i="11"/>
  <c r="C1086" i="11"/>
  <c r="C1087" i="11"/>
  <c r="C1088" i="11"/>
  <c r="C1089" i="11"/>
  <c r="C1090" i="11"/>
  <c r="C1091" i="11"/>
  <c r="C1092" i="11"/>
  <c r="C1093" i="11"/>
  <c r="C1094" i="11"/>
  <c r="C1095" i="11"/>
  <c r="C1096" i="11"/>
  <c r="C1097" i="11"/>
  <c r="C1098" i="11"/>
  <c r="C1099" i="11"/>
  <c r="C1100" i="11"/>
  <c r="C1101" i="11"/>
  <c r="C1102" i="11"/>
  <c r="C1103" i="11"/>
  <c r="C1104" i="11"/>
  <c r="C1105" i="11"/>
  <c r="C1106" i="11"/>
  <c r="C1107" i="11"/>
  <c r="C1108" i="11"/>
  <c r="C1109" i="11"/>
  <c r="C1110" i="11"/>
  <c r="C1111" i="11"/>
  <c r="C1112" i="11"/>
  <c r="C1113" i="11"/>
  <c r="C1114" i="11"/>
  <c r="C1115" i="11"/>
  <c r="C1116" i="11"/>
  <c r="C1117" i="11"/>
  <c r="C1118" i="11"/>
  <c r="C1119" i="11"/>
  <c r="C1120" i="11"/>
  <c r="C1121" i="11"/>
  <c r="C1122" i="11"/>
  <c r="C1123" i="11"/>
  <c r="C1124" i="11"/>
  <c r="C1125" i="11"/>
  <c r="C1126" i="11"/>
  <c r="C1127" i="11"/>
  <c r="C1128" i="11"/>
  <c r="C1129" i="11"/>
  <c r="C1130" i="11"/>
  <c r="C1131" i="11"/>
  <c r="C1132" i="11"/>
  <c r="C1133" i="11"/>
  <c r="C1134" i="11"/>
  <c r="C1135" i="11"/>
  <c r="C1136" i="11"/>
  <c r="C1137" i="11"/>
  <c r="C1138" i="11"/>
  <c r="C1139" i="11"/>
  <c r="C1140" i="11"/>
  <c r="C1141" i="11"/>
  <c r="C1142" i="11"/>
  <c r="C1143" i="11"/>
  <c r="C1144" i="11"/>
  <c r="C1145" i="11"/>
  <c r="C1146" i="11"/>
  <c r="C1147" i="11"/>
  <c r="C1148" i="11"/>
  <c r="C1149" i="11"/>
  <c r="C1150" i="11"/>
  <c r="C1151" i="11"/>
  <c r="C1152" i="11"/>
  <c r="C1153" i="11"/>
  <c r="C1154" i="11"/>
  <c r="C1155" i="11"/>
  <c r="C1156" i="11"/>
  <c r="C1157" i="11"/>
  <c r="C1158" i="11"/>
  <c r="C1159" i="11"/>
  <c r="C1160" i="11"/>
  <c r="C1161" i="11"/>
  <c r="C1162" i="11"/>
  <c r="C1163" i="11"/>
  <c r="C1164" i="11"/>
  <c r="C1165" i="11"/>
  <c r="C1166" i="11"/>
  <c r="C1167" i="11"/>
  <c r="C1168" i="11"/>
  <c r="C1169" i="11"/>
  <c r="C1170" i="11"/>
  <c r="C1171" i="11"/>
  <c r="C1172" i="11"/>
  <c r="C1173" i="11"/>
  <c r="C1174" i="11"/>
  <c r="C1175" i="11"/>
  <c r="C1176" i="11"/>
  <c r="C1177" i="11"/>
  <c r="C1178" i="11"/>
  <c r="C1179" i="11"/>
  <c r="C1180" i="11"/>
  <c r="C1181" i="11"/>
  <c r="C1182" i="11"/>
  <c r="C1183" i="11"/>
  <c r="C1184" i="11"/>
  <c r="C1185" i="11"/>
  <c r="C1186" i="11"/>
  <c r="C1187" i="11"/>
  <c r="C1188" i="11"/>
  <c r="C1189" i="11"/>
  <c r="C1190" i="11"/>
  <c r="C1191" i="11"/>
  <c r="C1192" i="11"/>
  <c r="C1193" i="11"/>
  <c r="C1194" i="11"/>
  <c r="C1195" i="11"/>
  <c r="C1196" i="11"/>
  <c r="C1197" i="11"/>
  <c r="C1198" i="11"/>
  <c r="C1199" i="11"/>
  <c r="C1200" i="11"/>
  <c r="C1201" i="11"/>
  <c r="C1202" i="11"/>
  <c r="C1203" i="11"/>
  <c r="C1204" i="11"/>
  <c r="C1205" i="11"/>
  <c r="C1206" i="11"/>
  <c r="C1207" i="11"/>
  <c r="C1208" i="11"/>
  <c r="C1209" i="11"/>
  <c r="C1210" i="11"/>
  <c r="C1211" i="11"/>
  <c r="C1212" i="11"/>
  <c r="C1213" i="11"/>
  <c r="C1214" i="11"/>
  <c r="C1215" i="11"/>
  <c r="C1216" i="11"/>
  <c r="C1217" i="11"/>
  <c r="C1218" i="11"/>
  <c r="C1219" i="11"/>
  <c r="C1220" i="11"/>
  <c r="C1221" i="11"/>
  <c r="C1222" i="11"/>
  <c r="C1223" i="11"/>
  <c r="C1224" i="11"/>
  <c r="C1225" i="11"/>
  <c r="C1226" i="11"/>
  <c r="C1227" i="11"/>
  <c r="C1228" i="11"/>
  <c r="C1229" i="11"/>
  <c r="C1230" i="11"/>
  <c r="C1231" i="11"/>
  <c r="C1232" i="11"/>
  <c r="C1233" i="11"/>
  <c r="C1234" i="11"/>
  <c r="C1235" i="11"/>
  <c r="C1236" i="11"/>
  <c r="C1237" i="11"/>
  <c r="C1238" i="11"/>
  <c r="C1239" i="11"/>
  <c r="C1240" i="11"/>
  <c r="C1241" i="11"/>
  <c r="C1242" i="11"/>
  <c r="C1243" i="11"/>
  <c r="C1244" i="11"/>
  <c r="C1245" i="11"/>
  <c r="C1246" i="11"/>
  <c r="C1247" i="11"/>
  <c r="C1248" i="11"/>
  <c r="C1249" i="11"/>
  <c r="C1250" i="11"/>
  <c r="C1251" i="11"/>
  <c r="C1252" i="11"/>
  <c r="C1253" i="11"/>
  <c r="C1254" i="11"/>
  <c r="C1255" i="11"/>
  <c r="C1256" i="11"/>
  <c r="C1257" i="11"/>
  <c r="C1258" i="11"/>
  <c r="C1259" i="11"/>
  <c r="C1260" i="11"/>
  <c r="C1261" i="11"/>
  <c r="C1262" i="11"/>
  <c r="C1263" i="11"/>
  <c r="C1264" i="11"/>
  <c r="C1265" i="11"/>
  <c r="C1266" i="11"/>
  <c r="C1267" i="11"/>
  <c r="C1268" i="11"/>
  <c r="C1269" i="11"/>
  <c r="C1270" i="11"/>
  <c r="C1271" i="11"/>
  <c r="C1272" i="11"/>
  <c r="C1273" i="11"/>
  <c r="C1274" i="11"/>
  <c r="C1275" i="11"/>
  <c r="C1276" i="11"/>
  <c r="C1277" i="11"/>
  <c r="C1278" i="11"/>
  <c r="C1279" i="11"/>
  <c r="C1280" i="11"/>
  <c r="C1281" i="11"/>
  <c r="C1282" i="11"/>
  <c r="C1283" i="11"/>
  <c r="C1284" i="11"/>
  <c r="C1285" i="11"/>
  <c r="C1286" i="11"/>
  <c r="C1287" i="11"/>
  <c r="C1288" i="11"/>
  <c r="C1289" i="11"/>
  <c r="C1290" i="11"/>
  <c r="C1291" i="11"/>
  <c r="C1292" i="11"/>
  <c r="C1293" i="11"/>
  <c r="C1294" i="11"/>
  <c r="C1295" i="11"/>
  <c r="C1296" i="11"/>
  <c r="C1297" i="11"/>
  <c r="C1298" i="11"/>
  <c r="C1299" i="11"/>
  <c r="C1300" i="11"/>
  <c r="C1301" i="11"/>
  <c r="C1302" i="11"/>
  <c r="C1303" i="11"/>
  <c r="C1304" i="11"/>
  <c r="C2" i="11"/>
  <c r="H18" i="8"/>
  <c r="G18" i="8"/>
  <c r="H35" i="8"/>
  <c r="K30" i="8" s="1"/>
  <c r="G35" i="8"/>
  <c r="J21" i="8" s="1"/>
  <c r="E173" i="11"/>
  <c r="E174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7" i="11"/>
  <c r="E188" i="11"/>
  <c r="E189" i="11"/>
  <c r="E190" i="11"/>
  <c r="E191" i="11"/>
  <c r="E192" i="11"/>
  <c r="E193" i="11"/>
  <c r="E194" i="11"/>
  <c r="E195" i="11"/>
  <c r="E196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K20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99" i="11"/>
  <c r="E100" i="11"/>
  <c r="E101" i="11"/>
  <c r="E102" i="11"/>
  <c r="E103" i="11"/>
  <c r="E104" i="11"/>
  <c r="E105" i="11"/>
  <c r="E106" i="11"/>
  <c r="E107" i="11"/>
  <c r="E108" i="11"/>
  <c r="E109" i="11"/>
  <c r="E110" i="11"/>
  <c r="E111" i="11"/>
  <c r="E112" i="11"/>
  <c r="E113" i="11"/>
  <c r="E114" i="11"/>
  <c r="E115" i="11"/>
  <c r="E116" i="11"/>
  <c r="E117" i="11"/>
  <c r="E118" i="11"/>
  <c r="E119" i="11"/>
  <c r="E120" i="11"/>
  <c r="E121" i="11"/>
  <c r="E122" i="11"/>
  <c r="E123" i="11"/>
  <c r="E124" i="11"/>
  <c r="E125" i="11"/>
  <c r="E126" i="11"/>
  <c r="E127" i="11"/>
  <c r="E128" i="11"/>
  <c r="E129" i="11"/>
  <c r="E130" i="11"/>
  <c r="E131" i="11"/>
  <c r="E132" i="11"/>
  <c r="E133" i="11"/>
  <c r="E134" i="11"/>
  <c r="E135" i="11"/>
  <c r="E136" i="11"/>
  <c r="E137" i="11"/>
  <c r="E138" i="11"/>
  <c r="E139" i="11"/>
  <c r="E140" i="11"/>
  <c r="E141" i="11"/>
  <c r="E142" i="11"/>
  <c r="E143" i="11"/>
  <c r="E144" i="11"/>
  <c r="E145" i="11"/>
  <c r="E146" i="11"/>
  <c r="E147" i="11"/>
  <c r="E148" i="11"/>
  <c r="E149" i="11"/>
  <c r="E150" i="11"/>
  <c r="E151" i="11"/>
  <c r="E152" i="11"/>
  <c r="E153" i="11"/>
  <c r="E154" i="11"/>
  <c r="E155" i="11"/>
  <c r="E156" i="11"/>
  <c r="E157" i="11"/>
  <c r="E158" i="11"/>
  <c r="E159" i="11"/>
  <c r="E160" i="11"/>
  <c r="E161" i="11"/>
  <c r="E162" i="11"/>
  <c r="E163" i="11"/>
  <c r="E164" i="11"/>
  <c r="E165" i="11"/>
  <c r="E166" i="11"/>
  <c r="E167" i="11"/>
  <c r="E168" i="11"/>
  <c r="E169" i="11"/>
  <c r="E170" i="11"/>
  <c r="E171" i="11"/>
  <c r="E172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E734" i="11"/>
  <c r="E735" i="11"/>
  <c r="E736" i="11"/>
  <c r="E737" i="11"/>
  <c r="E738" i="11"/>
  <c r="E739" i="11"/>
  <c r="E740" i="11"/>
  <c r="E741" i="11"/>
  <c r="E742" i="11"/>
  <c r="E743" i="11"/>
  <c r="E744" i="11"/>
  <c r="E745" i="11"/>
  <c r="E746" i="11"/>
  <c r="E747" i="11"/>
  <c r="E748" i="11"/>
  <c r="E749" i="11"/>
  <c r="E750" i="11"/>
  <c r="E751" i="11"/>
  <c r="E752" i="11"/>
  <c r="E753" i="11"/>
  <c r="E754" i="11"/>
  <c r="E755" i="11"/>
  <c r="E756" i="11"/>
  <c r="E757" i="11"/>
  <c r="E758" i="11"/>
  <c r="E759" i="11"/>
  <c r="E760" i="11"/>
  <c r="E761" i="11"/>
  <c r="E762" i="11"/>
  <c r="E763" i="11"/>
  <c r="E764" i="11"/>
  <c r="E765" i="11"/>
  <c r="E766" i="11"/>
  <c r="E767" i="11"/>
  <c r="E768" i="11"/>
  <c r="E769" i="11"/>
  <c r="E770" i="11"/>
  <c r="E771" i="11"/>
  <c r="E772" i="11"/>
  <c r="E773" i="11"/>
  <c r="E774" i="11"/>
  <c r="E775" i="11"/>
  <c r="E776" i="11"/>
  <c r="E777" i="11"/>
  <c r="E778" i="11"/>
  <c r="E779" i="11"/>
  <c r="E780" i="11"/>
  <c r="E781" i="11"/>
  <c r="E782" i="11"/>
  <c r="E783" i="11"/>
  <c r="E784" i="11"/>
  <c r="E785" i="11"/>
  <c r="E786" i="11"/>
  <c r="E787" i="11"/>
  <c r="E788" i="11"/>
  <c r="E789" i="11"/>
  <c r="E790" i="11"/>
  <c r="E791" i="11"/>
  <c r="E792" i="11"/>
  <c r="E793" i="11"/>
  <c r="E794" i="11"/>
  <c r="E795" i="11"/>
  <c r="E796" i="11"/>
  <c r="E797" i="11"/>
  <c r="E798" i="11"/>
  <c r="E799" i="11"/>
  <c r="E800" i="11"/>
  <c r="E801" i="11"/>
  <c r="E802" i="11"/>
  <c r="E803" i="11"/>
  <c r="E804" i="11"/>
  <c r="E805" i="11"/>
  <c r="E806" i="11"/>
  <c r="E807" i="11"/>
  <c r="E808" i="11"/>
  <c r="E809" i="11"/>
  <c r="E810" i="11"/>
  <c r="E811" i="11"/>
  <c r="E812" i="11"/>
  <c r="E813" i="11"/>
  <c r="E814" i="11"/>
  <c r="E815" i="11"/>
  <c r="E816" i="11"/>
  <c r="E817" i="11"/>
  <c r="E818" i="11"/>
  <c r="E819" i="11"/>
  <c r="E820" i="11"/>
  <c r="E821" i="11"/>
  <c r="E822" i="11"/>
  <c r="E823" i="11"/>
  <c r="E824" i="11"/>
  <c r="E825" i="11"/>
  <c r="E826" i="11"/>
  <c r="E827" i="11"/>
  <c r="E828" i="11"/>
  <c r="E829" i="11"/>
  <c r="E830" i="11"/>
  <c r="E831" i="11"/>
  <c r="E832" i="11"/>
  <c r="E833" i="11"/>
  <c r="E834" i="11"/>
  <c r="E835" i="11"/>
  <c r="E836" i="11"/>
  <c r="E837" i="11"/>
  <c r="E838" i="11"/>
  <c r="E839" i="11"/>
  <c r="E840" i="11"/>
  <c r="E841" i="11"/>
  <c r="E842" i="11"/>
  <c r="E843" i="11"/>
  <c r="E844" i="11"/>
  <c r="E845" i="11"/>
  <c r="E846" i="11"/>
  <c r="E847" i="11"/>
  <c r="E848" i="11"/>
  <c r="E849" i="11"/>
  <c r="E850" i="11"/>
  <c r="E851" i="11"/>
  <c r="E852" i="11"/>
  <c r="E853" i="11"/>
  <c r="E854" i="11"/>
  <c r="E855" i="11"/>
  <c r="E856" i="11"/>
  <c r="E857" i="11"/>
  <c r="E858" i="11"/>
  <c r="E859" i="11"/>
  <c r="E860" i="11"/>
  <c r="E861" i="11"/>
  <c r="E862" i="11"/>
  <c r="E863" i="11"/>
  <c r="E864" i="11"/>
  <c r="E865" i="11"/>
  <c r="E866" i="11"/>
  <c r="E867" i="11"/>
  <c r="E868" i="11"/>
  <c r="E869" i="11"/>
  <c r="E870" i="11"/>
  <c r="E871" i="11"/>
  <c r="E872" i="11"/>
  <c r="E873" i="11"/>
  <c r="E874" i="11"/>
  <c r="E875" i="11"/>
  <c r="E876" i="11"/>
  <c r="E877" i="11"/>
  <c r="E878" i="11"/>
  <c r="E879" i="11"/>
  <c r="E880" i="11"/>
  <c r="E881" i="11"/>
  <c r="E882" i="11"/>
  <c r="E883" i="11"/>
  <c r="E884" i="11"/>
  <c r="E885" i="11"/>
  <c r="E886" i="11"/>
  <c r="E887" i="11"/>
  <c r="E888" i="11"/>
  <c r="E889" i="11"/>
  <c r="E890" i="11"/>
  <c r="E891" i="11"/>
  <c r="E892" i="11"/>
  <c r="E893" i="11"/>
  <c r="E894" i="11"/>
  <c r="E895" i="11"/>
  <c r="E896" i="11"/>
  <c r="E897" i="11"/>
  <c r="E898" i="11"/>
  <c r="E899" i="11"/>
  <c r="E900" i="11"/>
  <c r="E901" i="11"/>
  <c r="E902" i="11"/>
  <c r="E903" i="11"/>
  <c r="E904" i="11"/>
  <c r="E905" i="11"/>
  <c r="E906" i="11"/>
  <c r="E907" i="11"/>
  <c r="E908" i="11"/>
  <c r="E909" i="11"/>
  <c r="E910" i="11"/>
  <c r="E911" i="11"/>
  <c r="E912" i="11"/>
  <c r="E913" i="11"/>
  <c r="E914" i="11"/>
  <c r="E915" i="11"/>
  <c r="E916" i="11"/>
  <c r="E917" i="11"/>
  <c r="E918" i="11"/>
  <c r="E919" i="11"/>
  <c r="E920" i="11"/>
  <c r="E921" i="11"/>
  <c r="E922" i="11"/>
  <c r="E923" i="11"/>
  <c r="E924" i="11"/>
  <c r="E925" i="11"/>
  <c r="E926" i="11"/>
  <c r="E927" i="11"/>
  <c r="E928" i="11"/>
  <c r="E929" i="11"/>
  <c r="E930" i="11"/>
  <c r="E931" i="11"/>
  <c r="E932" i="11"/>
  <c r="E933" i="11"/>
  <c r="E934" i="11"/>
  <c r="E935" i="11"/>
  <c r="E936" i="11"/>
  <c r="E937" i="11"/>
  <c r="E938" i="11"/>
  <c r="E939" i="11"/>
  <c r="E940" i="11"/>
  <c r="E941" i="11"/>
  <c r="E942" i="11"/>
  <c r="E943" i="11"/>
  <c r="E944" i="11"/>
  <c r="E945" i="11"/>
  <c r="E946" i="11"/>
  <c r="E947" i="11"/>
  <c r="E948" i="11"/>
  <c r="E949" i="11"/>
  <c r="E950" i="11"/>
  <c r="E951" i="11"/>
  <c r="E952" i="11"/>
  <c r="E953" i="11"/>
  <c r="E954" i="11"/>
  <c r="E955" i="11"/>
  <c r="E956" i="11"/>
  <c r="E957" i="11"/>
  <c r="E958" i="11"/>
  <c r="E959" i="11"/>
  <c r="E960" i="11"/>
  <c r="E961" i="11"/>
  <c r="E962" i="11"/>
  <c r="E963" i="11"/>
  <c r="E964" i="11"/>
  <c r="E965" i="11"/>
  <c r="E966" i="11"/>
  <c r="E967" i="11"/>
  <c r="E968" i="11"/>
  <c r="E969" i="11"/>
  <c r="E970" i="11"/>
  <c r="E971" i="11"/>
  <c r="E972" i="11"/>
  <c r="E973" i="11"/>
  <c r="E974" i="11"/>
  <c r="E975" i="11"/>
  <c r="E976" i="11"/>
  <c r="E977" i="11"/>
  <c r="E978" i="11"/>
  <c r="E979" i="11"/>
  <c r="E980" i="11"/>
  <c r="E981" i="11"/>
  <c r="E982" i="11"/>
  <c r="E983" i="11"/>
  <c r="E984" i="11"/>
  <c r="E985" i="11"/>
  <c r="E986" i="11"/>
  <c r="E987" i="11"/>
  <c r="E988" i="11"/>
  <c r="E989" i="11"/>
  <c r="E990" i="11"/>
  <c r="E991" i="11"/>
  <c r="E992" i="11"/>
  <c r="E993" i="11"/>
  <c r="E994" i="11"/>
  <c r="E995" i="11"/>
  <c r="E996" i="11"/>
  <c r="E997" i="11"/>
  <c r="E998" i="11"/>
  <c r="E999" i="11"/>
  <c r="E1000" i="11"/>
  <c r="E1001" i="11"/>
  <c r="E1002" i="11"/>
  <c r="E1003" i="11"/>
  <c r="E1004" i="11"/>
  <c r="E1005" i="11"/>
  <c r="E1006" i="11"/>
  <c r="E1007" i="11"/>
  <c r="E1008" i="11"/>
  <c r="E1009" i="11"/>
  <c r="E1010" i="11"/>
  <c r="E1011" i="11"/>
  <c r="E1012" i="11"/>
  <c r="E1013" i="11"/>
  <c r="E1014" i="11"/>
  <c r="E1015" i="11"/>
  <c r="E1016" i="11"/>
  <c r="E1017" i="11"/>
  <c r="E1018" i="11"/>
  <c r="E1019" i="11"/>
  <c r="E1020" i="11"/>
  <c r="E1021" i="11"/>
  <c r="E1022" i="11"/>
  <c r="E1023" i="11"/>
  <c r="E1024" i="11"/>
  <c r="E1025" i="11"/>
  <c r="E1026" i="11"/>
  <c r="E1027" i="11"/>
  <c r="E1028" i="11"/>
  <c r="E1029" i="11"/>
  <c r="E1030" i="11"/>
  <c r="E1031" i="11"/>
  <c r="E1032" i="11"/>
  <c r="E1033" i="11"/>
  <c r="E1034" i="11"/>
  <c r="E1035" i="11"/>
  <c r="E1036" i="11"/>
  <c r="E1037" i="11"/>
  <c r="E1038" i="11"/>
  <c r="E1039" i="11"/>
  <c r="E1040" i="11"/>
  <c r="E1041" i="11"/>
  <c r="E1042" i="11"/>
  <c r="E1043" i="11"/>
  <c r="E1044" i="11"/>
  <c r="E1045" i="11"/>
  <c r="E1046" i="11"/>
  <c r="E1047" i="11"/>
  <c r="E1048" i="11"/>
  <c r="E1049" i="11"/>
  <c r="E1050" i="11"/>
  <c r="E1051" i="11"/>
  <c r="E1052" i="11"/>
  <c r="E1053" i="11"/>
  <c r="E1054" i="11"/>
  <c r="E1055" i="11"/>
  <c r="E1056" i="11"/>
  <c r="E1057" i="11"/>
  <c r="E1058" i="11"/>
  <c r="E1059" i="11"/>
  <c r="E1060" i="11"/>
  <c r="E1061" i="11"/>
  <c r="E1062" i="11"/>
  <c r="E1063" i="11"/>
  <c r="E1064" i="11"/>
  <c r="E1065" i="11"/>
  <c r="E1066" i="11"/>
  <c r="E1067" i="11"/>
  <c r="E1068" i="11"/>
  <c r="E1069" i="11"/>
  <c r="E1070" i="11"/>
  <c r="E1071" i="11"/>
  <c r="E1072" i="11"/>
  <c r="E1073" i="11"/>
  <c r="E1074" i="11"/>
  <c r="E1075" i="11"/>
  <c r="E1076" i="11"/>
  <c r="E1077" i="11"/>
  <c r="E1078" i="11"/>
  <c r="E1079" i="11"/>
  <c r="E1080" i="11"/>
  <c r="E1081" i="11"/>
  <c r="E1082" i="11"/>
  <c r="E1083" i="11"/>
  <c r="E1084" i="11"/>
  <c r="E1085" i="11"/>
  <c r="E1086" i="11"/>
  <c r="E1087" i="11"/>
  <c r="E1088" i="11"/>
  <c r="E1089" i="11"/>
  <c r="E1090" i="11"/>
  <c r="E1091" i="11"/>
  <c r="E1092" i="11"/>
  <c r="E1093" i="11"/>
  <c r="E1094" i="11"/>
  <c r="E1095" i="11"/>
  <c r="E1096" i="11"/>
  <c r="E1097" i="11"/>
  <c r="E1098" i="11"/>
  <c r="E1099" i="11"/>
  <c r="E1100" i="11"/>
  <c r="E1101" i="11"/>
  <c r="E1102" i="11"/>
  <c r="E1103" i="11"/>
  <c r="E1104" i="11"/>
  <c r="E1105" i="11"/>
  <c r="E1106" i="11"/>
  <c r="E1107" i="11"/>
  <c r="E1108" i="11"/>
  <c r="E1109" i="11"/>
  <c r="E1110" i="11"/>
  <c r="E1111" i="11"/>
  <c r="E1112" i="11"/>
  <c r="E1113" i="11"/>
  <c r="E1114" i="11"/>
  <c r="E1115" i="11"/>
  <c r="E1116" i="11"/>
  <c r="E1117" i="11"/>
  <c r="E1118" i="11"/>
  <c r="E1119" i="11"/>
  <c r="E1120" i="11"/>
  <c r="E1121" i="11"/>
  <c r="E1122" i="11"/>
  <c r="E1123" i="11"/>
  <c r="E1124" i="11"/>
  <c r="E1125" i="11"/>
  <c r="E1126" i="11"/>
  <c r="E1127" i="11"/>
  <c r="E1128" i="11"/>
  <c r="E1129" i="11"/>
  <c r="E1130" i="11"/>
  <c r="E1131" i="11"/>
  <c r="E1132" i="11"/>
  <c r="E1133" i="11"/>
  <c r="E1134" i="11"/>
  <c r="E1135" i="11"/>
  <c r="E1136" i="11"/>
  <c r="E1137" i="11"/>
  <c r="E1138" i="11"/>
  <c r="E1139" i="11"/>
  <c r="E1140" i="11"/>
  <c r="E1141" i="11"/>
  <c r="E1142" i="11"/>
  <c r="E1143" i="11"/>
  <c r="E1144" i="11"/>
  <c r="E1145" i="11"/>
  <c r="E1146" i="11"/>
  <c r="E1147" i="11"/>
  <c r="E1148" i="11"/>
  <c r="E1149" i="11"/>
  <c r="E1150" i="11"/>
  <c r="E1151" i="11"/>
  <c r="E1152" i="11"/>
  <c r="E1153" i="11"/>
  <c r="E1154" i="11"/>
  <c r="E1155" i="11"/>
  <c r="E1156" i="11"/>
  <c r="E1157" i="11"/>
  <c r="E1158" i="11"/>
  <c r="E1159" i="11"/>
  <c r="E1160" i="11"/>
  <c r="E1161" i="11"/>
  <c r="E1162" i="11"/>
  <c r="E1163" i="11"/>
  <c r="E1164" i="11"/>
  <c r="E1165" i="11"/>
  <c r="E1166" i="11"/>
  <c r="E1167" i="11"/>
  <c r="E1168" i="11"/>
  <c r="E1169" i="11"/>
  <c r="E1170" i="11"/>
  <c r="E1171" i="11"/>
  <c r="E1172" i="11"/>
  <c r="E1173" i="11"/>
  <c r="E1174" i="11"/>
  <c r="E1175" i="11"/>
  <c r="E1176" i="11"/>
  <c r="E1177" i="11"/>
  <c r="E1178" i="11"/>
  <c r="E1179" i="11"/>
  <c r="E1180" i="11"/>
  <c r="E1181" i="11"/>
  <c r="E1182" i="11"/>
  <c r="E1183" i="11"/>
  <c r="E1184" i="11"/>
  <c r="E1185" i="11"/>
  <c r="E1186" i="11"/>
  <c r="E1187" i="11"/>
  <c r="E1188" i="11"/>
  <c r="E1189" i="11"/>
  <c r="E1190" i="11"/>
  <c r="E1191" i="11"/>
  <c r="E1192" i="11"/>
  <c r="E1193" i="11"/>
  <c r="E1194" i="11"/>
  <c r="E1195" i="11"/>
  <c r="E1196" i="11"/>
  <c r="E1197" i="11"/>
  <c r="E1198" i="11"/>
  <c r="E1199" i="11"/>
  <c r="E1200" i="11"/>
  <c r="E1201" i="11"/>
  <c r="E1202" i="11"/>
  <c r="E1203" i="11"/>
  <c r="E1204" i="11"/>
  <c r="E1205" i="11"/>
  <c r="E1206" i="11"/>
  <c r="E1207" i="11"/>
  <c r="E1208" i="11"/>
  <c r="E1209" i="11"/>
  <c r="E1210" i="11"/>
  <c r="E1211" i="11"/>
  <c r="E1212" i="11"/>
  <c r="E1213" i="11"/>
  <c r="E1214" i="11"/>
  <c r="E1215" i="11"/>
  <c r="E1216" i="11"/>
  <c r="E1217" i="11"/>
  <c r="E1218" i="11"/>
  <c r="E1219" i="11"/>
  <c r="E1220" i="11"/>
  <c r="E1221" i="11"/>
  <c r="E1222" i="11"/>
  <c r="E1223" i="11"/>
  <c r="E1224" i="11"/>
  <c r="E1225" i="11"/>
  <c r="E1226" i="11"/>
  <c r="E1227" i="11"/>
  <c r="E1228" i="11"/>
  <c r="E1229" i="11"/>
  <c r="E1230" i="11"/>
  <c r="E1231" i="11"/>
  <c r="E1232" i="11"/>
  <c r="E1233" i="11"/>
  <c r="E1234" i="11"/>
  <c r="E1235" i="11"/>
  <c r="E1236" i="11"/>
  <c r="E1237" i="11"/>
  <c r="E1238" i="11"/>
  <c r="E1239" i="11"/>
  <c r="E1240" i="11"/>
  <c r="E1241" i="11"/>
  <c r="E1242" i="11"/>
  <c r="E1243" i="11"/>
  <c r="E1244" i="11"/>
  <c r="E1245" i="11"/>
  <c r="E1246" i="11"/>
  <c r="E1247" i="11"/>
  <c r="E1248" i="11"/>
  <c r="E1249" i="11"/>
  <c r="E1250" i="11"/>
  <c r="E1251" i="11"/>
  <c r="E1252" i="11"/>
  <c r="E1253" i="11"/>
  <c r="E1254" i="11"/>
  <c r="E1255" i="11"/>
  <c r="E1256" i="11"/>
  <c r="E1257" i="11"/>
  <c r="E1258" i="11"/>
  <c r="E1259" i="11"/>
  <c r="E1260" i="11"/>
  <c r="E1261" i="11"/>
  <c r="E1262" i="11"/>
  <c r="E1263" i="11"/>
  <c r="E1264" i="11"/>
  <c r="E1265" i="11"/>
  <c r="E1266" i="11"/>
  <c r="E1267" i="11"/>
  <c r="E1268" i="11"/>
  <c r="E1269" i="11"/>
  <c r="E1270" i="11"/>
  <c r="E1271" i="11"/>
  <c r="E1272" i="11"/>
  <c r="E1273" i="11"/>
  <c r="E1274" i="11"/>
  <c r="E1275" i="11"/>
  <c r="E1276" i="11"/>
  <c r="E1277" i="11"/>
  <c r="E1278" i="11"/>
  <c r="E1279" i="11"/>
  <c r="E1280" i="11"/>
  <c r="E1281" i="11"/>
  <c r="E1282" i="11"/>
  <c r="E1283" i="11"/>
  <c r="E1284" i="11"/>
  <c r="E1286" i="11"/>
  <c r="E1287" i="11"/>
  <c r="E1288" i="11"/>
  <c r="E1289" i="11"/>
  <c r="E1290" i="11"/>
  <c r="E1291" i="11"/>
  <c r="E1292" i="11"/>
  <c r="E1293" i="11"/>
  <c r="E1294" i="11"/>
  <c r="E1295" i="11"/>
  <c r="E1296" i="11"/>
  <c r="E1297" i="11"/>
  <c r="E1298" i="11"/>
  <c r="E1299" i="11"/>
  <c r="E1300" i="11"/>
  <c r="E1301" i="11"/>
  <c r="E1302" i="11"/>
  <c r="E1303" i="11"/>
  <c r="E1304" i="11"/>
  <c r="J1304" i="11"/>
  <c r="I1304" i="11"/>
  <c r="H1304" i="11"/>
  <c r="G1304" i="11"/>
  <c r="J1303" i="11"/>
  <c r="I1303" i="11"/>
  <c r="H1303" i="11"/>
  <c r="G1303" i="11"/>
  <c r="J1302" i="11"/>
  <c r="I1302" i="11"/>
  <c r="H1302" i="11"/>
  <c r="G1302" i="11"/>
  <c r="J1301" i="11"/>
  <c r="I1301" i="11"/>
  <c r="H1301" i="11"/>
  <c r="G1301" i="11"/>
  <c r="J1300" i="11"/>
  <c r="I1300" i="11"/>
  <c r="H1300" i="11"/>
  <c r="G1300" i="11"/>
  <c r="J1299" i="11"/>
  <c r="I1299" i="11"/>
  <c r="H1299" i="11"/>
  <c r="G1299" i="11"/>
  <c r="J1298" i="11"/>
  <c r="I1298" i="11"/>
  <c r="H1298" i="11"/>
  <c r="G1298" i="11"/>
  <c r="J1297" i="11"/>
  <c r="I1297" i="11"/>
  <c r="H1297" i="11"/>
  <c r="G1297" i="11"/>
  <c r="J1296" i="11"/>
  <c r="I1296" i="11"/>
  <c r="H1296" i="11"/>
  <c r="G1296" i="11"/>
  <c r="J1295" i="11"/>
  <c r="I1295" i="11"/>
  <c r="H1295" i="11"/>
  <c r="G1295" i="11"/>
  <c r="J1294" i="11"/>
  <c r="I1294" i="11"/>
  <c r="H1294" i="11"/>
  <c r="G1294" i="11"/>
  <c r="J1293" i="11"/>
  <c r="I1293" i="11"/>
  <c r="H1293" i="11"/>
  <c r="G1293" i="11"/>
  <c r="J1292" i="11"/>
  <c r="I1292" i="11"/>
  <c r="H1292" i="11"/>
  <c r="G1292" i="11"/>
  <c r="J1291" i="11"/>
  <c r="I1291" i="11"/>
  <c r="H1291" i="11"/>
  <c r="G1291" i="11"/>
  <c r="J1290" i="11"/>
  <c r="I1290" i="11"/>
  <c r="H1290" i="11"/>
  <c r="G1290" i="11"/>
  <c r="J1289" i="11"/>
  <c r="I1289" i="11"/>
  <c r="H1289" i="11"/>
  <c r="G1289" i="11"/>
  <c r="J1288" i="11"/>
  <c r="I1288" i="11"/>
  <c r="H1288" i="11"/>
  <c r="G1288" i="11"/>
  <c r="J1287" i="11"/>
  <c r="I1287" i="11"/>
  <c r="H1287" i="11"/>
  <c r="G1287" i="11"/>
  <c r="J1286" i="11"/>
  <c r="I1286" i="11"/>
  <c r="H1286" i="11"/>
  <c r="G1286" i="11"/>
  <c r="J1285" i="11"/>
  <c r="I1285" i="11"/>
  <c r="H1285" i="11"/>
  <c r="G1285" i="11"/>
  <c r="J1284" i="11"/>
  <c r="I1284" i="11"/>
  <c r="H1284" i="11"/>
  <c r="G1284" i="11"/>
  <c r="J1283" i="11"/>
  <c r="I1283" i="11"/>
  <c r="H1283" i="11"/>
  <c r="G1283" i="11"/>
  <c r="J1282" i="11"/>
  <c r="I1282" i="11"/>
  <c r="H1282" i="11"/>
  <c r="G1282" i="11"/>
  <c r="J1281" i="11"/>
  <c r="I1281" i="11"/>
  <c r="H1281" i="11"/>
  <c r="G1281" i="11"/>
  <c r="J1280" i="11"/>
  <c r="I1280" i="11"/>
  <c r="H1280" i="11"/>
  <c r="G1280" i="11"/>
  <c r="J1279" i="11"/>
  <c r="I1279" i="11"/>
  <c r="H1279" i="11"/>
  <c r="G1279" i="11"/>
  <c r="J1278" i="11"/>
  <c r="I1278" i="11"/>
  <c r="H1278" i="11"/>
  <c r="G1278" i="11"/>
  <c r="J1277" i="11"/>
  <c r="I1277" i="11"/>
  <c r="H1277" i="11"/>
  <c r="G1277" i="11"/>
  <c r="J1276" i="11"/>
  <c r="I1276" i="11"/>
  <c r="H1276" i="11"/>
  <c r="G1276" i="11"/>
  <c r="J1275" i="11"/>
  <c r="I1275" i="11"/>
  <c r="H1275" i="11"/>
  <c r="G1275" i="11"/>
  <c r="J1274" i="11"/>
  <c r="I1274" i="11"/>
  <c r="H1274" i="11"/>
  <c r="G1274" i="11"/>
  <c r="J1273" i="11"/>
  <c r="I1273" i="11"/>
  <c r="H1273" i="11"/>
  <c r="G1273" i="11"/>
  <c r="J1272" i="11"/>
  <c r="I1272" i="11"/>
  <c r="H1272" i="11"/>
  <c r="G1272" i="11"/>
  <c r="J1271" i="11"/>
  <c r="I1271" i="11"/>
  <c r="H1271" i="11"/>
  <c r="G1271" i="11"/>
  <c r="J1270" i="11"/>
  <c r="I1270" i="11"/>
  <c r="H1270" i="11"/>
  <c r="G1270" i="11"/>
  <c r="J1269" i="11"/>
  <c r="I1269" i="11"/>
  <c r="H1269" i="11"/>
  <c r="G1269" i="11"/>
  <c r="J1268" i="11"/>
  <c r="I1268" i="11"/>
  <c r="H1268" i="11"/>
  <c r="G1268" i="11"/>
  <c r="J1267" i="11"/>
  <c r="I1267" i="11"/>
  <c r="H1267" i="11"/>
  <c r="G1267" i="11"/>
  <c r="J1266" i="11"/>
  <c r="I1266" i="11"/>
  <c r="H1266" i="11"/>
  <c r="G1266" i="11"/>
  <c r="J1265" i="11"/>
  <c r="I1265" i="11"/>
  <c r="H1265" i="11"/>
  <c r="G1265" i="11"/>
  <c r="J1264" i="11"/>
  <c r="I1264" i="11"/>
  <c r="H1264" i="11"/>
  <c r="G1264" i="11"/>
  <c r="J1263" i="11"/>
  <c r="I1263" i="11"/>
  <c r="H1263" i="11"/>
  <c r="G1263" i="11"/>
  <c r="J1262" i="11"/>
  <c r="I1262" i="11"/>
  <c r="H1262" i="11"/>
  <c r="G1262" i="11"/>
  <c r="J1261" i="11"/>
  <c r="I1261" i="11"/>
  <c r="H1261" i="11"/>
  <c r="G1261" i="11"/>
  <c r="J1260" i="11"/>
  <c r="I1260" i="11"/>
  <c r="H1260" i="11"/>
  <c r="G1260" i="11"/>
  <c r="J1259" i="11"/>
  <c r="I1259" i="11"/>
  <c r="H1259" i="11"/>
  <c r="G1259" i="11"/>
  <c r="J1258" i="11"/>
  <c r="I1258" i="11"/>
  <c r="H1258" i="11"/>
  <c r="G1258" i="11"/>
  <c r="J1257" i="11"/>
  <c r="I1257" i="11"/>
  <c r="H1257" i="11"/>
  <c r="G1257" i="11"/>
  <c r="J1256" i="11"/>
  <c r="I1256" i="11"/>
  <c r="H1256" i="11"/>
  <c r="G1256" i="11"/>
  <c r="J1255" i="11"/>
  <c r="I1255" i="11"/>
  <c r="H1255" i="11"/>
  <c r="G1255" i="11"/>
  <c r="J1254" i="11"/>
  <c r="I1254" i="11"/>
  <c r="H1254" i="11"/>
  <c r="G1254" i="11"/>
  <c r="J1253" i="11"/>
  <c r="I1253" i="11"/>
  <c r="H1253" i="11"/>
  <c r="G1253" i="11"/>
  <c r="J1252" i="11"/>
  <c r="I1252" i="11"/>
  <c r="H1252" i="11"/>
  <c r="G1252" i="11"/>
  <c r="J1251" i="11"/>
  <c r="I1251" i="11"/>
  <c r="H1251" i="11"/>
  <c r="G1251" i="11"/>
  <c r="J1250" i="11"/>
  <c r="I1250" i="11"/>
  <c r="H1250" i="11"/>
  <c r="G1250" i="11"/>
  <c r="J1249" i="11"/>
  <c r="I1249" i="11"/>
  <c r="H1249" i="11"/>
  <c r="G1249" i="11"/>
  <c r="J1248" i="11"/>
  <c r="I1248" i="11"/>
  <c r="H1248" i="11"/>
  <c r="G1248" i="11"/>
  <c r="J1247" i="11"/>
  <c r="I1247" i="11"/>
  <c r="H1247" i="11"/>
  <c r="G1247" i="11"/>
  <c r="J1246" i="11"/>
  <c r="I1246" i="11"/>
  <c r="H1246" i="11"/>
  <c r="G1246" i="11"/>
  <c r="J1245" i="11"/>
  <c r="I1245" i="11"/>
  <c r="H1245" i="11"/>
  <c r="G1245" i="11"/>
  <c r="J1244" i="11"/>
  <c r="I1244" i="11"/>
  <c r="H1244" i="11"/>
  <c r="G1244" i="11"/>
  <c r="J1243" i="11"/>
  <c r="I1243" i="11"/>
  <c r="H1243" i="11"/>
  <c r="G1243" i="11"/>
  <c r="J1242" i="11"/>
  <c r="I1242" i="11"/>
  <c r="H1242" i="11"/>
  <c r="G1242" i="11"/>
  <c r="J1241" i="11"/>
  <c r="I1241" i="11"/>
  <c r="H1241" i="11"/>
  <c r="G1241" i="11"/>
  <c r="J1240" i="11"/>
  <c r="I1240" i="11"/>
  <c r="H1240" i="11"/>
  <c r="G1240" i="11"/>
  <c r="J1239" i="11"/>
  <c r="I1239" i="11"/>
  <c r="H1239" i="11"/>
  <c r="G1239" i="11"/>
  <c r="J1238" i="11"/>
  <c r="I1238" i="11"/>
  <c r="H1238" i="11"/>
  <c r="G1238" i="11"/>
  <c r="J1237" i="11"/>
  <c r="I1237" i="11"/>
  <c r="H1237" i="11"/>
  <c r="G1237" i="11"/>
  <c r="J1236" i="11"/>
  <c r="I1236" i="11"/>
  <c r="H1236" i="11"/>
  <c r="G1236" i="11"/>
  <c r="J1235" i="11"/>
  <c r="I1235" i="11"/>
  <c r="H1235" i="11"/>
  <c r="G1235" i="11"/>
  <c r="J1234" i="11"/>
  <c r="I1234" i="11"/>
  <c r="H1234" i="11"/>
  <c r="G1234" i="11"/>
  <c r="J1233" i="11"/>
  <c r="I1233" i="11"/>
  <c r="H1233" i="11"/>
  <c r="G1233" i="11"/>
  <c r="J1232" i="11"/>
  <c r="I1232" i="11"/>
  <c r="H1232" i="11"/>
  <c r="G1232" i="11"/>
  <c r="J1231" i="11"/>
  <c r="I1231" i="11"/>
  <c r="H1231" i="11"/>
  <c r="G1231" i="11"/>
  <c r="J1230" i="11"/>
  <c r="I1230" i="11"/>
  <c r="H1230" i="11"/>
  <c r="G1230" i="11"/>
  <c r="J1229" i="11"/>
  <c r="I1229" i="11"/>
  <c r="H1229" i="11"/>
  <c r="G1229" i="11"/>
  <c r="J1228" i="11"/>
  <c r="I1228" i="11"/>
  <c r="H1228" i="11"/>
  <c r="G1228" i="11"/>
  <c r="J1227" i="11"/>
  <c r="I1227" i="11"/>
  <c r="H1227" i="11"/>
  <c r="G1227" i="11"/>
  <c r="J1226" i="11"/>
  <c r="I1226" i="11"/>
  <c r="H1226" i="11"/>
  <c r="G1226" i="11"/>
  <c r="J1225" i="11"/>
  <c r="I1225" i="11"/>
  <c r="H1225" i="11"/>
  <c r="G1225" i="11"/>
  <c r="J1224" i="11"/>
  <c r="I1224" i="11"/>
  <c r="H1224" i="11"/>
  <c r="G1224" i="11"/>
  <c r="J1223" i="11"/>
  <c r="I1223" i="11"/>
  <c r="H1223" i="11"/>
  <c r="G1223" i="11"/>
  <c r="J1222" i="11"/>
  <c r="I1222" i="11"/>
  <c r="H1222" i="11"/>
  <c r="G1222" i="11"/>
  <c r="J1221" i="11"/>
  <c r="I1221" i="11"/>
  <c r="H1221" i="11"/>
  <c r="G1221" i="11"/>
  <c r="J1220" i="11"/>
  <c r="I1220" i="11"/>
  <c r="H1220" i="11"/>
  <c r="G1220" i="11"/>
  <c r="J1219" i="11"/>
  <c r="I1219" i="11"/>
  <c r="H1219" i="11"/>
  <c r="G1219" i="11"/>
  <c r="J1218" i="11"/>
  <c r="I1218" i="11"/>
  <c r="H1218" i="11"/>
  <c r="G1218" i="11"/>
  <c r="J1217" i="11"/>
  <c r="I1217" i="11"/>
  <c r="H1217" i="11"/>
  <c r="G1217" i="11"/>
  <c r="J1216" i="11"/>
  <c r="I1216" i="11"/>
  <c r="H1216" i="11"/>
  <c r="G1216" i="11"/>
  <c r="J1215" i="11"/>
  <c r="I1215" i="11"/>
  <c r="H1215" i="11"/>
  <c r="G1215" i="11"/>
  <c r="J1214" i="11"/>
  <c r="I1214" i="11"/>
  <c r="H1214" i="11"/>
  <c r="G1214" i="11"/>
  <c r="J1213" i="11"/>
  <c r="I1213" i="11"/>
  <c r="H1213" i="11"/>
  <c r="G1213" i="11"/>
  <c r="J1212" i="11"/>
  <c r="I1212" i="11"/>
  <c r="H1212" i="11"/>
  <c r="G1212" i="11"/>
  <c r="J1211" i="11"/>
  <c r="I1211" i="11"/>
  <c r="H1211" i="11"/>
  <c r="G1211" i="11"/>
  <c r="J1210" i="11"/>
  <c r="I1210" i="11"/>
  <c r="H1210" i="11"/>
  <c r="G1210" i="11"/>
  <c r="J1209" i="11"/>
  <c r="I1209" i="11"/>
  <c r="H1209" i="11"/>
  <c r="G1209" i="11"/>
  <c r="J1208" i="11"/>
  <c r="I1208" i="11"/>
  <c r="H1208" i="11"/>
  <c r="G1208" i="11"/>
  <c r="J1207" i="11"/>
  <c r="I1207" i="11"/>
  <c r="H1207" i="11"/>
  <c r="G1207" i="11"/>
  <c r="J1206" i="11"/>
  <c r="I1206" i="11"/>
  <c r="H1206" i="11"/>
  <c r="G1206" i="11"/>
  <c r="J1205" i="11"/>
  <c r="I1205" i="11"/>
  <c r="H1205" i="11"/>
  <c r="G1205" i="11"/>
  <c r="J1204" i="11"/>
  <c r="I1204" i="11"/>
  <c r="H1204" i="11"/>
  <c r="G1204" i="11"/>
  <c r="J1203" i="11"/>
  <c r="I1203" i="11"/>
  <c r="H1203" i="11"/>
  <c r="G1203" i="11"/>
  <c r="J1202" i="11"/>
  <c r="I1202" i="11"/>
  <c r="H1202" i="11"/>
  <c r="G1202" i="11"/>
  <c r="J1201" i="11"/>
  <c r="I1201" i="11"/>
  <c r="H1201" i="11"/>
  <c r="G1201" i="11"/>
  <c r="J1200" i="11"/>
  <c r="I1200" i="11"/>
  <c r="H1200" i="11"/>
  <c r="G1200" i="11"/>
  <c r="J1199" i="11"/>
  <c r="I1199" i="11"/>
  <c r="H1199" i="11"/>
  <c r="G1199" i="11"/>
  <c r="J1198" i="11"/>
  <c r="I1198" i="11"/>
  <c r="H1198" i="11"/>
  <c r="G1198" i="11"/>
  <c r="J1197" i="11"/>
  <c r="I1197" i="11"/>
  <c r="H1197" i="11"/>
  <c r="G1197" i="11"/>
  <c r="J1196" i="11"/>
  <c r="I1196" i="11"/>
  <c r="H1196" i="11"/>
  <c r="G1196" i="11"/>
  <c r="J1195" i="11"/>
  <c r="I1195" i="11"/>
  <c r="H1195" i="11"/>
  <c r="G1195" i="11"/>
  <c r="J1194" i="11"/>
  <c r="I1194" i="11"/>
  <c r="H1194" i="11"/>
  <c r="G1194" i="11"/>
  <c r="J1193" i="11"/>
  <c r="I1193" i="11"/>
  <c r="H1193" i="11"/>
  <c r="G1193" i="11"/>
  <c r="J1192" i="11"/>
  <c r="I1192" i="11"/>
  <c r="H1192" i="11"/>
  <c r="G1192" i="11"/>
  <c r="J1191" i="11"/>
  <c r="I1191" i="11"/>
  <c r="H1191" i="11"/>
  <c r="G1191" i="11"/>
  <c r="J1190" i="11"/>
  <c r="I1190" i="11"/>
  <c r="H1190" i="11"/>
  <c r="G1190" i="11"/>
  <c r="J1189" i="11"/>
  <c r="I1189" i="11"/>
  <c r="H1189" i="11"/>
  <c r="G1189" i="11"/>
  <c r="J1188" i="11"/>
  <c r="I1188" i="11"/>
  <c r="H1188" i="11"/>
  <c r="G1188" i="11"/>
  <c r="J1187" i="11"/>
  <c r="I1187" i="11"/>
  <c r="H1187" i="11"/>
  <c r="G1187" i="11"/>
  <c r="J1186" i="11"/>
  <c r="I1186" i="11"/>
  <c r="H1186" i="11"/>
  <c r="G1186" i="11"/>
  <c r="J1185" i="11"/>
  <c r="I1185" i="11"/>
  <c r="H1185" i="11"/>
  <c r="G1185" i="11"/>
  <c r="J1184" i="11"/>
  <c r="I1184" i="11"/>
  <c r="H1184" i="11"/>
  <c r="G1184" i="11"/>
  <c r="J1183" i="11"/>
  <c r="I1183" i="11"/>
  <c r="H1183" i="11"/>
  <c r="G1183" i="11"/>
  <c r="J1182" i="11"/>
  <c r="I1182" i="11"/>
  <c r="H1182" i="11"/>
  <c r="G1182" i="11"/>
  <c r="J1181" i="11"/>
  <c r="I1181" i="11"/>
  <c r="H1181" i="11"/>
  <c r="G1181" i="11"/>
  <c r="J1180" i="11"/>
  <c r="I1180" i="11"/>
  <c r="H1180" i="11"/>
  <c r="G1180" i="11"/>
  <c r="J1179" i="11"/>
  <c r="I1179" i="11"/>
  <c r="H1179" i="11"/>
  <c r="G1179" i="11"/>
  <c r="J1178" i="11"/>
  <c r="I1178" i="11"/>
  <c r="H1178" i="11"/>
  <c r="G1178" i="11"/>
  <c r="J1177" i="11"/>
  <c r="I1177" i="11"/>
  <c r="H1177" i="11"/>
  <c r="G1177" i="11"/>
  <c r="J1176" i="11"/>
  <c r="I1176" i="11"/>
  <c r="H1176" i="11"/>
  <c r="G1176" i="11"/>
  <c r="J1175" i="11"/>
  <c r="I1175" i="11"/>
  <c r="H1175" i="11"/>
  <c r="G1175" i="11"/>
  <c r="J1174" i="11"/>
  <c r="I1174" i="11"/>
  <c r="H1174" i="11"/>
  <c r="G1174" i="11"/>
  <c r="J1173" i="11"/>
  <c r="I1173" i="11"/>
  <c r="H1173" i="11"/>
  <c r="G1173" i="11"/>
  <c r="J1172" i="11"/>
  <c r="I1172" i="11"/>
  <c r="H1172" i="11"/>
  <c r="G1172" i="11"/>
  <c r="J1171" i="11"/>
  <c r="I1171" i="11"/>
  <c r="H1171" i="11"/>
  <c r="G1171" i="11"/>
  <c r="J1170" i="11"/>
  <c r="I1170" i="11"/>
  <c r="H1170" i="11"/>
  <c r="G1170" i="11"/>
  <c r="J1169" i="11"/>
  <c r="I1169" i="11"/>
  <c r="H1169" i="11"/>
  <c r="G1169" i="11"/>
  <c r="J1168" i="11"/>
  <c r="I1168" i="11"/>
  <c r="H1168" i="11"/>
  <c r="G1168" i="11"/>
  <c r="J1167" i="11"/>
  <c r="I1167" i="11"/>
  <c r="H1167" i="11"/>
  <c r="G1167" i="11"/>
  <c r="J1166" i="11"/>
  <c r="I1166" i="11"/>
  <c r="H1166" i="11"/>
  <c r="G1166" i="11"/>
  <c r="J1165" i="11"/>
  <c r="I1165" i="11"/>
  <c r="H1165" i="11"/>
  <c r="G1165" i="11"/>
  <c r="J1164" i="11"/>
  <c r="I1164" i="11"/>
  <c r="H1164" i="11"/>
  <c r="G1164" i="11"/>
  <c r="J1163" i="11"/>
  <c r="I1163" i="11"/>
  <c r="H1163" i="11"/>
  <c r="G1163" i="11"/>
  <c r="J1162" i="11"/>
  <c r="I1162" i="11"/>
  <c r="H1162" i="11"/>
  <c r="G1162" i="11"/>
  <c r="J1161" i="11"/>
  <c r="I1161" i="11"/>
  <c r="H1161" i="11"/>
  <c r="G1161" i="11"/>
  <c r="J1160" i="11"/>
  <c r="I1160" i="11"/>
  <c r="H1160" i="11"/>
  <c r="G1160" i="11"/>
  <c r="J1159" i="11"/>
  <c r="I1159" i="11"/>
  <c r="H1159" i="11"/>
  <c r="G1159" i="11"/>
  <c r="J1158" i="11"/>
  <c r="I1158" i="11"/>
  <c r="H1158" i="11"/>
  <c r="G1158" i="11"/>
  <c r="J1157" i="11"/>
  <c r="I1157" i="11"/>
  <c r="H1157" i="11"/>
  <c r="G1157" i="11"/>
  <c r="J1156" i="11"/>
  <c r="I1156" i="11"/>
  <c r="H1156" i="11"/>
  <c r="G1156" i="11"/>
  <c r="J1155" i="11"/>
  <c r="I1155" i="11"/>
  <c r="H1155" i="11"/>
  <c r="G1155" i="11"/>
  <c r="J1154" i="11"/>
  <c r="I1154" i="11"/>
  <c r="H1154" i="11"/>
  <c r="G1154" i="11"/>
  <c r="J1153" i="11"/>
  <c r="I1153" i="11"/>
  <c r="H1153" i="11"/>
  <c r="G1153" i="11"/>
  <c r="J1152" i="11"/>
  <c r="I1152" i="11"/>
  <c r="H1152" i="11"/>
  <c r="G1152" i="11"/>
  <c r="J1151" i="11"/>
  <c r="I1151" i="11"/>
  <c r="H1151" i="11"/>
  <c r="G1151" i="11"/>
  <c r="J1150" i="11"/>
  <c r="I1150" i="11"/>
  <c r="H1150" i="11"/>
  <c r="G1150" i="11"/>
  <c r="J1149" i="11"/>
  <c r="I1149" i="11"/>
  <c r="H1149" i="11"/>
  <c r="G1149" i="11"/>
  <c r="J1148" i="11"/>
  <c r="I1148" i="11"/>
  <c r="H1148" i="11"/>
  <c r="G1148" i="11"/>
  <c r="J1147" i="11"/>
  <c r="I1147" i="11"/>
  <c r="H1147" i="11"/>
  <c r="G1147" i="11"/>
  <c r="J1146" i="11"/>
  <c r="I1146" i="11"/>
  <c r="H1146" i="11"/>
  <c r="G1146" i="11"/>
  <c r="J1145" i="11"/>
  <c r="I1145" i="11"/>
  <c r="H1145" i="11"/>
  <c r="G1145" i="11"/>
  <c r="J1144" i="11"/>
  <c r="I1144" i="11"/>
  <c r="H1144" i="11"/>
  <c r="G1144" i="11"/>
  <c r="J1143" i="11"/>
  <c r="I1143" i="11"/>
  <c r="H1143" i="11"/>
  <c r="G1143" i="11"/>
  <c r="J1142" i="11"/>
  <c r="I1142" i="11"/>
  <c r="H1142" i="11"/>
  <c r="G1142" i="11"/>
  <c r="J1141" i="11"/>
  <c r="I1141" i="11"/>
  <c r="H1141" i="11"/>
  <c r="G1141" i="11"/>
  <c r="J1140" i="11"/>
  <c r="I1140" i="11"/>
  <c r="H1140" i="11"/>
  <c r="G1140" i="11"/>
  <c r="J1139" i="11"/>
  <c r="I1139" i="11"/>
  <c r="H1139" i="11"/>
  <c r="G1139" i="11"/>
  <c r="J1138" i="11"/>
  <c r="I1138" i="11"/>
  <c r="H1138" i="11"/>
  <c r="G1138" i="11"/>
  <c r="J1137" i="11"/>
  <c r="I1137" i="11"/>
  <c r="H1137" i="11"/>
  <c r="G1137" i="11"/>
  <c r="J1136" i="11"/>
  <c r="I1136" i="11"/>
  <c r="H1136" i="11"/>
  <c r="G1136" i="11"/>
  <c r="J1135" i="11"/>
  <c r="I1135" i="11"/>
  <c r="H1135" i="11"/>
  <c r="G1135" i="11"/>
  <c r="J1134" i="11"/>
  <c r="I1134" i="11"/>
  <c r="H1134" i="11"/>
  <c r="G1134" i="11"/>
  <c r="J1133" i="11"/>
  <c r="I1133" i="11"/>
  <c r="H1133" i="11"/>
  <c r="G1133" i="11"/>
  <c r="J1132" i="11"/>
  <c r="I1132" i="11"/>
  <c r="H1132" i="11"/>
  <c r="G1132" i="11"/>
  <c r="J1131" i="11"/>
  <c r="I1131" i="11"/>
  <c r="H1131" i="11"/>
  <c r="G1131" i="11"/>
  <c r="J1130" i="11"/>
  <c r="I1130" i="11"/>
  <c r="H1130" i="11"/>
  <c r="G1130" i="11"/>
  <c r="J1129" i="11"/>
  <c r="I1129" i="11"/>
  <c r="H1129" i="11"/>
  <c r="G1129" i="11"/>
  <c r="J1128" i="11"/>
  <c r="I1128" i="11"/>
  <c r="H1128" i="11"/>
  <c r="G1128" i="11"/>
  <c r="J1127" i="11"/>
  <c r="I1127" i="11"/>
  <c r="H1127" i="11"/>
  <c r="G1127" i="11"/>
  <c r="J1126" i="11"/>
  <c r="I1126" i="11"/>
  <c r="H1126" i="11"/>
  <c r="G1126" i="11"/>
  <c r="J1125" i="11"/>
  <c r="I1125" i="11"/>
  <c r="H1125" i="11"/>
  <c r="G1125" i="11"/>
  <c r="J1124" i="11"/>
  <c r="I1124" i="11"/>
  <c r="H1124" i="11"/>
  <c r="G1124" i="11"/>
  <c r="J1123" i="11"/>
  <c r="I1123" i="11"/>
  <c r="H1123" i="11"/>
  <c r="G1123" i="11"/>
  <c r="J1122" i="11"/>
  <c r="I1122" i="11"/>
  <c r="H1122" i="11"/>
  <c r="G1122" i="11"/>
  <c r="J1121" i="11"/>
  <c r="I1121" i="11"/>
  <c r="H1121" i="11"/>
  <c r="G1121" i="11"/>
  <c r="J1120" i="11"/>
  <c r="I1120" i="11"/>
  <c r="H1120" i="11"/>
  <c r="G1120" i="11"/>
  <c r="J1119" i="11"/>
  <c r="I1119" i="11"/>
  <c r="H1119" i="11"/>
  <c r="G1119" i="11"/>
  <c r="J1118" i="11"/>
  <c r="I1118" i="11"/>
  <c r="H1118" i="11"/>
  <c r="G1118" i="11"/>
  <c r="J1117" i="11"/>
  <c r="I1117" i="11"/>
  <c r="H1117" i="11"/>
  <c r="G1117" i="11"/>
  <c r="J1116" i="11"/>
  <c r="I1116" i="11"/>
  <c r="H1116" i="11"/>
  <c r="G1116" i="11"/>
  <c r="J1115" i="11"/>
  <c r="I1115" i="11"/>
  <c r="H1115" i="11"/>
  <c r="G1115" i="11"/>
  <c r="J1114" i="11"/>
  <c r="I1114" i="11"/>
  <c r="H1114" i="11"/>
  <c r="G1114" i="11"/>
  <c r="J1113" i="11"/>
  <c r="I1113" i="11"/>
  <c r="H1113" i="11"/>
  <c r="G1113" i="11"/>
  <c r="J1112" i="11"/>
  <c r="I1112" i="11"/>
  <c r="H1112" i="11"/>
  <c r="G1112" i="11"/>
  <c r="J1111" i="11"/>
  <c r="I1111" i="11"/>
  <c r="H1111" i="11"/>
  <c r="G1111" i="11"/>
  <c r="J1110" i="11"/>
  <c r="I1110" i="11"/>
  <c r="H1110" i="11"/>
  <c r="G1110" i="11"/>
  <c r="J1109" i="11"/>
  <c r="I1109" i="11"/>
  <c r="H1109" i="11"/>
  <c r="G1109" i="11"/>
  <c r="J1108" i="11"/>
  <c r="I1108" i="11"/>
  <c r="H1108" i="11"/>
  <c r="G1108" i="11"/>
  <c r="J1107" i="11"/>
  <c r="I1107" i="11"/>
  <c r="H1107" i="11"/>
  <c r="G1107" i="11"/>
  <c r="J1106" i="11"/>
  <c r="I1106" i="11"/>
  <c r="H1106" i="11"/>
  <c r="G1106" i="11"/>
  <c r="J1105" i="11"/>
  <c r="I1105" i="11"/>
  <c r="H1105" i="11"/>
  <c r="G1105" i="11"/>
  <c r="J1104" i="11"/>
  <c r="I1104" i="11"/>
  <c r="H1104" i="11"/>
  <c r="G1104" i="11"/>
  <c r="J1103" i="11"/>
  <c r="I1103" i="11"/>
  <c r="H1103" i="11"/>
  <c r="G1103" i="11"/>
  <c r="J1102" i="11"/>
  <c r="I1102" i="11"/>
  <c r="H1102" i="11"/>
  <c r="G1102" i="11"/>
  <c r="J1101" i="11"/>
  <c r="I1101" i="11"/>
  <c r="H1101" i="11"/>
  <c r="G1101" i="11"/>
  <c r="J1100" i="11"/>
  <c r="I1100" i="11"/>
  <c r="H1100" i="11"/>
  <c r="G1100" i="11"/>
  <c r="J1099" i="11"/>
  <c r="I1099" i="11"/>
  <c r="H1099" i="11"/>
  <c r="G1099" i="11"/>
  <c r="J1098" i="11"/>
  <c r="I1098" i="11"/>
  <c r="H1098" i="11"/>
  <c r="G1098" i="11"/>
  <c r="J1097" i="11"/>
  <c r="I1097" i="11"/>
  <c r="H1097" i="11"/>
  <c r="G1097" i="11"/>
  <c r="J1096" i="11"/>
  <c r="I1096" i="11"/>
  <c r="H1096" i="11"/>
  <c r="G1096" i="11"/>
  <c r="J1095" i="11"/>
  <c r="I1095" i="11"/>
  <c r="H1095" i="11"/>
  <c r="G1095" i="11"/>
  <c r="J1094" i="11"/>
  <c r="I1094" i="11"/>
  <c r="H1094" i="11"/>
  <c r="G1094" i="11"/>
  <c r="J1093" i="11"/>
  <c r="I1093" i="11"/>
  <c r="H1093" i="11"/>
  <c r="G1093" i="11"/>
  <c r="J1092" i="11"/>
  <c r="I1092" i="11"/>
  <c r="H1092" i="11"/>
  <c r="G1092" i="11"/>
  <c r="J1091" i="11"/>
  <c r="I1091" i="11"/>
  <c r="H1091" i="11"/>
  <c r="G1091" i="11"/>
  <c r="J1090" i="11"/>
  <c r="I1090" i="11"/>
  <c r="H1090" i="11"/>
  <c r="G1090" i="11"/>
  <c r="J1089" i="11"/>
  <c r="I1089" i="11"/>
  <c r="H1089" i="11"/>
  <c r="G1089" i="11"/>
  <c r="J1088" i="11"/>
  <c r="I1088" i="11"/>
  <c r="H1088" i="11"/>
  <c r="G1088" i="11"/>
  <c r="J1087" i="11"/>
  <c r="I1087" i="11"/>
  <c r="H1087" i="11"/>
  <c r="G1087" i="11"/>
  <c r="J1086" i="11"/>
  <c r="I1086" i="11"/>
  <c r="H1086" i="11"/>
  <c r="G1086" i="11"/>
  <c r="J1085" i="11"/>
  <c r="I1085" i="11"/>
  <c r="H1085" i="11"/>
  <c r="G1085" i="11"/>
  <c r="J1084" i="11"/>
  <c r="I1084" i="11"/>
  <c r="H1084" i="11"/>
  <c r="G1084" i="11"/>
  <c r="J1083" i="11"/>
  <c r="I1083" i="11"/>
  <c r="H1083" i="11"/>
  <c r="G1083" i="11"/>
  <c r="J1082" i="11"/>
  <c r="I1082" i="11"/>
  <c r="H1082" i="11"/>
  <c r="G1082" i="11"/>
  <c r="J1081" i="11"/>
  <c r="I1081" i="11"/>
  <c r="H1081" i="11"/>
  <c r="G1081" i="11"/>
  <c r="J1080" i="11"/>
  <c r="I1080" i="11"/>
  <c r="H1080" i="11"/>
  <c r="G1080" i="11"/>
  <c r="J1079" i="11"/>
  <c r="I1079" i="11"/>
  <c r="H1079" i="11"/>
  <c r="G1079" i="11"/>
  <c r="J1078" i="11"/>
  <c r="I1078" i="11"/>
  <c r="H1078" i="11"/>
  <c r="G1078" i="11"/>
  <c r="J1077" i="11"/>
  <c r="I1077" i="11"/>
  <c r="H1077" i="11"/>
  <c r="G1077" i="11"/>
  <c r="J1076" i="11"/>
  <c r="I1076" i="11"/>
  <c r="H1076" i="11"/>
  <c r="G1076" i="11"/>
  <c r="J1075" i="11"/>
  <c r="I1075" i="11"/>
  <c r="H1075" i="11"/>
  <c r="G1075" i="11"/>
  <c r="J1074" i="11"/>
  <c r="I1074" i="11"/>
  <c r="H1074" i="11"/>
  <c r="G1074" i="11"/>
  <c r="J1073" i="11"/>
  <c r="I1073" i="11"/>
  <c r="H1073" i="11"/>
  <c r="G1073" i="11"/>
  <c r="J1072" i="11"/>
  <c r="I1072" i="11"/>
  <c r="H1072" i="11"/>
  <c r="G1072" i="11"/>
  <c r="J1071" i="11"/>
  <c r="I1071" i="11"/>
  <c r="H1071" i="11"/>
  <c r="G1071" i="11"/>
  <c r="J1070" i="11"/>
  <c r="I1070" i="11"/>
  <c r="H1070" i="11"/>
  <c r="G1070" i="11"/>
  <c r="J1069" i="11"/>
  <c r="I1069" i="11"/>
  <c r="H1069" i="11"/>
  <c r="G1069" i="11"/>
  <c r="J1068" i="11"/>
  <c r="I1068" i="11"/>
  <c r="H1068" i="11"/>
  <c r="G1068" i="11"/>
  <c r="J1067" i="11"/>
  <c r="I1067" i="11"/>
  <c r="H1067" i="11"/>
  <c r="G1067" i="11"/>
  <c r="J1066" i="11"/>
  <c r="I1066" i="11"/>
  <c r="H1066" i="11"/>
  <c r="G1066" i="11"/>
  <c r="J1065" i="11"/>
  <c r="I1065" i="11"/>
  <c r="H1065" i="11"/>
  <c r="G1065" i="11"/>
  <c r="J1064" i="11"/>
  <c r="I1064" i="11"/>
  <c r="H1064" i="11"/>
  <c r="G1064" i="11"/>
  <c r="J1063" i="11"/>
  <c r="I1063" i="11"/>
  <c r="H1063" i="11"/>
  <c r="G1063" i="11"/>
  <c r="J1062" i="11"/>
  <c r="I1062" i="11"/>
  <c r="H1062" i="11"/>
  <c r="G1062" i="11"/>
  <c r="J1061" i="11"/>
  <c r="I1061" i="11"/>
  <c r="H1061" i="11"/>
  <c r="G1061" i="11"/>
  <c r="J1060" i="11"/>
  <c r="I1060" i="11"/>
  <c r="H1060" i="11"/>
  <c r="G1060" i="11"/>
  <c r="J1059" i="11"/>
  <c r="I1059" i="11"/>
  <c r="H1059" i="11"/>
  <c r="G1059" i="11"/>
  <c r="J1058" i="11"/>
  <c r="I1058" i="11"/>
  <c r="H1058" i="11"/>
  <c r="G1058" i="11"/>
  <c r="J1057" i="11"/>
  <c r="I1057" i="11"/>
  <c r="H1057" i="11"/>
  <c r="G1057" i="11"/>
  <c r="J1056" i="11"/>
  <c r="I1056" i="11"/>
  <c r="H1056" i="11"/>
  <c r="G1056" i="11"/>
  <c r="J1055" i="11"/>
  <c r="I1055" i="11"/>
  <c r="H1055" i="11"/>
  <c r="G1055" i="11"/>
  <c r="J1054" i="11"/>
  <c r="I1054" i="11"/>
  <c r="H1054" i="11"/>
  <c r="G1054" i="11"/>
  <c r="J1053" i="11"/>
  <c r="I1053" i="11"/>
  <c r="H1053" i="11"/>
  <c r="G1053" i="11"/>
  <c r="J1052" i="11"/>
  <c r="I1052" i="11"/>
  <c r="H1052" i="11"/>
  <c r="G1052" i="11"/>
  <c r="J1051" i="11"/>
  <c r="I1051" i="11"/>
  <c r="H1051" i="11"/>
  <c r="G1051" i="11"/>
  <c r="J1050" i="11"/>
  <c r="I1050" i="11"/>
  <c r="H1050" i="11"/>
  <c r="G1050" i="11"/>
  <c r="J1049" i="11"/>
  <c r="I1049" i="11"/>
  <c r="H1049" i="11"/>
  <c r="G1049" i="11"/>
  <c r="J1048" i="11"/>
  <c r="I1048" i="11"/>
  <c r="H1048" i="11"/>
  <c r="G1048" i="11"/>
  <c r="J1047" i="11"/>
  <c r="I1047" i="11"/>
  <c r="H1047" i="11"/>
  <c r="G1047" i="11"/>
  <c r="J1046" i="11"/>
  <c r="I1046" i="11"/>
  <c r="H1046" i="11"/>
  <c r="G1046" i="11"/>
  <c r="J1045" i="11"/>
  <c r="I1045" i="11"/>
  <c r="H1045" i="11"/>
  <c r="G1045" i="11"/>
  <c r="J1044" i="11"/>
  <c r="I1044" i="11"/>
  <c r="H1044" i="11"/>
  <c r="G1044" i="11"/>
  <c r="J1043" i="11"/>
  <c r="I1043" i="11"/>
  <c r="H1043" i="11"/>
  <c r="G1043" i="11"/>
  <c r="J1042" i="11"/>
  <c r="I1042" i="11"/>
  <c r="H1042" i="11"/>
  <c r="G1042" i="11"/>
  <c r="J1041" i="11"/>
  <c r="I1041" i="11"/>
  <c r="H1041" i="11"/>
  <c r="G1041" i="11"/>
  <c r="J1040" i="11"/>
  <c r="I1040" i="11"/>
  <c r="H1040" i="11"/>
  <c r="G1040" i="11"/>
  <c r="J1039" i="11"/>
  <c r="I1039" i="11"/>
  <c r="H1039" i="11"/>
  <c r="G1039" i="11"/>
  <c r="J1038" i="11"/>
  <c r="I1038" i="11"/>
  <c r="H1038" i="11"/>
  <c r="G1038" i="11"/>
  <c r="J1037" i="11"/>
  <c r="I1037" i="11"/>
  <c r="H1037" i="11"/>
  <c r="G1037" i="11"/>
  <c r="J1036" i="11"/>
  <c r="I1036" i="11"/>
  <c r="H1036" i="11"/>
  <c r="G1036" i="11"/>
  <c r="J1035" i="11"/>
  <c r="I1035" i="11"/>
  <c r="H1035" i="11"/>
  <c r="G1035" i="11"/>
  <c r="J1034" i="11"/>
  <c r="I1034" i="11"/>
  <c r="H1034" i="11"/>
  <c r="G1034" i="11"/>
  <c r="J1033" i="11"/>
  <c r="I1033" i="11"/>
  <c r="H1033" i="11"/>
  <c r="G1033" i="11"/>
  <c r="J1032" i="11"/>
  <c r="I1032" i="11"/>
  <c r="H1032" i="11"/>
  <c r="G1032" i="11"/>
  <c r="J1031" i="11"/>
  <c r="I1031" i="11"/>
  <c r="H1031" i="11"/>
  <c r="G1031" i="11"/>
  <c r="J1030" i="11"/>
  <c r="I1030" i="11"/>
  <c r="H1030" i="11"/>
  <c r="G1030" i="11"/>
  <c r="J1029" i="11"/>
  <c r="I1029" i="11"/>
  <c r="H1029" i="11"/>
  <c r="G1029" i="11"/>
  <c r="J1028" i="11"/>
  <c r="I1028" i="11"/>
  <c r="H1028" i="11"/>
  <c r="G1028" i="11"/>
  <c r="J1027" i="11"/>
  <c r="I1027" i="11"/>
  <c r="H1027" i="11"/>
  <c r="G1027" i="11"/>
  <c r="J1026" i="11"/>
  <c r="I1026" i="11"/>
  <c r="H1026" i="11"/>
  <c r="G1026" i="11"/>
  <c r="J1025" i="11"/>
  <c r="I1025" i="11"/>
  <c r="H1025" i="11"/>
  <c r="G1025" i="11"/>
  <c r="J1024" i="11"/>
  <c r="I1024" i="11"/>
  <c r="H1024" i="11"/>
  <c r="G1024" i="11"/>
  <c r="J1023" i="11"/>
  <c r="I1023" i="11"/>
  <c r="H1023" i="11"/>
  <c r="G1023" i="11"/>
  <c r="J1022" i="11"/>
  <c r="I1022" i="11"/>
  <c r="H1022" i="11"/>
  <c r="G1022" i="11"/>
  <c r="J1021" i="11"/>
  <c r="I1021" i="11"/>
  <c r="H1021" i="11"/>
  <c r="G1021" i="11"/>
  <c r="J1020" i="11"/>
  <c r="I1020" i="11"/>
  <c r="H1020" i="11"/>
  <c r="G1020" i="11"/>
  <c r="J1019" i="11"/>
  <c r="I1019" i="11"/>
  <c r="H1019" i="11"/>
  <c r="G1019" i="11"/>
  <c r="J1018" i="11"/>
  <c r="I1018" i="11"/>
  <c r="H1018" i="11"/>
  <c r="G1018" i="11"/>
  <c r="J1017" i="11"/>
  <c r="I1017" i="11"/>
  <c r="H1017" i="11"/>
  <c r="G1017" i="11"/>
  <c r="J1016" i="11"/>
  <c r="I1016" i="11"/>
  <c r="H1016" i="11"/>
  <c r="G1016" i="11"/>
  <c r="J1015" i="11"/>
  <c r="I1015" i="11"/>
  <c r="H1015" i="11"/>
  <c r="G1015" i="11"/>
  <c r="J1014" i="11"/>
  <c r="I1014" i="11"/>
  <c r="H1014" i="11"/>
  <c r="G1014" i="11"/>
  <c r="J1013" i="11"/>
  <c r="I1013" i="11"/>
  <c r="H1013" i="11"/>
  <c r="G1013" i="11"/>
  <c r="J1012" i="11"/>
  <c r="I1012" i="11"/>
  <c r="H1012" i="11"/>
  <c r="G1012" i="11"/>
  <c r="J1011" i="11"/>
  <c r="I1011" i="11"/>
  <c r="H1011" i="11"/>
  <c r="G1011" i="11"/>
  <c r="J1010" i="11"/>
  <c r="I1010" i="11"/>
  <c r="H1010" i="11"/>
  <c r="G1010" i="11"/>
  <c r="J1009" i="11"/>
  <c r="I1009" i="11"/>
  <c r="H1009" i="11"/>
  <c r="G1009" i="11"/>
  <c r="J1008" i="11"/>
  <c r="I1008" i="11"/>
  <c r="H1008" i="11"/>
  <c r="G1008" i="11"/>
  <c r="J1007" i="11"/>
  <c r="I1007" i="11"/>
  <c r="H1007" i="11"/>
  <c r="G1007" i="11"/>
  <c r="J1006" i="11"/>
  <c r="I1006" i="11"/>
  <c r="H1006" i="11"/>
  <c r="G1006" i="11"/>
  <c r="J1005" i="11"/>
  <c r="I1005" i="11"/>
  <c r="H1005" i="11"/>
  <c r="G1005" i="11"/>
  <c r="J1004" i="11"/>
  <c r="I1004" i="11"/>
  <c r="H1004" i="11"/>
  <c r="G1004" i="11"/>
  <c r="J1003" i="11"/>
  <c r="I1003" i="11"/>
  <c r="H1003" i="11"/>
  <c r="G1003" i="11"/>
  <c r="J1002" i="11"/>
  <c r="I1002" i="11"/>
  <c r="H1002" i="11"/>
  <c r="G1002" i="11"/>
  <c r="J1001" i="11"/>
  <c r="I1001" i="11"/>
  <c r="H1001" i="11"/>
  <c r="G1001" i="11"/>
  <c r="J1000" i="11"/>
  <c r="I1000" i="11"/>
  <c r="H1000" i="11"/>
  <c r="G1000" i="11"/>
  <c r="J999" i="11"/>
  <c r="I999" i="11"/>
  <c r="H999" i="11"/>
  <c r="G999" i="11"/>
  <c r="J998" i="11"/>
  <c r="I998" i="11"/>
  <c r="H998" i="11"/>
  <c r="G998" i="11"/>
  <c r="J997" i="11"/>
  <c r="I997" i="11"/>
  <c r="H997" i="11"/>
  <c r="G997" i="11"/>
  <c r="J996" i="11"/>
  <c r="I996" i="11"/>
  <c r="H996" i="11"/>
  <c r="G996" i="11"/>
  <c r="J995" i="11"/>
  <c r="I995" i="11"/>
  <c r="H995" i="11"/>
  <c r="G995" i="11"/>
  <c r="J994" i="11"/>
  <c r="I994" i="11"/>
  <c r="H994" i="11"/>
  <c r="G994" i="11"/>
  <c r="J993" i="11"/>
  <c r="I993" i="11"/>
  <c r="H993" i="11"/>
  <c r="G993" i="11"/>
  <c r="J992" i="11"/>
  <c r="I992" i="11"/>
  <c r="H992" i="11"/>
  <c r="G992" i="11"/>
  <c r="J991" i="11"/>
  <c r="I991" i="11"/>
  <c r="H991" i="11"/>
  <c r="G991" i="11"/>
  <c r="J990" i="11"/>
  <c r="I990" i="11"/>
  <c r="H990" i="11"/>
  <c r="G990" i="11"/>
  <c r="J989" i="11"/>
  <c r="I989" i="11"/>
  <c r="H989" i="11"/>
  <c r="G989" i="11"/>
  <c r="J988" i="11"/>
  <c r="I988" i="11"/>
  <c r="H988" i="11"/>
  <c r="G988" i="11"/>
  <c r="J987" i="11"/>
  <c r="I987" i="11"/>
  <c r="H987" i="11"/>
  <c r="G987" i="11"/>
  <c r="J986" i="11"/>
  <c r="I986" i="11"/>
  <c r="H986" i="11"/>
  <c r="G986" i="11"/>
  <c r="J985" i="11"/>
  <c r="I985" i="11"/>
  <c r="H985" i="11"/>
  <c r="G985" i="11"/>
  <c r="J984" i="11"/>
  <c r="I984" i="11"/>
  <c r="H984" i="11"/>
  <c r="G984" i="11"/>
  <c r="J983" i="11"/>
  <c r="I983" i="11"/>
  <c r="H983" i="11"/>
  <c r="G983" i="11"/>
  <c r="J982" i="11"/>
  <c r="I982" i="11"/>
  <c r="H982" i="11"/>
  <c r="G982" i="11"/>
  <c r="J981" i="11"/>
  <c r="I981" i="11"/>
  <c r="H981" i="11"/>
  <c r="G981" i="11"/>
  <c r="J980" i="11"/>
  <c r="I980" i="11"/>
  <c r="H980" i="11"/>
  <c r="G980" i="11"/>
  <c r="J979" i="11"/>
  <c r="I979" i="11"/>
  <c r="H979" i="11"/>
  <c r="G979" i="11"/>
  <c r="J978" i="11"/>
  <c r="I978" i="11"/>
  <c r="H978" i="11"/>
  <c r="G978" i="11"/>
  <c r="J977" i="11"/>
  <c r="I977" i="11"/>
  <c r="H977" i="11"/>
  <c r="G977" i="11"/>
  <c r="J976" i="11"/>
  <c r="I976" i="11"/>
  <c r="H976" i="11"/>
  <c r="G976" i="11"/>
  <c r="J975" i="11"/>
  <c r="I975" i="11"/>
  <c r="H975" i="11"/>
  <c r="G975" i="11"/>
  <c r="J974" i="11"/>
  <c r="I974" i="11"/>
  <c r="H974" i="11"/>
  <c r="G974" i="11"/>
  <c r="J973" i="11"/>
  <c r="I973" i="11"/>
  <c r="H973" i="11"/>
  <c r="G973" i="11"/>
  <c r="J972" i="11"/>
  <c r="I972" i="11"/>
  <c r="H972" i="11"/>
  <c r="G972" i="11"/>
  <c r="J971" i="11"/>
  <c r="I971" i="11"/>
  <c r="H971" i="11"/>
  <c r="G971" i="11"/>
  <c r="J970" i="11"/>
  <c r="I970" i="11"/>
  <c r="H970" i="11"/>
  <c r="G970" i="11"/>
  <c r="J969" i="11"/>
  <c r="I969" i="11"/>
  <c r="H969" i="11"/>
  <c r="G969" i="11"/>
  <c r="J968" i="11"/>
  <c r="I968" i="11"/>
  <c r="H968" i="11"/>
  <c r="G968" i="11"/>
  <c r="J967" i="11"/>
  <c r="I967" i="11"/>
  <c r="H967" i="11"/>
  <c r="G967" i="11"/>
  <c r="J966" i="11"/>
  <c r="I966" i="11"/>
  <c r="H966" i="11"/>
  <c r="G966" i="11"/>
  <c r="J965" i="11"/>
  <c r="I965" i="11"/>
  <c r="H965" i="11"/>
  <c r="G965" i="11"/>
  <c r="J964" i="11"/>
  <c r="I964" i="11"/>
  <c r="H964" i="11"/>
  <c r="G964" i="11"/>
  <c r="J963" i="11"/>
  <c r="I963" i="11"/>
  <c r="H963" i="11"/>
  <c r="G963" i="11"/>
  <c r="J962" i="11"/>
  <c r="I962" i="11"/>
  <c r="H962" i="11"/>
  <c r="G962" i="11"/>
  <c r="J961" i="11"/>
  <c r="I961" i="11"/>
  <c r="H961" i="11"/>
  <c r="G961" i="11"/>
  <c r="J960" i="11"/>
  <c r="I960" i="11"/>
  <c r="H960" i="11"/>
  <c r="G960" i="11"/>
  <c r="J959" i="11"/>
  <c r="I959" i="11"/>
  <c r="H959" i="11"/>
  <c r="G959" i="11"/>
  <c r="J958" i="11"/>
  <c r="I958" i="11"/>
  <c r="H958" i="11"/>
  <c r="G958" i="11"/>
  <c r="J957" i="11"/>
  <c r="I957" i="11"/>
  <c r="H957" i="11"/>
  <c r="G957" i="11"/>
  <c r="J956" i="11"/>
  <c r="I956" i="11"/>
  <c r="H956" i="11"/>
  <c r="G956" i="11"/>
  <c r="J955" i="11"/>
  <c r="I955" i="11"/>
  <c r="H955" i="11"/>
  <c r="G955" i="11"/>
  <c r="J954" i="11"/>
  <c r="I954" i="11"/>
  <c r="H954" i="11"/>
  <c r="G954" i="11"/>
  <c r="J953" i="11"/>
  <c r="I953" i="11"/>
  <c r="H953" i="11"/>
  <c r="G953" i="11"/>
  <c r="J952" i="11"/>
  <c r="I952" i="11"/>
  <c r="H952" i="11"/>
  <c r="G952" i="11"/>
  <c r="J951" i="11"/>
  <c r="I951" i="11"/>
  <c r="H951" i="11"/>
  <c r="G951" i="11"/>
  <c r="J950" i="11"/>
  <c r="I950" i="11"/>
  <c r="H950" i="11"/>
  <c r="G950" i="11"/>
  <c r="J949" i="11"/>
  <c r="I949" i="11"/>
  <c r="H949" i="11"/>
  <c r="G949" i="11"/>
  <c r="J948" i="11"/>
  <c r="I948" i="11"/>
  <c r="H948" i="11"/>
  <c r="G948" i="11"/>
  <c r="J947" i="11"/>
  <c r="I947" i="11"/>
  <c r="H947" i="11"/>
  <c r="G947" i="11"/>
  <c r="J946" i="11"/>
  <c r="I946" i="11"/>
  <c r="H946" i="11"/>
  <c r="G946" i="11"/>
  <c r="J945" i="11"/>
  <c r="I945" i="11"/>
  <c r="H945" i="11"/>
  <c r="G945" i="11"/>
  <c r="J944" i="11"/>
  <c r="I944" i="11"/>
  <c r="H944" i="11"/>
  <c r="G944" i="11"/>
  <c r="J943" i="11"/>
  <c r="I943" i="11"/>
  <c r="H943" i="11"/>
  <c r="G943" i="11"/>
  <c r="J942" i="11"/>
  <c r="I942" i="11"/>
  <c r="H942" i="11"/>
  <c r="G942" i="11"/>
  <c r="J941" i="11"/>
  <c r="I941" i="11"/>
  <c r="H941" i="11"/>
  <c r="G941" i="11"/>
  <c r="J940" i="11"/>
  <c r="I940" i="11"/>
  <c r="H940" i="11"/>
  <c r="G940" i="11"/>
  <c r="J939" i="11"/>
  <c r="I939" i="11"/>
  <c r="H939" i="11"/>
  <c r="G939" i="11"/>
  <c r="J938" i="11"/>
  <c r="I938" i="11"/>
  <c r="H938" i="11"/>
  <c r="G938" i="11"/>
  <c r="J937" i="11"/>
  <c r="I937" i="11"/>
  <c r="H937" i="11"/>
  <c r="G937" i="11"/>
  <c r="J936" i="11"/>
  <c r="I936" i="11"/>
  <c r="H936" i="11"/>
  <c r="G936" i="11"/>
  <c r="J935" i="11"/>
  <c r="I935" i="11"/>
  <c r="H935" i="11"/>
  <c r="G935" i="11"/>
  <c r="J934" i="11"/>
  <c r="I934" i="11"/>
  <c r="H934" i="11"/>
  <c r="G934" i="11"/>
  <c r="J933" i="11"/>
  <c r="I933" i="11"/>
  <c r="H933" i="11"/>
  <c r="G933" i="11"/>
  <c r="J932" i="11"/>
  <c r="I932" i="11"/>
  <c r="H932" i="11"/>
  <c r="G932" i="11"/>
  <c r="J931" i="11"/>
  <c r="I931" i="11"/>
  <c r="H931" i="11"/>
  <c r="G931" i="11"/>
  <c r="J930" i="11"/>
  <c r="I930" i="11"/>
  <c r="H930" i="11"/>
  <c r="G930" i="11"/>
  <c r="J929" i="11"/>
  <c r="I929" i="11"/>
  <c r="H929" i="11"/>
  <c r="G929" i="11"/>
  <c r="J928" i="11"/>
  <c r="I928" i="11"/>
  <c r="H928" i="11"/>
  <c r="G928" i="11"/>
  <c r="J927" i="11"/>
  <c r="I927" i="11"/>
  <c r="H927" i="11"/>
  <c r="G927" i="11"/>
  <c r="J926" i="11"/>
  <c r="I926" i="11"/>
  <c r="H926" i="11"/>
  <c r="G926" i="11"/>
  <c r="J925" i="11"/>
  <c r="I925" i="11"/>
  <c r="H925" i="11"/>
  <c r="G925" i="11"/>
  <c r="J924" i="11"/>
  <c r="I924" i="11"/>
  <c r="H924" i="11"/>
  <c r="G924" i="11"/>
  <c r="J923" i="11"/>
  <c r="I923" i="11"/>
  <c r="H923" i="11"/>
  <c r="G923" i="11"/>
  <c r="J922" i="11"/>
  <c r="I922" i="11"/>
  <c r="H922" i="11"/>
  <c r="G922" i="11"/>
  <c r="J921" i="11"/>
  <c r="I921" i="11"/>
  <c r="H921" i="11"/>
  <c r="G921" i="11"/>
  <c r="J920" i="11"/>
  <c r="I920" i="11"/>
  <c r="H920" i="11"/>
  <c r="G920" i="11"/>
  <c r="J919" i="11"/>
  <c r="I919" i="11"/>
  <c r="H919" i="11"/>
  <c r="G919" i="11"/>
  <c r="J918" i="11"/>
  <c r="I918" i="11"/>
  <c r="H918" i="11"/>
  <c r="G918" i="11"/>
  <c r="J917" i="11"/>
  <c r="I917" i="11"/>
  <c r="H917" i="11"/>
  <c r="G917" i="11"/>
  <c r="J916" i="11"/>
  <c r="I916" i="11"/>
  <c r="H916" i="11"/>
  <c r="G916" i="11"/>
  <c r="J915" i="11"/>
  <c r="I915" i="11"/>
  <c r="H915" i="11"/>
  <c r="G915" i="11"/>
  <c r="J914" i="11"/>
  <c r="I914" i="11"/>
  <c r="H914" i="11"/>
  <c r="G914" i="11"/>
  <c r="J913" i="11"/>
  <c r="I913" i="11"/>
  <c r="H913" i="11"/>
  <c r="G913" i="11"/>
  <c r="J912" i="11"/>
  <c r="I912" i="11"/>
  <c r="H912" i="11"/>
  <c r="G912" i="11"/>
  <c r="J911" i="11"/>
  <c r="I911" i="11"/>
  <c r="H911" i="11"/>
  <c r="G911" i="11"/>
  <c r="J910" i="11"/>
  <c r="I910" i="11"/>
  <c r="H910" i="11"/>
  <c r="G910" i="11"/>
  <c r="J909" i="11"/>
  <c r="I909" i="11"/>
  <c r="H909" i="11"/>
  <c r="G909" i="11"/>
  <c r="J908" i="11"/>
  <c r="I908" i="11"/>
  <c r="H908" i="11"/>
  <c r="G908" i="11"/>
  <c r="J907" i="11"/>
  <c r="I907" i="11"/>
  <c r="H907" i="11"/>
  <c r="G907" i="11"/>
  <c r="J906" i="11"/>
  <c r="I906" i="11"/>
  <c r="H906" i="11"/>
  <c r="G906" i="11"/>
  <c r="J905" i="11"/>
  <c r="I905" i="11"/>
  <c r="H905" i="11"/>
  <c r="G905" i="11"/>
  <c r="J904" i="11"/>
  <c r="I904" i="11"/>
  <c r="H904" i="11"/>
  <c r="G904" i="11"/>
  <c r="J903" i="11"/>
  <c r="I903" i="11"/>
  <c r="H903" i="11"/>
  <c r="G903" i="11"/>
  <c r="J902" i="11"/>
  <c r="I902" i="11"/>
  <c r="H902" i="11"/>
  <c r="G902" i="11"/>
  <c r="J901" i="11"/>
  <c r="I901" i="11"/>
  <c r="H901" i="11"/>
  <c r="G901" i="11"/>
  <c r="J900" i="11"/>
  <c r="I900" i="11"/>
  <c r="H900" i="11"/>
  <c r="G900" i="11"/>
  <c r="J899" i="11"/>
  <c r="I899" i="11"/>
  <c r="H899" i="11"/>
  <c r="G899" i="11"/>
  <c r="J898" i="11"/>
  <c r="I898" i="11"/>
  <c r="H898" i="11"/>
  <c r="G898" i="11"/>
  <c r="J897" i="11"/>
  <c r="I897" i="11"/>
  <c r="H897" i="11"/>
  <c r="G897" i="11"/>
  <c r="J896" i="11"/>
  <c r="I896" i="11"/>
  <c r="H896" i="11"/>
  <c r="G896" i="11"/>
  <c r="J895" i="11"/>
  <c r="I895" i="11"/>
  <c r="H895" i="11"/>
  <c r="G895" i="11"/>
  <c r="J894" i="11"/>
  <c r="I894" i="11"/>
  <c r="H894" i="11"/>
  <c r="G894" i="11"/>
  <c r="J893" i="11"/>
  <c r="I893" i="11"/>
  <c r="H893" i="11"/>
  <c r="G893" i="11"/>
  <c r="J892" i="11"/>
  <c r="I892" i="11"/>
  <c r="H892" i="11"/>
  <c r="G892" i="11"/>
  <c r="J891" i="11"/>
  <c r="I891" i="11"/>
  <c r="H891" i="11"/>
  <c r="G891" i="11"/>
  <c r="J890" i="11"/>
  <c r="I890" i="11"/>
  <c r="H890" i="11"/>
  <c r="G890" i="11"/>
  <c r="J889" i="11"/>
  <c r="I889" i="11"/>
  <c r="H889" i="11"/>
  <c r="G889" i="11"/>
  <c r="J888" i="11"/>
  <c r="I888" i="11"/>
  <c r="H888" i="11"/>
  <c r="G888" i="11"/>
  <c r="J887" i="11"/>
  <c r="I887" i="11"/>
  <c r="H887" i="11"/>
  <c r="G887" i="11"/>
  <c r="J886" i="11"/>
  <c r="I886" i="11"/>
  <c r="H886" i="11"/>
  <c r="G886" i="11"/>
  <c r="J885" i="11"/>
  <c r="I885" i="11"/>
  <c r="H885" i="11"/>
  <c r="G885" i="11"/>
  <c r="J884" i="11"/>
  <c r="I884" i="11"/>
  <c r="H884" i="11"/>
  <c r="G884" i="11"/>
  <c r="J883" i="11"/>
  <c r="I883" i="11"/>
  <c r="H883" i="11"/>
  <c r="G883" i="11"/>
  <c r="J882" i="11"/>
  <c r="I882" i="11"/>
  <c r="H882" i="11"/>
  <c r="G882" i="11"/>
  <c r="J881" i="11"/>
  <c r="I881" i="11"/>
  <c r="H881" i="11"/>
  <c r="G881" i="11"/>
  <c r="J880" i="11"/>
  <c r="I880" i="11"/>
  <c r="H880" i="11"/>
  <c r="G880" i="11"/>
  <c r="J879" i="11"/>
  <c r="I879" i="11"/>
  <c r="H879" i="11"/>
  <c r="G879" i="11"/>
  <c r="J878" i="11"/>
  <c r="I878" i="11"/>
  <c r="H878" i="11"/>
  <c r="G878" i="11"/>
  <c r="J877" i="11"/>
  <c r="I877" i="11"/>
  <c r="H877" i="11"/>
  <c r="G877" i="11"/>
  <c r="J876" i="11"/>
  <c r="I876" i="11"/>
  <c r="H876" i="11"/>
  <c r="G876" i="11"/>
  <c r="J875" i="11"/>
  <c r="I875" i="11"/>
  <c r="H875" i="11"/>
  <c r="G875" i="11"/>
  <c r="J874" i="11"/>
  <c r="I874" i="11"/>
  <c r="H874" i="11"/>
  <c r="G874" i="11"/>
  <c r="J873" i="11"/>
  <c r="I873" i="11"/>
  <c r="H873" i="11"/>
  <c r="G873" i="11"/>
  <c r="J872" i="11"/>
  <c r="I872" i="11"/>
  <c r="H872" i="11"/>
  <c r="G872" i="11"/>
  <c r="J871" i="11"/>
  <c r="I871" i="11"/>
  <c r="H871" i="11"/>
  <c r="G871" i="11"/>
  <c r="J870" i="11"/>
  <c r="I870" i="11"/>
  <c r="H870" i="11"/>
  <c r="G870" i="11"/>
  <c r="J869" i="11"/>
  <c r="I869" i="11"/>
  <c r="H869" i="11"/>
  <c r="G869" i="11"/>
  <c r="J868" i="11"/>
  <c r="I868" i="11"/>
  <c r="H868" i="11"/>
  <c r="G868" i="11"/>
  <c r="J867" i="11"/>
  <c r="I867" i="11"/>
  <c r="H867" i="11"/>
  <c r="G867" i="11"/>
  <c r="J866" i="11"/>
  <c r="I866" i="11"/>
  <c r="H866" i="11"/>
  <c r="G866" i="11"/>
  <c r="J865" i="11"/>
  <c r="I865" i="11"/>
  <c r="H865" i="11"/>
  <c r="G865" i="11"/>
  <c r="J864" i="11"/>
  <c r="I864" i="11"/>
  <c r="H864" i="11"/>
  <c r="G864" i="11"/>
  <c r="J863" i="11"/>
  <c r="I863" i="11"/>
  <c r="H863" i="11"/>
  <c r="G863" i="11"/>
  <c r="J862" i="11"/>
  <c r="I862" i="11"/>
  <c r="H862" i="11"/>
  <c r="G862" i="11"/>
  <c r="J861" i="11"/>
  <c r="I861" i="11"/>
  <c r="H861" i="11"/>
  <c r="G861" i="11"/>
  <c r="J860" i="11"/>
  <c r="I860" i="11"/>
  <c r="H860" i="11"/>
  <c r="G860" i="11"/>
  <c r="J859" i="11"/>
  <c r="I859" i="11"/>
  <c r="H859" i="11"/>
  <c r="G859" i="11"/>
  <c r="J858" i="11"/>
  <c r="I858" i="11"/>
  <c r="H858" i="11"/>
  <c r="G858" i="11"/>
  <c r="J857" i="11"/>
  <c r="I857" i="11"/>
  <c r="H857" i="11"/>
  <c r="G857" i="11"/>
  <c r="J856" i="11"/>
  <c r="I856" i="11"/>
  <c r="H856" i="11"/>
  <c r="G856" i="11"/>
  <c r="J855" i="11"/>
  <c r="I855" i="11"/>
  <c r="H855" i="11"/>
  <c r="G855" i="11"/>
  <c r="J854" i="11"/>
  <c r="I854" i="11"/>
  <c r="H854" i="11"/>
  <c r="G854" i="11"/>
  <c r="J853" i="11"/>
  <c r="I853" i="11"/>
  <c r="H853" i="11"/>
  <c r="G853" i="11"/>
  <c r="J852" i="11"/>
  <c r="I852" i="11"/>
  <c r="H852" i="11"/>
  <c r="G852" i="11"/>
  <c r="J851" i="11"/>
  <c r="I851" i="11"/>
  <c r="H851" i="11"/>
  <c r="G851" i="11"/>
  <c r="J850" i="11"/>
  <c r="I850" i="11"/>
  <c r="H850" i="11"/>
  <c r="G850" i="11"/>
  <c r="J849" i="11"/>
  <c r="I849" i="11"/>
  <c r="H849" i="11"/>
  <c r="G849" i="11"/>
  <c r="J848" i="11"/>
  <c r="I848" i="11"/>
  <c r="H848" i="11"/>
  <c r="G848" i="11"/>
  <c r="J847" i="11"/>
  <c r="I847" i="11"/>
  <c r="H847" i="11"/>
  <c r="G847" i="11"/>
  <c r="J846" i="11"/>
  <c r="I846" i="11"/>
  <c r="H846" i="11"/>
  <c r="G846" i="11"/>
  <c r="J845" i="11"/>
  <c r="I845" i="11"/>
  <c r="H845" i="11"/>
  <c r="G845" i="11"/>
  <c r="J844" i="11"/>
  <c r="I844" i="11"/>
  <c r="H844" i="11"/>
  <c r="G844" i="11"/>
  <c r="J843" i="11"/>
  <c r="I843" i="11"/>
  <c r="H843" i="11"/>
  <c r="G843" i="11"/>
  <c r="J842" i="11"/>
  <c r="I842" i="11"/>
  <c r="H842" i="11"/>
  <c r="G842" i="11"/>
  <c r="J841" i="11"/>
  <c r="I841" i="11"/>
  <c r="H841" i="11"/>
  <c r="G841" i="11"/>
  <c r="J840" i="11"/>
  <c r="I840" i="11"/>
  <c r="H840" i="11"/>
  <c r="G840" i="11"/>
  <c r="J839" i="11"/>
  <c r="I839" i="11"/>
  <c r="H839" i="11"/>
  <c r="G839" i="11"/>
  <c r="J838" i="11"/>
  <c r="I838" i="11"/>
  <c r="H838" i="11"/>
  <c r="G838" i="11"/>
  <c r="J837" i="11"/>
  <c r="I837" i="11"/>
  <c r="H837" i="11"/>
  <c r="G837" i="11"/>
  <c r="J836" i="11"/>
  <c r="I836" i="11"/>
  <c r="H836" i="11"/>
  <c r="G836" i="11"/>
  <c r="J835" i="11"/>
  <c r="I835" i="11"/>
  <c r="H835" i="11"/>
  <c r="G835" i="11"/>
  <c r="J834" i="11"/>
  <c r="I834" i="11"/>
  <c r="H834" i="11"/>
  <c r="G834" i="11"/>
  <c r="J833" i="11"/>
  <c r="I833" i="11"/>
  <c r="H833" i="11"/>
  <c r="G833" i="11"/>
  <c r="J832" i="11"/>
  <c r="I832" i="11"/>
  <c r="H832" i="11"/>
  <c r="G832" i="11"/>
  <c r="J831" i="11"/>
  <c r="I831" i="11"/>
  <c r="H831" i="11"/>
  <c r="G831" i="11"/>
  <c r="J830" i="11"/>
  <c r="I830" i="11"/>
  <c r="H830" i="11"/>
  <c r="G830" i="11"/>
  <c r="J829" i="11"/>
  <c r="I829" i="11"/>
  <c r="H829" i="11"/>
  <c r="G829" i="11"/>
  <c r="J828" i="11"/>
  <c r="I828" i="11"/>
  <c r="H828" i="11"/>
  <c r="G828" i="11"/>
  <c r="J827" i="11"/>
  <c r="I827" i="11"/>
  <c r="H827" i="11"/>
  <c r="G827" i="11"/>
  <c r="J826" i="11"/>
  <c r="I826" i="11"/>
  <c r="H826" i="11"/>
  <c r="G826" i="11"/>
  <c r="J825" i="11"/>
  <c r="I825" i="11"/>
  <c r="H825" i="11"/>
  <c r="G825" i="11"/>
  <c r="J824" i="11"/>
  <c r="I824" i="11"/>
  <c r="H824" i="11"/>
  <c r="G824" i="11"/>
  <c r="J823" i="11"/>
  <c r="I823" i="11"/>
  <c r="H823" i="11"/>
  <c r="G823" i="11"/>
  <c r="J822" i="11"/>
  <c r="I822" i="11"/>
  <c r="H822" i="11"/>
  <c r="G822" i="11"/>
  <c r="J821" i="11"/>
  <c r="I821" i="11"/>
  <c r="H821" i="11"/>
  <c r="G821" i="11"/>
  <c r="J820" i="11"/>
  <c r="I820" i="11"/>
  <c r="H820" i="11"/>
  <c r="G820" i="11"/>
  <c r="J819" i="11"/>
  <c r="I819" i="11"/>
  <c r="H819" i="11"/>
  <c r="G819" i="11"/>
  <c r="J818" i="11"/>
  <c r="I818" i="11"/>
  <c r="H818" i="11"/>
  <c r="G818" i="11"/>
  <c r="J817" i="11"/>
  <c r="I817" i="11"/>
  <c r="H817" i="11"/>
  <c r="G817" i="11"/>
  <c r="J816" i="11"/>
  <c r="I816" i="11"/>
  <c r="H816" i="11"/>
  <c r="G816" i="11"/>
  <c r="J815" i="11"/>
  <c r="I815" i="11"/>
  <c r="H815" i="11"/>
  <c r="G815" i="11"/>
  <c r="J814" i="11"/>
  <c r="I814" i="11"/>
  <c r="H814" i="11"/>
  <c r="G814" i="11"/>
  <c r="J813" i="11"/>
  <c r="I813" i="11"/>
  <c r="H813" i="11"/>
  <c r="G813" i="11"/>
  <c r="J812" i="11"/>
  <c r="I812" i="11"/>
  <c r="H812" i="11"/>
  <c r="G812" i="11"/>
  <c r="J811" i="11"/>
  <c r="I811" i="11"/>
  <c r="H811" i="11"/>
  <c r="G811" i="11"/>
  <c r="J810" i="11"/>
  <c r="I810" i="11"/>
  <c r="H810" i="11"/>
  <c r="G810" i="11"/>
  <c r="J809" i="11"/>
  <c r="I809" i="11"/>
  <c r="H809" i="11"/>
  <c r="G809" i="11"/>
  <c r="J808" i="11"/>
  <c r="I808" i="11"/>
  <c r="H808" i="11"/>
  <c r="G808" i="11"/>
  <c r="J807" i="11"/>
  <c r="I807" i="11"/>
  <c r="H807" i="11"/>
  <c r="G807" i="11"/>
  <c r="J806" i="11"/>
  <c r="I806" i="11"/>
  <c r="H806" i="11"/>
  <c r="G806" i="11"/>
  <c r="J805" i="11"/>
  <c r="I805" i="11"/>
  <c r="H805" i="11"/>
  <c r="G805" i="11"/>
  <c r="J804" i="11"/>
  <c r="I804" i="11"/>
  <c r="H804" i="11"/>
  <c r="G804" i="11"/>
  <c r="J803" i="11"/>
  <c r="I803" i="11"/>
  <c r="H803" i="11"/>
  <c r="G803" i="11"/>
  <c r="J802" i="11"/>
  <c r="I802" i="11"/>
  <c r="H802" i="11"/>
  <c r="G802" i="11"/>
  <c r="J801" i="11"/>
  <c r="I801" i="11"/>
  <c r="H801" i="11"/>
  <c r="G801" i="11"/>
  <c r="J800" i="11"/>
  <c r="I800" i="11"/>
  <c r="H800" i="11"/>
  <c r="G800" i="11"/>
  <c r="J799" i="11"/>
  <c r="I799" i="11"/>
  <c r="H799" i="11"/>
  <c r="G799" i="11"/>
  <c r="J798" i="11"/>
  <c r="I798" i="11"/>
  <c r="H798" i="11"/>
  <c r="G798" i="11"/>
  <c r="J797" i="11"/>
  <c r="I797" i="11"/>
  <c r="H797" i="11"/>
  <c r="G797" i="11"/>
  <c r="J796" i="11"/>
  <c r="I796" i="11"/>
  <c r="H796" i="11"/>
  <c r="G796" i="11"/>
  <c r="J795" i="11"/>
  <c r="I795" i="11"/>
  <c r="H795" i="11"/>
  <c r="G795" i="11"/>
  <c r="J794" i="11"/>
  <c r="I794" i="11"/>
  <c r="H794" i="11"/>
  <c r="G794" i="11"/>
  <c r="J793" i="11"/>
  <c r="I793" i="11"/>
  <c r="H793" i="11"/>
  <c r="G793" i="11"/>
  <c r="J792" i="11"/>
  <c r="I792" i="11"/>
  <c r="H792" i="11"/>
  <c r="G792" i="11"/>
  <c r="J791" i="11"/>
  <c r="I791" i="11"/>
  <c r="H791" i="11"/>
  <c r="G791" i="11"/>
  <c r="J790" i="11"/>
  <c r="I790" i="11"/>
  <c r="H790" i="11"/>
  <c r="G790" i="11"/>
  <c r="J789" i="11"/>
  <c r="I789" i="11"/>
  <c r="H789" i="11"/>
  <c r="G789" i="11"/>
  <c r="J788" i="11"/>
  <c r="I788" i="11"/>
  <c r="H788" i="11"/>
  <c r="G788" i="11"/>
  <c r="J787" i="11"/>
  <c r="I787" i="11"/>
  <c r="H787" i="11"/>
  <c r="G787" i="11"/>
  <c r="J786" i="11"/>
  <c r="I786" i="11"/>
  <c r="H786" i="11"/>
  <c r="G786" i="11"/>
  <c r="J785" i="11"/>
  <c r="I785" i="11"/>
  <c r="H785" i="11"/>
  <c r="G785" i="11"/>
  <c r="J784" i="11"/>
  <c r="I784" i="11"/>
  <c r="H784" i="11"/>
  <c r="G784" i="11"/>
  <c r="J783" i="11"/>
  <c r="I783" i="11"/>
  <c r="H783" i="11"/>
  <c r="G783" i="11"/>
  <c r="J782" i="11"/>
  <c r="I782" i="11"/>
  <c r="H782" i="11"/>
  <c r="G782" i="11"/>
  <c r="J781" i="11"/>
  <c r="I781" i="11"/>
  <c r="H781" i="11"/>
  <c r="G781" i="11"/>
  <c r="J780" i="11"/>
  <c r="I780" i="11"/>
  <c r="H780" i="11"/>
  <c r="G780" i="11"/>
  <c r="J779" i="11"/>
  <c r="I779" i="11"/>
  <c r="H779" i="11"/>
  <c r="G779" i="11"/>
  <c r="J778" i="11"/>
  <c r="I778" i="11"/>
  <c r="H778" i="11"/>
  <c r="G778" i="11"/>
  <c r="J777" i="11"/>
  <c r="I777" i="11"/>
  <c r="H777" i="11"/>
  <c r="G777" i="11"/>
  <c r="J776" i="11"/>
  <c r="I776" i="11"/>
  <c r="H776" i="11"/>
  <c r="G776" i="11"/>
  <c r="J775" i="11"/>
  <c r="I775" i="11"/>
  <c r="H775" i="11"/>
  <c r="G775" i="11"/>
  <c r="J774" i="11"/>
  <c r="I774" i="11"/>
  <c r="H774" i="11"/>
  <c r="G774" i="11"/>
  <c r="J773" i="11"/>
  <c r="I773" i="11"/>
  <c r="H773" i="11"/>
  <c r="G773" i="11"/>
  <c r="J772" i="11"/>
  <c r="I772" i="11"/>
  <c r="H772" i="11"/>
  <c r="G772" i="11"/>
  <c r="J771" i="11"/>
  <c r="I771" i="11"/>
  <c r="H771" i="11"/>
  <c r="G771" i="11"/>
  <c r="J770" i="11"/>
  <c r="I770" i="11"/>
  <c r="H770" i="11"/>
  <c r="G770" i="11"/>
  <c r="J769" i="11"/>
  <c r="I769" i="11"/>
  <c r="H769" i="11"/>
  <c r="G769" i="11"/>
  <c r="J768" i="11"/>
  <c r="I768" i="11"/>
  <c r="H768" i="11"/>
  <c r="G768" i="11"/>
  <c r="J767" i="11"/>
  <c r="I767" i="11"/>
  <c r="H767" i="11"/>
  <c r="G767" i="11"/>
  <c r="J766" i="11"/>
  <c r="I766" i="11"/>
  <c r="H766" i="11"/>
  <c r="G766" i="11"/>
  <c r="J765" i="11"/>
  <c r="I765" i="11"/>
  <c r="H765" i="11"/>
  <c r="G765" i="11"/>
  <c r="J764" i="11"/>
  <c r="I764" i="11"/>
  <c r="H764" i="11"/>
  <c r="G764" i="11"/>
  <c r="J763" i="11"/>
  <c r="I763" i="11"/>
  <c r="H763" i="11"/>
  <c r="G763" i="11"/>
  <c r="J762" i="11"/>
  <c r="I762" i="11"/>
  <c r="H762" i="11"/>
  <c r="G762" i="11"/>
  <c r="J761" i="11"/>
  <c r="I761" i="11"/>
  <c r="H761" i="11"/>
  <c r="G761" i="11"/>
  <c r="J760" i="11"/>
  <c r="I760" i="11"/>
  <c r="H760" i="11"/>
  <c r="G760" i="11"/>
  <c r="J759" i="11"/>
  <c r="I759" i="11"/>
  <c r="H759" i="11"/>
  <c r="G759" i="11"/>
  <c r="J758" i="11"/>
  <c r="I758" i="11"/>
  <c r="H758" i="11"/>
  <c r="G758" i="11"/>
  <c r="J757" i="11"/>
  <c r="I757" i="11"/>
  <c r="H757" i="11"/>
  <c r="G757" i="11"/>
  <c r="J756" i="11"/>
  <c r="I756" i="11"/>
  <c r="H756" i="11"/>
  <c r="G756" i="11"/>
  <c r="J755" i="11"/>
  <c r="I755" i="11"/>
  <c r="H755" i="11"/>
  <c r="G755" i="11"/>
  <c r="J754" i="11"/>
  <c r="I754" i="11"/>
  <c r="H754" i="11"/>
  <c r="G754" i="11"/>
  <c r="J753" i="11"/>
  <c r="I753" i="11"/>
  <c r="H753" i="11"/>
  <c r="G753" i="11"/>
  <c r="J752" i="11"/>
  <c r="I752" i="11"/>
  <c r="H752" i="11"/>
  <c r="G752" i="11"/>
  <c r="J751" i="11"/>
  <c r="I751" i="11"/>
  <c r="H751" i="11"/>
  <c r="G751" i="11"/>
  <c r="J750" i="11"/>
  <c r="I750" i="11"/>
  <c r="H750" i="11"/>
  <c r="G750" i="11"/>
  <c r="J749" i="11"/>
  <c r="I749" i="11"/>
  <c r="H749" i="11"/>
  <c r="G749" i="11"/>
  <c r="J748" i="11"/>
  <c r="I748" i="11"/>
  <c r="H748" i="11"/>
  <c r="G748" i="11"/>
  <c r="J747" i="11"/>
  <c r="I747" i="11"/>
  <c r="H747" i="11"/>
  <c r="G747" i="11"/>
  <c r="J746" i="11"/>
  <c r="I746" i="11"/>
  <c r="H746" i="11"/>
  <c r="G746" i="11"/>
  <c r="J745" i="11"/>
  <c r="I745" i="11"/>
  <c r="H745" i="11"/>
  <c r="G745" i="11"/>
  <c r="J744" i="11"/>
  <c r="I744" i="11"/>
  <c r="H744" i="11"/>
  <c r="G744" i="11"/>
  <c r="J743" i="11"/>
  <c r="I743" i="11"/>
  <c r="H743" i="11"/>
  <c r="G743" i="11"/>
  <c r="J742" i="11"/>
  <c r="I742" i="11"/>
  <c r="H742" i="11"/>
  <c r="G742" i="11"/>
  <c r="J741" i="11"/>
  <c r="I741" i="11"/>
  <c r="H741" i="11"/>
  <c r="G741" i="11"/>
  <c r="J740" i="11"/>
  <c r="I740" i="11"/>
  <c r="H740" i="11"/>
  <c r="G740" i="11"/>
  <c r="J739" i="11"/>
  <c r="I739" i="11"/>
  <c r="H739" i="11"/>
  <c r="G739" i="11"/>
  <c r="J738" i="11"/>
  <c r="I738" i="11"/>
  <c r="H738" i="11"/>
  <c r="G738" i="11"/>
  <c r="J737" i="11"/>
  <c r="I737" i="11"/>
  <c r="H737" i="11"/>
  <c r="G737" i="11"/>
  <c r="J736" i="11"/>
  <c r="I736" i="11"/>
  <c r="H736" i="11"/>
  <c r="G736" i="11"/>
  <c r="J735" i="11"/>
  <c r="I735" i="11"/>
  <c r="H735" i="11"/>
  <c r="G735" i="11"/>
  <c r="J734" i="11"/>
  <c r="I734" i="11"/>
  <c r="H734" i="11"/>
  <c r="G734" i="11"/>
  <c r="J733" i="11"/>
  <c r="I733" i="11"/>
  <c r="H733" i="11"/>
  <c r="G733" i="11"/>
  <c r="J732" i="11"/>
  <c r="I732" i="11"/>
  <c r="H732" i="11"/>
  <c r="G732" i="11"/>
  <c r="J731" i="11"/>
  <c r="I731" i="11"/>
  <c r="H731" i="11"/>
  <c r="G731" i="11"/>
  <c r="J730" i="11"/>
  <c r="I730" i="11"/>
  <c r="H730" i="11"/>
  <c r="G730" i="11"/>
  <c r="J729" i="11"/>
  <c r="I729" i="11"/>
  <c r="H729" i="11"/>
  <c r="G729" i="11"/>
  <c r="J728" i="11"/>
  <c r="I728" i="11"/>
  <c r="H728" i="11"/>
  <c r="G728" i="11"/>
  <c r="J727" i="11"/>
  <c r="I727" i="11"/>
  <c r="H727" i="11"/>
  <c r="G727" i="11"/>
  <c r="J726" i="11"/>
  <c r="I726" i="11"/>
  <c r="H726" i="11"/>
  <c r="G726" i="11"/>
  <c r="J725" i="11"/>
  <c r="I725" i="11"/>
  <c r="H725" i="11"/>
  <c r="G725" i="11"/>
  <c r="J724" i="11"/>
  <c r="I724" i="11"/>
  <c r="H724" i="11"/>
  <c r="G724" i="11"/>
  <c r="J723" i="11"/>
  <c r="I723" i="11"/>
  <c r="H723" i="11"/>
  <c r="G723" i="11"/>
  <c r="J722" i="11"/>
  <c r="I722" i="11"/>
  <c r="H722" i="11"/>
  <c r="G722" i="11"/>
  <c r="J721" i="11"/>
  <c r="I721" i="11"/>
  <c r="H721" i="11"/>
  <c r="G721" i="11"/>
  <c r="J720" i="11"/>
  <c r="I720" i="11"/>
  <c r="H720" i="11"/>
  <c r="G720" i="11"/>
  <c r="J719" i="11"/>
  <c r="I719" i="11"/>
  <c r="H719" i="11"/>
  <c r="G719" i="11"/>
  <c r="J718" i="11"/>
  <c r="I718" i="11"/>
  <c r="H718" i="11"/>
  <c r="G718" i="11"/>
  <c r="J717" i="11"/>
  <c r="I717" i="11"/>
  <c r="H717" i="11"/>
  <c r="G717" i="11"/>
  <c r="J716" i="11"/>
  <c r="I716" i="11"/>
  <c r="H716" i="11"/>
  <c r="G716" i="11"/>
  <c r="J715" i="11"/>
  <c r="I715" i="11"/>
  <c r="H715" i="11"/>
  <c r="G715" i="11"/>
  <c r="J714" i="11"/>
  <c r="I714" i="11"/>
  <c r="H714" i="11"/>
  <c r="G714" i="11"/>
  <c r="J713" i="11"/>
  <c r="I713" i="11"/>
  <c r="H713" i="11"/>
  <c r="G713" i="11"/>
  <c r="J712" i="11"/>
  <c r="I712" i="11"/>
  <c r="H712" i="11"/>
  <c r="G712" i="11"/>
  <c r="J711" i="11"/>
  <c r="I711" i="11"/>
  <c r="H711" i="11"/>
  <c r="G711" i="11"/>
  <c r="J710" i="11"/>
  <c r="I710" i="11"/>
  <c r="H710" i="11"/>
  <c r="G710" i="11"/>
  <c r="J709" i="11"/>
  <c r="I709" i="11"/>
  <c r="H709" i="11"/>
  <c r="G709" i="11"/>
  <c r="J708" i="11"/>
  <c r="I708" i="11"/>
  <c r="H708" i="11"/>
  <c r="G708" i="11"/>
  <c r="J707" i="11"/>
  <c r="I707" i="11"/>
  <c r="H707" i="11"/>
  <c r="G707" i="11"/>
  <c r="J706" i="11"/>
  <c r="I706" i="11"/>
  <c r="H706" i="11"/>
  <c r="G706" i="11"/>
  <c r="J705" i="11"/>
  <c r="I705" i="11"/>
  <c r="H705" i="11"/>
  <c r="G705" i="11"/>
  <c r="J704" i="11"/>
  <c r="I704" i="11"/>
  <c r="H704" i="11"/>
  <c r="G704" i="11"/>
  <c r="J703" i="11"/>
  <c r="I703" i="11"/>
  <c r="H703" i="11"/>
  <c r="G703" i="11"/>
  <c r="J702" i="11"/>
  <c r="I702" i="11"/>
  <c r="H702" i="11"/>
  <c r="G702" i="11"/>
  <c r="J701" i="11"/>
  <c r="I701" i="11"/>
  <c r="H701" i="11"/>
  <c r="G701" i="11"/>
  <c r="J700" i="11"/>
  <c r="I700" i="11"/>
  <c r="H700" i="11"/>
  <c r="G700" i="11"/>
  <c r="J699" i="11"/>
  <c r="I699" i="11"/>
  <c r="H699" i="11"/>
  <c r="G699" i="11"/>
  <c r="J698" i="11"/>
  <c r="I698" i="11"/>
  <c r="H698" i="11"/>
  <c r="G698" i="11"/>
  <c r="J697" i="11"/>
  <c r="I697" i="11"/>
  <c r="H697" i="11"/>
  <c r="G697" i="11"/>
  <c r="J696" i="11"/>
  <c r="I696" i="11"/>
  <c r="H696" i="11"/>
  <c r="G696" i="11"/>
  <c r="J695" i="11"/>
  <c r="I695" i="11"/>
  <c r="H695" i="11"/>
  <c r="G695" i="11"/>
  <c r="J694" i="11"/>
  <c r="I694" i="11"/>
  <c r="H694" i="11"/>
  <c r="G694" i="11"/>
  <c r="J693" i="11"/>
  <c r="I693" i="11"/>
  <c r="H693" i="11"/>
  <c r="G693" i="11"/>
  <c r="J692" i="11"/>
  <c r="I692" i="11"/>
  <c r="H692" i="11"/>
  <c r="G692" i="11"/>
  <c r="J691" i="11"/>
  <c r="I691" i="11"/>
  <c r="H691" i="11"/>
  <c r="G691" i="11"/>
  <c r="J690" i="11"/>
  <c r="I690" i="11"/>
  <c r="H690" i="11"/>
  <c r="G690" i="11"/>
  <c r="J689" i="11"/>
  <c r="I689" i="11"/>
  <c r="H689" i="11"/>
  <c r="G689" i="11"/>
  <c r="J688" i="11"/>
  <c r="I688" i="11"/>
  <c r="H688" i="11"/>
  <c r="G688" i="11"/>
  <c r="J687" i="11"/>
  <c r="I687" i="11"/>
  <c r="H687" i="11"/>
  <c r="G687" i="11"/>
  <c r="J686" i="11"/>
  <c r="I686" i="11"/>
  <c r="H686" i="11"/>
  <c r="G686" i="11"/>
  <c r="J685" i="11"/>
  <c r="I685" i="11"/>
  <c r="H685" i="11"/>
  <c r="G685" i="11"/>
  <c r="J684" i="11"/>
  <c r="I684" i="11"/>
  <c r="H684" i="11"/>
  <c r="G684" i="11"/>
  <c r="J683" i="11"/>
  <c r="I683" i="11"/>
  <c r="H683" i="11"/>
  <c r="G683" i="11"/>
  <c r="J682" i="11"/>
  <c r="I682" i="11"/>
  <c r="H682" i="11"/>
  <c r="G682" i="11"/>
  <c r="J681" i="11"/>
  <c r="I681" i="11"/>
  <c r="H681" i="11"/>
  <c r="G681" i="11"/>
  <c r="J680" i="11"/>
  <c r="I680" i="11"/>
  <c r="H680" i="11"/>
  <c r="G680" i="11"/>
  <c r="J679" i="11"/>
  <c r="I679" i="11"/>
  <c r="H679" i="11"/>
  <c r="G679" i="11"/>
  <c r="J678" i="11"/>
  <c r="I678" i="11"/>
  <c r="H678" i="11"/>
  <c r="G678" i="11"/>
  <c r="J677" i="11"/>
  <c r="I677" i="11"/>
  <c r="H677" i="11"/>
  <c r="G677" i="11"/>
  <c r="J676" i="11"/>
  <c r="I676" i="11"/>
  <c r="H676" i="11"/>
  <c r="G676" i="11"/>
  <c r="J675" i="11"/>
  <c r="I675" i="11"/>
  <c r="H675" i="11"/>
  <c r="G675" i="11"/>
  <c r="J674" i="11"/>
  <c r="I674" i="11"/>
  <c r="H674" i="11"/>
  <c r="G674" i="11"/>
  <c r="J673" i="11"/>
  <c r="I673" i="11"/>
  <c r="H673" i="11"/>
  <c r="G673" i="11"/>
  <c r="J672" i="11"/>
  <c r="I672" i="11"/>
  <c r="H672" i="11"/>
  <c r="G672" i="11"/>
  <c r="J671" i="11"/>
  <c r="I671" i="11"/>
  <c r="H671" i="11"/>
  <c r="G671" i="11"/>
  <c r="J670" i="11"/>
  <c r="I670" i="11"/>
  <c r="H670" i="11"/>
  <c r="G670" i="11"/>
  <c r="J669" i="11"/>
  <c r="I669" i="11"/>
  <c r="H669" i="11"/>
  <c r="G669" i="11"/>
  <c r="J668" i="11"/>
  <c r="I668" i="11"/>
  <c r="H668" i="11"/>
  <c r="G668" i="11"/>
  <c r="J667" i="11"/>
  <c r="I667" i="11"/>
  <c r="H667" i="11"/>
  <c r="G667" i="11"/>
  <c r="J666" i="11"/>
  <c r="I666" i="11"/>
  <c r="H666" i="11"/>
  <c r="G666" i="11"/>
  <c r="J665" i="11"/>
  <c r="I665" i="11"/>
  <c r="H665" i="11"/>
  <c r="G665" i="11"/>
  <c r="J664" i="11"/>
  <c r="I664" i="11"/>
  <c r="H664" i="11"/>
  <c r="G664" i="11"/>
  <c r="J663" i="11"/>
  <c r="I663" i="11"/>
  <c r="H663" i="11"/>
  <c r="G663" i="11"/>
  <c r="J662" i="11"/>
  <c r="I662" i="11"/>
  <c r="H662" i="11"/>
  <c r="G662" i="11"/>
  <c r="J661" i="11"/>
  <c r="I661" i="11"/>
  <c r="H661" i="11"/>
  <c r="G661" i="11"/>
  <c r="J660" i="11"/>
  <c r="I660" i="11"/>
  <c r="H660" i="11"/>
  <c r="G660" i="11"/>
  <c r="J659" i="11"/>
  <c r="I659" i="11"/>
  <c r="H659" i="11"/>
  <c r="G659" i="11"/>
  <c r="J658" i="11"/>
  <c r="I658" i="11"/>
  <c r="H658" i="11"/>
  <c r="G658" i="11"/>
  <c r="J657" i="11"/>
  <c r="I657" i="11"/>
  <c r="H657" i="11"/>
  <c r="G657" i="11"/>
  <c r="J656" i="11"/>
  <c r="I656" i="11"/>
  <c r="H656" i="11"/>
  <c r="G656" i="11"/>
  <c r="J655" i="11"/>
  <c r="I655" i="11"/>
  <c r="H655" i="11"/>
  <c r="G655" i="11"/>
  <c r="J654" i="11"/>
  <c r="I654" i="11"/>
  <c r="H654" i="11"/>
  <c r="G654" i="11"/>
  <c r="J653" i="11"/>
  <c r="I653" i="11"/>
  <c r="H653" i="11"/>
  <c r="G653" i="11"/>
  <c r="J652" i="11"/>
  <c r="I652" i="11"/>
  <c r="H652" i="11"/>
  <c r="G652" i="11"/>
  <c r="J651" i="11"/>
  <c r="I651" i="11"/>
  <c r="H651" i="11"/>
  <c r="G651" i="11"/>
  <c r="J650" i="11"/>
  <c r="I650" i="11"/>
  <c r="H650" i="11"/>
  <c r="G650" i="11"/>
  <c r="J649" i="11"/>
  <c r="I649" i="11"/>
  <c r="H649" i="11"/>
  <c r="G649" i="11"/>
  <c r="J648" i="11"/>
  <c r="I648" i="11"/>
  <c r="H648" i="11"/>
  <c r="G648" i="11"/>
  <c r="J647" i="11"/>
  <c r="I647" i="11"/>
  <c r="H647" i="11"/>
  <c r="G647" i="11"/>
  <c r="J646" i="11"/>
  <c r="I646" i="11"/>
  <c r="H646" i="11"/>
  <c r="G646" i="11"/>
  <c r="J645" i="11"/>
  <c r="I645" i="11"/>
  <c r="H645" i="11"/>
  <c r="G645" i="11"/>
  <c r="J644" i="11"/>
  <c r="I644" i="11"/>
  <c r="H644" i="11"/>
  <c r="G644" i="11"/>
  <c r="J643" i="11"/>
  <c r="I643" i="11"/>
  <c r="H643" i="11"/>
  <c r="G643" i="11"/>
  <c r="J642" i="11"/>
  <c r="I642" i="11"/>
  <c r="H642" i="11"/>
  <c r="G642" i="11"/>
  <c r="J641" i="11"/>
  <c r="I641" i="11"/>
  <c r="H641" i="11"/>
  <c r="G641" i="11"/>
  <c r="J640" i="11"/>
  <c r="I640" i="11"/>
  <c r="H640" i="11"/>
  <c r="G640" i="11"/>
  <c r="J639" i="11"/>
  <c r="I639" i="11"/>
  <c r="H639" i="11"/>
  <c r="G639" i="11"/>
  <c r="J638" i="11"/>
  <c r="I638" i="11"/>
  <c r="H638" i="11"/>
  <c r="G638" i="11"/>
  <c r="J637" i="11"/>
  <c r="I637" i="11"/>
  <c r="H637" i="11"/>
  <c r="G637" i="11"/>
  <c r="J636" i="11"/>
  <c r="I636" i="11"/>
  <c r="H636" i="11"/>
  <c r="G636" i="11"/>
  <c r="J635" i="11"/>
  <c r="I635" i="11"/>
  <c r="H635" i="11"/>
  <c r="G635" i="11"/>
  <c r="J634" i="11"/>
  <c r="I634" i="11"/>
  <c r="H634" i="11"/>
  <c r="G634" i="11"/>
  <c r="J633" i="11"/>
  <c r="I633" i="11"/>
  <c r="H633" i="11"/>
  <c r="G633" i="11"/>
  <c r="J632" i="11"/>
  <c r="I632" i="11"/>
  <c r="H632" i="11"/>
  <c r="G632" i="11"/>
  <c r="J631" i="11"/>
  <c r="I631" i="11"/>
  <c r="H631" i="11"/>
  <c r="G631" i="11"/>
  <c r="J630" i="11"/>
  <c r="I630" i="11"/>
  <c r="H630" i="11"/>
  <c r="G630" i="11"/>
  <c r="J629" i="11"/>
  <c r="I629" i="11"/>
  <c r="H629" i="11"/>
  <c r="G629" i="11"/>
  <c r="J628" i="11"/>
  <c r="I628" i="11"/>
  <c r="H628" i="11"/>
  <c r="G628" i="11"/>
  <c r="J627" i="11"/>
  <c r="I627" i="11"/>
  <c r="H627" i="11"/>
  <c r="G627" i="11"/>
  <c r="J626" i="11"/>
  <c r="I626" i="11"/>
  <c r="H626" i="11"/>
  <c r="G626" i="11"/>
  <c r="J625" i="11"/>
  <c r="I625" i="11"/>
  <c r="H625" i="11"/>
  <c r="G625" i="11"/>
  <c r="J624" i="11"/>
  <c r="I624" i="11"/>
  <c r="H624" i="11"/>
  <c r="G624" i="11"/>
  <c r="J623" i="11"/>
  <c r="I623" i="11"/>
  <c r="H623" i="11"/>
  <c r="G623" i="11"/>
  <c r="J622" i="11"/>
  <c r="I622" i="11"/>
  <c r="H622" i="11"/>
  <c r="G622" i="11"/>
  <c r="J621" i="11"/>
  <c r="I621" i="11"/>
  <c r="H621" i="11"/>
  <c r="G621" i="11"/>
  <c r="J620" i="11"/>
  <c r="I620" i="11"/>
  <c r="H620" i="11"/>
  <c r="G620" i="11"/>
  <c r="J619" i="11"/>
  <c r="I619" i="11"/>
  <c r="H619" i="11"/>
  <c r="G619" i="11"/>
  <c r="J618" i="11"/>
  <c r="I618" i="11"/>
  <c r="H618" i="11"/>
  <c r="G618" i="11"/>
  <c r="J617" i="11"/>
  <c r="I617" i="11"/>
  <c r="H617" i="11"/>
  <c r="G617" i="11"/>
  <c r="J616" i="11"/>
  <c r="I616" i="11"/>
  <c r="H616" i="11"/>
  <c r="G616" i="11"/>
  <c r="J615" i="11"/>
  <c r="I615" i="11"/>
  <c r="H615" i="11"/>
  <c r="G615" i="11"/>
  <c r="J614" i="11"/>
  <c r="I614" i="11"/>
  <c r="H614" i="11"/>
  <c r="G614" i="11"/>
  <c r="J613" i="11"/>
  <c r="I613" i="11"/>
  <c r="H613" i="11"/>
  <c r="G613" i="11"/>
  <c r="J612" i="11"/>
  <c r="I612" i="11"/>
  <c r="H612" i="11"/>
  <c r="G612" i="11"/>
  <c r="J611" i="11"/>
  <c r="I611" i="11"/>
  <c r="H611" i="11"/>
  <c r="G611" i="11"/>
  <c r="J610" i="11"/>
  <c r="I610" i="11"/>
  <c r="H610" i="11"/>
  <c r="G610" i="11"/>
  <c r="J609" i="11"/>
  <c r="I609" i="11"/>
  <c r="H609" i="11"/>
  <c r="G609" i="11"/>
  <c r="J608" i="11"/>
  <c r="I608" i="11"/>
  <c r="H608" i="11"/>
  <c r="G608" i="11"/>
  <c r="J607" i="11"/>
  <c r="I607" i="11"/>
  <c r="H607" i="11"/>
  <c r="G607" i="11"/>
  <c r="J606" i="11"/>
  <c r="I606" i="11"/>
  <c r="H606" i="11"/>
  <c r="G606" i="11"/>
  <c r="J605" i="11"/>
  <c r="I605" i="11"/>
  <c r="H605" i="11"/>
  <c r="G605" i="11"/>
  <c r="J604" i="11"/>
  <c r="I604" i="11"/>
  <c r="H604" i="11"/>
  <c r="G604" i="11"/>
  <c r="J603" i="11"/>
  <c r="I603" i="11"/>
  <c r="H603" i="11"/>
  <c r="G603" i="11"/>
  <c r="J602" i="11"/>
  <c r="I602" i="11"/>
  <c r="H602" i="11"/>
  <c r="G602" i="11"/>
  <c r="J601" i="11"/>
  <c r="I601" i="11"/>
  <c r="H601" i="11"/>
  <c r="G601" i="11"/>
  <c r="J600" i="11"/>
  <c r="I600" i="11"/>
  <c r="H600" i="11"/>
  <c r="G600" i="11"/>
  <c r="J599" i="11"/>
  <c r="I599" i="11"/>
  <c r="H599" i="11"/>
  <c r="G599" i="11"/>
  <c r="J598" i="11"/>
  <c r="I598" i="11"/>
  <c r="H598" i="11"/>
  <c r="G598" i="11"/>
  <c r="J597" i="11"/>
  <c r="I597" i="11"/>
  <c r="H597" i="11"/>
  <c r="G597" i="11"/>
  <c r="J596" i="11"/>
  <c r="I596" i="11"/>
  <c r="H596" i="11"/>
  <c r="G596" i="11"/>
  <c r="J595" i="11"/>
  <c r="I595" i="11"/>
  <c r="H595" i="11"/>
  <c r="G595" i="11"/>
  <c r="J594" i="11"/>
  <c r="I594" i="11"/>
  <c r="H594" i="11"/>
  <c r="G594" i="11"/>
  <c r="J593" i="11"/>
  <c r="I593" i="11"/>
  <c r="H593" i="11"/>
  <c r="G593" i="11"/>
  <c r="J592" i="11"/>
  <c r="I592" i="11"/>
  <c r="H592" i="11"/>
  <c r="G592" i="11"/>
  <c r="J591" i="11"/>
  <c r="I591" i="11"/>
  <c r="H591" i="11"/>
  <c r="G591" i="11"/>
  <c r="J590" i="11"/>
  <c r="I590" i="11"/>
  <c r="H590" i="11"/>
  <c r="G590" i="11"/>
  <c r="J589" i="11"/>
  <c r="I589" i="11"/>
  <c r="H589" i="11"/>
  <c r="G589" i="11"/>
  <c r="J588" i="11"/>
  <c r="I588" i="11"/>
  <c r="H588" i="11"/>
  <c r="G588" i="11"/>
  <c r="J587" i="11"/>
  <c r="I587" i="11"/>
  <c r="H587" i="11"/>
  <c r="G587" i="11"/>
  <c r="J586" i="11"/>
  <c r="I586" i="11"/>
  <c r="H586" i="11"/>
  <c r="G586" i="11"/>
  <c r="J585" i="11"/>
  <c r="I585" i="11"/>
  <c r="H585" i="11"/>
  <c r="G585" i="11"/>
  <c r="J584" i="11"/>
  <c r="I584" i="11"/>
  <c r="H584" i="11"/>
  <c r="G584" i="11"/>
  <c r="J583" i="11"/>
  <c r="I583" i="11"/>
  <c r="H583" i="11"/>
  <c r="G583" i="11"/>
  <c r="J582" i="11"/>
  <c r="I582" i="11"/>
  <c r="H582" i="11"/>
  <c r="G582" i="11"/>
  <c r="J581" i="11"/>
  <c r="I581" i="11"/>
  <c r="H581" i="11"/>
  <c r="G581" i="11"/>
  <c r="J580" i="11"/>
  <c r="I580" i="11"/>
  <c r="H580" i="11"/>
  <c r="G580" i="11"/>
  <c r="J579" i="11"/>
  <c r="I579" i="11"/>
  <c r="H579" i="11"/>
  <c r="G579" i="11"/>
  <c r="J578" i="11"/>
  <c r="I578" i="11"/>
  <c r="H578" i="11"/>
  <c r="G578" i="11"/>
  <c r="J577" i="11"/>
  <c r="I577" i="11"/>
  <c r="H577" i="11"/>
  <c r="G577" i="11"/>
  <c r="J576" i="11"/>
  <c r="I576" i="11"/>
  <c r="H576" i="11"/>
  <c r="G576" i="11"/>
  <c r="J575" i="11"/>
  <c r="I575" i="11"/>
  <c r="H575" i="11"/>
  <c r="G575" i="11"/>
  <c r="J574" i="11"/>
  <c r="I574" i="11"/>
  <c r="H574" i="11"/>
  <c r="G574" i="11"/>
  <c r="J573" i="11"/>
  <c r="I573" i="11"/>
  <c r="H573" i="11"/>
  <c r="G573" i="11"/>
  <c r="J572" i="11"/>
  <c r="I572" i="11"/>
  <c r="H572" i="11"/>
  <c r="G572" i="11"/>
  <c r="J571" i="11"/>
  <c r="I571" i="11"/>
  <c r="H571" i="11"/>
  <c r="G571" i="11"/>
  <c r="J570" i="11"/>
  <c r="I570" i="11"/>
  <c r="H570" i="11"/>
  <c r="G570" i="11"/>
  <c r="J569" i="11"/>
  <c r="I569" i="11"/>
  <c r="H569" i="11"/>
  <c r="G569" i="11"/>
  <c r="J568" i="11"/>
  <c r="I568" i="11"/>
  <c r="H568" i="11"/>
  <c r="G568" i="11"/>
  <c r="J567" i="11"/>
  <c r="I567" i="11"/>
  <c r="H567" i="11"/>
  <c r="G567" i="11"/>
  <c r="J566" i="11"/>
  <c r="I566" i="11"/>
  <c r="H566" i="11"/>
  <c r="G566" i="11"/>
  <c r="J565" i="11"/>
  <c r="I565" i="11"/>
  <c r="H565" i="11"/>
  <c r="G565" i="11"/>
  <c r="J564" i="11"/>
  <c r="I564" i="11"/>
  <c r="H564" i="11"/>
  <c r="G564" i="11"/>
  <c r="J563" i="11"/>
  <c r="I563" i="11"/>
  <c r="H563" i="11"/>
  <c r="G563" i="11"/>
  <c r="J562" i="11"/>
  <c r="I562" i="11"/>
  <c r="H562" i="11"/>
  <c r="G562" i="11"/>
  <c r="J561" i="11"/>
  <c r="I561" i="11"/>
  <c r="H561" i="11"/>
  <c r="G561" i="11"/>
  <c r="J560" i="11"/>
  <c r="I560" i="11"/>
  <c r="H560" i="11"/>
  <c r="G560" i="11"/>
  <c r="J559" i="11"/>
  <c r="I559" i="11"/>
  <c r="H559" i="11"/>
  <c r="G559" i="11"/>
  <c r="J558" i="11"/>
  <c r="I558" i="11"/>
  <c r="H558" i="11"/>
  <c r="G558" i="11"/>
  <c r="J557" i="11"/>
  <c r="I557" i="11"/>
  <c r="H557" i="11"/>
  <c r="G557" i="11"/>
  <c r="J556" i="11"/>
  <c r="I556" i="11"/>
  <c r="H556" i="11"/>
  <c r="G556" i="11"/>
  <c r="J555" i="11"/>
  <c r="I555" i="11"/>
  <c r="H555" i="11"/>
  <c r="G555" i="11"/>
  <c r="J554" i="11"/>
  <c r="I554" i="11"/>
  <c r="H554" i="11"/>
  <c r="G554" i="11"/>
  <c r="J553" i="11"/>
  <c r="I553" i="11"/>
  <c r="H553" i="11"/>
  <c r="G553" i="11"/>
  <c r="J552" i="11"/>
  <c r="I552" i="11"/>
  <c r="H552" i="11"/>
  <c r="G552" i="11"/>
  <c r="J551" i="11"/>
  <c r="I551" i="11"/>
  <c r="H551" i="11"/>
  <c r="G551" i="11"/>
  <c r="J550" i="11"/>
  <c r="I550" i="11"/>
  <c r="H550" i="11"/>
  <c r="G550" i="11"/>
  <c r="J549" i="11"/>
  <c r="I549" i="11"/>
  <c r="H549" i="11"/>
  <c r="G549" i="11"/>
  <c r="J548" i="11"/>
  <c r="I548" i="11"/>
  <c r="H548" i="11"/>
  <c r="G548" i="11"/>
  <c r="J547" i="11"/>
  <c r="I547" i="11"/>
  <c r="H547" i="11"/>
  <c r="G547" i="11"/>
  <c r="J546" i="11"/>
  <c r="I546" i="11"/>
  <c r="H546" i="11"/>
  <c r="G546" i="11"/>
  <c r="J545" i="11"/>
  <c r="I545" i="11"/>
  <c r="H545" i="11"/>
  <c r="G545" i="11"/>
  <c r="J544" i="11"/>
  <c r="I544" i="11"/>
  <c r="H544" i="11"/>
  <c r="G544" i="11"/>
  <c r="J543" i="11"/>
  <c r="I543" i="11"/>
  <c r="H543" i="11"/>
  <c r="G543" i="11"/>
  <c r="J542" i="11"/>
  <c r="I542" i="11"/>
  <c r="H542" i="11"/>
  <c r="G542" i="11"/>
  <c r="J541" i="11"/>
  <c r="I541" i="11"/>
  <c r="H541" i="11"/>
  <c r="G541" i="11"/>
  <c r="J540" i="11"/>
  <c r="I540" i="11"/>
  <c r="H540" i="11"/>
  <c r="G540" i="11"/>
  <c r="J539" i="11"/>
  <c r="I539" i="11"/>
  <c r="H539" i="11"/>
  <c r="G539" i="11"/>
  <c r="J538" i="11"/>
  <c r="I538" i="11"/>
  <c r="H538" i="11"/>
  <c r="G538" i="11"/>
  <c r="J537" i="11"/>
  <c r="I537" i="11"/>
  <c r="H537" i="11"/>
  <c r="G537" i="11"/>
  <c r="J536" i="11"/>
  <c r="I536" i="11"/>
  <c r="H536" i="11"/>
  <c r="G536" i="11"/>
  <c r="J535" i="11"/>
  <c r="I535" i="11"/>
  <c r="H535" i="11"/>
  <c r="G535" i="11"/>
  <c r="J534" i="11"/>
  <c r="I534" i="11"/>
  <c r="H534" i="11"/>
  <c r="G534" i="11"/>
  <c r="J533" i="11"/>
  <c r="I533" i="11"/>
  <c r="H533" i="11"/>
  <c r="G533" i="11"/>
  <c r="J532" i="11"/>
  <c r="I532" i="11"/>
  <c r="H532" i="11"/>
  <c r="G532" i="11"/>
  <c r="J531" i="11"/>
  <c r="I531" i="11"/>
  <c r="H531" i="11"/>
  <c r="G531" i="11"/>
  <c r="J530" i="11"/>
  <c r="I530" i="11"/>
  <c r="H530" i="11"/>
  <c r="G530" i="11"/>
  <c r="J529" i="11"/>
  <c r="I529" i="11"/>
  <c r="H529" i="11"/>
  <c r="G529" i="11"/>
  <c r="J528" i="11"/>
  <c r="I528" i="11"/>
  <c r="H528" i="11"/>
  <c r="G528" i="11"/>
  <c r="J527" i="11"/>
  <c r="I527" i="11"/>
  <c r="H527" i="11"/>
  <c r="G527" i="11"/>
  <c r="J526" i="11"/>
  <c r="I526" i="11"/>
  <c r="H526" i="11"/>
  <c r="G526" i="11"/>
  <c r="J525" i="11"/>
  <c r="I525" i="11"/>
  <c r="H525" i="11"/>
  <c r="G525" i="11"/>
  <c r="J524" i="11"/>
  <c r="I524" i="11"/>
  <c r="H524" i="11"/>
  <c r="G524" i="11"/>
  <c r="J523" i="11"/>
  <c r="I523" i="11"/>
  <c r="H523" i="11"/>
  <c r="G523" i="11"/>
  <c r="J522" i="11"/>
  <c r="I522" i="11"/>
  <c r="H522" i="11"/>
  <c r="G522" i="11"/>
  <c r="J521" i="11"/>
  <c r="I521" i="11"/>
  <c r="H521" i="11"/>
  <c r="G521" i="11"/>
  <c r="J520" i="11"/>
  <c r="I520" i="11"/>
  <c r="H520" i="11"/>
  <c r="G520" i="11"/>
  <c r="J519" i="11"/>
  <c r="I519" i="11"/>
  <c r="H519" i="11"/>
  <c r="G519" i="11"/>
  <c r="J518" i="11"/>
  <c r="I518" i="11"/>
  <c r="H518" i="11"/>
  <c r="G518" i="11"/>
  <c r="J517" i="11"/>
  <c r="I517" i="11"/>
  <c r="H517" i="11"/>
  <c r="G517" i="11"/>
  <c r="J516" i="11"/>
  <c r="I516" i="11"/>
  <c r="H516" i="11"/>
  <c r="G516" i="11"/>
  <c r="J515" i="11"/>
  <c r="I515" i="11"/>
  <c r="H515" i="11"/>
  <c r="G515" i="11"/>
  <c r="J514" i="11"/>
  <c r="I514" i="11"/>
  <c r="H514" i="11"/>
  <c r="G514" i="11"/>
  <c r="J513" i="11"/>
  <c r="I513" i="11"/>
  <c r="H513" i="11"/>
  <c r="G513" i="11"/>
  <c r="J512" i="11"/>
  <c r="I512" i="11"/>
  <c r="H512" i="11"/>
  <c r="G512" i="11"/>
  <c r="J511" i="11"/>
  <c r="I511" i="11"/>
  <c r="H511" i="11"/>
  <c r="G511" i="11"/>
  <c r="J510" i="11"/>
  <c r="I510" i="11"/>
  <c r="H510" i="11"/>
  <c r="G510" i="11"/>
  <c r="J509" i="11"/>
  <c r="I509" i="11"/>
  <c r="H509" i="11"/>
  <c r="G509" i="11"/>
  <c r="J508" i="11"/>
  <c r="I508" i="11"/>
  <c r="H508" i="11"/>
  <c r="G508" i="11"/>
  <c r="J507" i="11"/>
  <c r="I507" i="11"/>
  <c r="H507" i="11"/>
  <c r="G507" i="11"/>
  <c r="J506" i="11"/>
  <c r="I506" i="11"/>
  <c r="H506" i="11"/>
  <c r="G506" i="11"/>
  <c r="J505" i="11"/>
  <c r="I505" i="11"/>
  <c r="H505" i="11"/>
  <c r="G505" i="11"/>
  <c r="J504" i="11"/>
  <c r="I504" i="11"/>
  <c r="H504" i="11"/>
  <c r="G504" i="11"/>
  <c r="J503" i="11"/>
  <c r="I503" i="11"/>
  <c r="H503" i="11"/>
  <c r="G503" i="11"/>
  <c r="J502" i="11"/>
  <c r="I502" i="11"/>
  <c r="H502" i="11"/>
  <c r="G502" i="11"/>
  <c r="J501" i="11"/>
  <c r="I501" i="11"/>
  <c r="H501" i="11"/>
  <c r="G501" i="11"/>
  <c r="J500" i="11"/>
  <c r="I500" i="11"/>
  <c r="H500" i="11"/>
  <c r="G500" i="11"/>
  <c r="J499" i="11"/>
  <c r="I499" i="11"/>
  <c r="H499" i="11"/>
  <c r="G499" i="11"/>
  <c r="J498" i="11"/>
  <c r="I498" i="11"/>
  <c r="H498" i="11"/>
  <c r="G498" i="11"/>
  <c r="J497" i="11"/>
  <c r="I497" i="11"/>
  <c r="H497" i="11"/>
  <c r="G497" i="11"/>
  <c r="J496" i="11"/>
  <c r="I496" i="11"/>
  <c r="H496" i="11"/>
  <c r="G496" i="11"/>
  <c r="J495" i="11"/>
  <c r="I495" i="11"/>
  <c r="H495" i="11"/>
  <c r="G495" i="11"/>
  <c r="J494" i="11"/>
  <c r="I494" i="11"/>
  <c r="H494" i="11"/>
  <c r="G494" i="11"/>
  <c r="J493" i="11"/>
  <c r="I493" i="11"/>
  <c r="H493" i="11"/>
  <c r="G493" i="11"/>
  <c r="J492" i="11"/>
  <c r="I492" i="11"/>
  <c r="H492" i="11"/>
  <c r="G492" i="11"/>
  <c r="J491" i="11"/>
  <c r="I491" i="11"/>
  <c r="H491" i="11"/>
  <c r="G491" i="11"/>
  <c r="J490" i="11"/>
  <c r="I490" i="11"/>
  <c r="H490" i="11"/>
  <c r="G490" i="11"/>
  <c r="J489" i="11"/>
  <c r="I489" i="11"/>
  <c r="H489" i="11"/>
  <c r="G489" i="11"/>
  <c r="J488" i="11"/>
  <c r="I488" i="11"/>
  <c r="H488" i="11"/>
  <c r="G488" i="11"/>
  <c r="J487" i="11"/>
  <c r="I487" i="11"/>
  <c r="H487" i="11"/>
  <c r="G487" i="11"/>
  <c r="J486" i="11"/>
  <c r="I486" i="11"/>
  <c r="H486" i="11"/>
  <c r="G486" i="11"/>
  <c r="J485" i="11"/>
  <c r="I485" i="11"/>
  <c r="H485" i="11"/>
  <c r="G485" i="11"/>
  <c r="J484" i="11"/>
  <c r="I484" i="11"/>
  <c r="H484" i="11"/>
  <c r="G484" i="11"/>
  <c r="J483" i="11"/>
  <c r="I483" i="11"/>
  <c r="H483" i="11"/>
  <c r="G483" i="11"/>
  <c r="J482" i="11"/>
  <c r="I482" i="11"/>
  <c r="H482" i="11"/>
  <c r="G482" i="11"/>
  <c r="J481" i="11"/>
  <c r="I481" i="11"/>
  <c r="H481" i="11"/>
  <c r="G481" i="11"/>
  <c r="J480" i="11"/>
  <c r="I480" i="11"/>
  <c r="H480" i="11"/>
  <c r="G480" i="11"/>
  <c r="J479" i="11"/>
  <c r="I479" i="11"/>
  <c r="H479" i="11"/>
  <c r="G479" i="11"/>
  <c r="J478" i="11"/>
  <c r="I478" i="11"/>
  <c r="H478" i="11"/>
  <c r="G478" i="11"/>
  <c r="J477" i="11"/>
  <c r="I477" i="11"/>
  <c r="H477" i="11"/>
  <c r="G477" i="11"/>
  <c r="J476" i="11"/>
  <c r="I476" i="11"/>
  <c r="H476" i="11"/>
  <c r="G476" i="11"/>
  <c r="J475" i="11"/>
  <c r="I475" i="11"/>
  <c r="H475" i="11"/>
  <c r="G475" i="11"/>
  <c r="J474" i="11"/>
  <c r="I474" i="11"/>
  <c r="H474" i="11"/>
  <c r="G474" i="11"/>
  <c r="J473" i="11"/>
  <c r="I473" i="11"/>
  <c r="H473" i="11"/>
  <c r="G473" i="11"/>
  <c r="J472" i="11"/>
  <c r="I472" i="11"/>
  <c r="H472" i="11"/>
  <c r="G472" i="11"/>
  <c r="J471" i="11"/>
  <c r="I471" i="11"/>
  <c r="H471" i="11"/>
  <c r="G471" i="11"/>
  <c r="J470" i="11"/>
  <c r="I470" i="11"/>
  <c r="H470" i="11"/>
  <c r="G470" i="11"/>
  <c r="J469" i="11"/>
  <c r="I469" i="11"/>
  <c r="H469" i="11"/>
  <c r="G469" i="11"/>
  <c r="J468" i="11"/>
  <c r="I468" i="11"/>
  <c r="H468" i="11"/>
  <c r="G468" i="11"/>
  <c r="J467" i="11"/>
  <c r="I467" i="11"/>
  <c r="H467" i="11"/>
  <c r="G467" i="11"/>
  <c r="J466" i="11"/>
  <c r="I466" i="11"/>
  <c r="H466" i="11"/>
  <c r="G466" i="11"/>
  <c r="J465" i="11"/>
  <c r="I465" i="11"/>
  <c r="H465" i="11"/>
  <c r="G465" i="11"/>
  <c r="J464" i="11"/>
  <c r="I464" i="11"/>
  <c r="H464" i="11"/>
  <c r="G464" i="11"/>
  <c r="J463" i="11"/>
  <c r="I463" i="11"/>
  <c r="H463" i="11"/>
  <c r="G463" i="11"/>
  <c r="J462" i="11"/>
  <c r="I462" i="11"/>
  <c r="H462" i="11"/>
  <c r="G462" i="11"/>
  <c r="J461" i="11"/>
  <c r="I461" i="11"/>
  <c r="H461" i="11"/>
  <c r="G461" i="11"/>
  <c r="J460" i="11"/>
  <c r="I460" i="11"/>
  <c r="H460" i="11"/>
  <c r="G460" i="11"/>
  <c r="J459" i="11"/>
  <c r="I459" i="11"/>
  <c r="H459" i="11"/>
  <c r="G459" i="11"/>
  <c r="J458" i="11"/>
  <c r="I458" i="11"/>
  <c r="H458" i="11"/>
  <c r="G458" i="11"/>
  <c r="J457" i="11"/>
  <c r="I457" i="11"/>
  <c r="H457" i="11"/>
  <c r="G457" i="11"/>
  <c r="J456" i="11"/>
  <c r="I456" i="11"/>
  <c r="H456" i="11"/>
  <c r="G456" i="11"/>
  <c r="J455" i="11"/>
  <c r="I455" i="11"/>
  <c r="H455" i="11"/>
  <c r="G455" i="11"/>
  <c r="J454" i="11"/>
  <c r="I454" i="11"/>
  <c r="H454" i="11"/>
  <c r="G454" i="11"/>
  <c r="J453" i="11"/>
  <c r="I453" i="11"/>
  <c r="H453" i="11"/>
  <c r="G453" i="11"/>
  <c r="J452" i="11"/>
  <c r="I452" i="11"/>
  <c r="H452" i="11"/>
  <c r="G452" i="11"/>
  <c r="J451" i="11"/>
  <c r="I451" i="11"/>
  <c r="H451" i="11"/>
  <c r="G451" i="11"/>
  <c r="J450" i="11"/>
  <c r="I450" i="11"/>
  <c r="H450" i="11"/>
  <c r="G450" i="11"/>
  <c r="J449" i="11"/>
  <c r="I449" i="11"/>
  <c r="H449" i="11"/>
  <c r="G449" i="11"/>
  <c r="J448" i="11"/>
  <c r="I448" i="11"/>
  <c r="H448" i="11"/>
  <c r="G448" i="11"/>
  <c r="J447" i="11"/>
  <c r="I447" i="11"/>
  <c r="H447" i="11"/>
  <c r="G447" i="11"/>
  <c r="J446" i="11"/>
  <c r="I446" i="11"/>
  <c r="H446" i="11"/>
  <c r="G446" i="11"/>
  <c r="J445" i="11"/>
  <c r="I445" i="11"/>
  <c r="H445" i="11"/>
  <c r="G445" i="11"/>
  <c r="J444" i="11"/>
  <c r="I444" i="11"/>
  <c r="H444" i="11"/>
  <c r="G444" i="11"/>
  <c r="J443" i="11"/>
  <c r="I443" i="11"/>
  <c r="H443" i="11"/>
  <c r="G443" i="11"/>
  <c r="J442" i="11"/>
  <c r="I442" i="11"/>
  <c r="H442" i="11"/>
  <c r="G442" i="11"/>
  <c r="J441" i="11"/>
  <c r="I441" i="11"/>
  <c r="H441" i="11"/>
  <c r="G441" i="11"/>
  <c r="J440" i="11"/>
  <c r="I440" i="11"/>
  <c r="H440" i="11"/>
  <c r="G440" i="11"/>
  <c r="J439" i="11"/>
  <c r="I439" i="11"/>
  <c r="H439" i="11"/>
  <c r="G439" i="11"/>
  <c r="J438" i="11"/>
  <c r="I438" i="11"/>
  <c r="H438" i="11"/>
  <c r="G438" i="11"/>
  <c r="J437" i="11"/>
  <c r="I437" i="11"/>
  <c r="H437" i="11"/>
  <c r="G437" i="11"/>
  <c r="J436" i="11"/>
  <c r="I436" i="11"/>
  <c r="H436" i="11"/>
  <c r="G436" i="11"/>
  <c r="J435" i="11"/>
  <c r="I435" i="11"/>
  <c r="H435" i="11"/>
  <c r="G435" i="11"/>
  <c r="J434" i="11"/>
  <c r="I434" i="11"/>
  <c r="H434" i="11"/>
  <c r="G434" i="11"/>
  <c r="J433" i="11"/>
  <c r="I433" i="11"/>
  <c r="H433" i="11"/>
  <c r="G433" i="11"/>
  <c r="J432" i="11"/>
  <c r="I432" i="11"/>
  <c r="H432" i="11"/>
  <c r="G432" i="11"/>
  <c r="J431" i="11"/>
  <c r="I431" i="11"/>
  <c r="H431" i="11"/>
  <c r="G431" i="11"/>
  <c r="J430" i="11"/>
  <c r="I430" i="11"/>
  <c r="H430" i="11"/>
  <c r="G430" i="11"/>
  <c r="J429" i="11"/>
  <c r="I429" i="11"/>
  <c r="H429" i="11"/>
  <c r="G429" i="11"/>
  <c r="J428" i="11"/>
  <c r="I428" i="11"/>
  <c r="H428" i="11"/>
  <c r="G428" i="11"/>
  <c r="J427" i="11"/>
  <c r="I427" i="11"/>
  <c r="H427" i="11"/>
  <c r="G427" i="11"/>
  <c r="J426" i="11"/>
  <c r="I426" i="11"/>
  <c r="H426" i="11"/>
  <c r="G426" i="11"/>
  <c r="J425" i="11"/>
  <c r="I425" i="11"/>
  <c r="H425" i="11"/>
  <c r="G425" i="11"/>
  <c r="J424" i="11"/>
  <c r="I424" i="11"/>
  <c r="H424" i="11"/>
  <c r="G424" i="11"/>
  <c r="J423" i="11"/>
  <c r="I423" i="11"/>
  <c r="H423" i="11"/>
  <c r="G423" i="11"/>
  <c r="J422" i="11"/>
  <c r="I422" i="11"/>
  <c r="H422" i="11"/>
  <c r="G422" i="11"/>
  <c r="J421" i="11"/>
  <c r="I421" i="11"/>
  <c r="H421" i="11"/>
  <c r="G421" i="11"/>
  <c r="J420" i="11"/>
  <c r="I420" i="11"/>
  <c r="H420" i="11"/>
  <c r="G420" i="11"/>
  <c r="J419" i="11"/>
  <c r="I419" i="11"/>
  <c r="H419" i="11"/>
  <c r="G419" i="11"/>
  <c r="J418" i="11"/>
  <c r="I418" i="11"/>
  <c r="H418" i="11"/>
  <c r="G418" i="11"/>
  <c r="J417" i="11"/>
  <c r="I417" i="11"/>
  <c r="H417" i="11"/>
  <c r="G417" i="11"/>
  <c r="J416" i="11"/>
  <c r="I416" i="11"/>
  <c r="H416" i="11"/>
  <c r="G416" i="11"/>
  <c r="J415" i="11"/>
  <c r="I415" i="11"/>
  <c r="H415" i="11"/>
  <c r="G415" i="11"/>
  <c r="J414" i="11"/>
  <c r="I414" i="11"/>
  <c r="H414" i="11"/>
  <c r="G414" i="11"/>
  <c r="J413" i="11"/>
  <c r="I413" i="11"/>
  <c r="H413" i="11"/>
  <c r="G413" i="11"/>
  <c r="J412" i="11"/>
  <c r="I412" i="11"/>
  <c r="H412" i="11"/>
  <c r="G412" i="11"/>
  <c r="J411" i="11"/>
  <c r="I411" i="11"/>
  <c r="H411" i="11"/>
  <c r="G411" i="11"/>
  <c r="J410" i="11"/>
  <c r="I410" i="11"/>
  <c r="H410" i="11"/>
  <c r="G410" i="11"/>
  <c r="J409" i="11"/>
  <c r="I409" i="11"/>
  <c r="H409" i="11"/>
  <c r="G409" i="11"/>
  <c r="J408" i="11"/>
  <c r="I408" i="11"/>
  <c r="H408" i="11"/>
  <c r="G408" i="11"/>
  <c r="J407" i="11"/>
  <c r="I407" i="11"/>
  <c r="H407" i="11"/>
  <c r="G407" i="11"/>
  <c r="J406" i="11"/>
  <c r="I406" i="11"/>
  <c r="H406" i="11"/>
  <c r="G406" i="11"/>
  <c r="J405" i="11"/>
  <c r="I405" i="11"/>
  <c r="H405" i="11"/>
  <c r="G405" i="11"/>
  <c r="J404" i="11"/>
  <c r="I404" i="11"/>
  <c r="H404" i="11"/>
  <c r="G404" i="11"/>
  <c r="J403" i="11"/>
  <c r="I403" i="11"/>
  <c r="H403" i="11"/>
  <c r="G403" i="11"/>
  <c r="J402" i="11"/>
  <c r="I402" i="11"/>
  <c r="H402" i="11"/>
  <c r="G402" i="11"/>
  <c r="J401" i="11"/>
  <c r="I401" i="11"/>
  <c r="H401" i="11"/>
  <c r="G401" i="11"/>
  <c r="J400" i="11"/>
  <c r="I400" i="11"/>
  <c r="H400" i="11"/>
  <c r="G400" i="11"/>
  <c r="J399" i="11"/>
  <c r="I399" i="11"/>
  <c r="H399" i="11"/>
  <c r="G399" i="11"/>
  <c r="J398" i="11"/>
  <c r="I398" i="11"/>
  <c r="H398" i="11"/>
  <c r="G398" i="11"/>
  <c r="J397" i="11"/>
  <c r="I397" i="11"/>
  <c r="H397" i="11"/>
  <c r="G397" i="11"/>
  <c r="J396" i="11"/>
  <c r="I396" i="11"/>
  <c r="H396" i="11"/>
  <c r="G396" i="11"/>
  <c r="J395" i="11"/>
  <c r="I395" i="11"/>
  <c r="H395" i="11"/>
  <c r="G395" i="11"/>
  <c r="J394" i="11"/>
  <c r="I394" i="11"/>
  <c r="H394" i="11"/>
  <c r="G394" i="11"/>
  <c r="J393" i="11"/>
  <c r="I393" i="11"/>
  <c r="H393" i="11"/>
  <c r="G393" i="11"/>
  <c r="J392" i="11"/>
  <c r="I392" i="11"/>
  <c r="H392" i="11"/>
  <c r="G392" i="11"/>
  <c r="J391" i="11"/>
  <c r="I391" i="11"/>
  <c r="H391" i="11"/>
  <c r="G391" i="11"/>
  <c r="J390" i="11"/>
  <c r="I390" i="11"/>
  <c r="H390" i="11"/>
  <c r="G390" i="11"/>
  <c r="J389" i="11"/>
  <c r="I389" i="11"/>
  <c r="H389" i="11"/>
  <c r="G389" i="11"/>
  <c r="J388" i="11"/>
  <c r="I388" i="11"/>
  <c r="H388" i="11"/>
  <c r="G388" i="11"/>
  <c r="J387" i="11"/>
  <c r="I387" i="11"/>
  <c r="H387" i="11"/>
  <c r="G387" i="11"/>
  <c r="J386" i="11"/>
  <c r="I386" i="11"/>
  <c r="H386" i="11"/>
  <c r="G386" i="11"/>
  <c r="J385" i="11"/>
  <c r="I385" i="11"/>
  <c r="H385" i="11"/>
  <c r="G385" i="11"/>
  <c r="J384" i="11"/>
  <c r="I384" i="11"/>
  <c r="H384" i="11"/>
  <c r="G384" i="11"/>
  <c r="J383" i="11"/>
  <c r="I383" i="11"/>
  <c r="H383" i="11"/>
  <c r="G383" i="11"/>
  <c r="J382" i="11"/>
  <c r="I382" i="11"/>
  <c r="H382" i="11"/>
  <c r="G382" i="11"/>
  <c r="J381" i="11"/>
  <c r="I381" i="11"/>
  <c r="H381" i="11"/>
  <c r="G381" i="11"/>
  <c r="J380" i="11"/>
  <c r="I380" i="11"/>
  <c r="H380" i="11"/>
  <c r="G380" i="11"/>
  <c r="J379" i="11"/>
  <c r="I379" i="11"/>
  <c r="H379" i="11"/>
  <c r="G379" i="11"/>
  <c r="J378" i="11"/>
  <c r="I378" i="11"/>
  <c r="H378" i="11"/>
  <c r="G378" i="11"/>
  <c r="J377" i="11"/>
  <c r="I377" i="11"/>
  <c r="H377" i="11"/>
  <c r="G377" i="11"/>
  <c r="J376" i="11"/>
  <c r="I376" i="11"/>
  <c r="H376" i="11"/>
  <c r="G376" i="11"/>
  <c r="J375" i="11"/>
  <c r="I375" i="11"/>
  <c r="H375" i="11"/>
  <c r="G375" i="11"/>
  <c r="J374" i="11"/>
  <c r="I374" i="11"/>
  <c r="H374" i="11"/>
  <c r="G374" i="11"/>
  <c r="J373" i="11"/>
  <c r="I373" i="11"/>
  <c r="H373" i="11"/>
  <c r="G373" i="11"/>
  <c r="J372" i="11"/>
  <c r="I372" i="11"/>
  <c r="H372" i="11"/>
  <c r="G372" i="11"/>
  <c r="J371" i="11"/>
  <c r="I371" i="11"/>
  <c r="H371" i="11"/>
  <c r="G371" i="11"/>
  <c r="J370" i="11"/>
  <c r="I370" i="11"/>
  <c r="H370" i="11"/>
  <c r="G370" i="11"/>
  <c r="J369" i="11"/>
  <c r="I369" i="11"/>
  <c r="H369" i="11"/>
  <c r="G369" i="11"/>
  <c r="J368" i="11"/>
  <c r="I368" i="11"/>
  <c r="H368" i="11"/>
  <c r="G368" i="11"/>
  <c r="J367" i="11"/>
  <c r="I367" i="11"/>
  <c r="H367" i="11"/>
  <c r="G367" i="11"/>
  <c r="J366" i="11"/>
  <c r="I366" i="11"/>
  <c r="H366" i="11"/>
  <c r="G366" i="11"/>
  <c r="J365" i="11"/>
  <c r="I365" i="11"/>
  <c r="H365" i="11"/>
  <c r="G365" i="11"/>
  <c r="J364" i="11"/>
  <c r="I364" i="11"/>
  <c r="H364" i="11"/>
  <c r="G364" i="11"/>
  <c r="J363" i="11"/>
  <c r="I363" i="11"/>
  <c r="H363" i="11"/>
  <c r="G363" i="11"/>
  <c r="J362" i="11"/>
  <c r="I362" i="11"/>
  <c r="H362" i="11"/>
  <c r="G362" i="11"/>
  <c r="J361" i="11"/>
  <c r="I361" i="11"/>
  <c r="H361" i="11"/>
  <c r="G361" i="11"/>
  <c r="J360" i="11"/>
  <c r="I360" i="11"/>
  <c r="H360" i="11"/>
  <c r="G360" i="11"/>
  <c r="J359" i="11"/>
  <c r="I359" i="11"/>
  <c r="H359" i="11"/>
  <c r="G359" i="11"/>
  <c r="J358" i="11"/>
  <c r="I358" i="11"/>
  <c r="H358" i="11"/>
  <c r="G358" i="11"/>
  <c r="J357" i="11"/>
  <c r="I357" i="11"/>
  <c r="H357" i="11"/>
  <c r="G357" i="11"/>
  <c r="J356" i="11"/>
  <c r="I356" i="11"/>
  <c r="H356" i="11"/>
  <c r="G356" i="11"/>
  <c r="J355" i="11"/>
  <c r="I355" i="11"/>
  <c r="H355" i="11"/>
  <c r="G355" i="11"/>
  <c r="J354" i="11"/>
  <c r="I354" i="11"/>
  <c r="H354" i="11"/>
  <c r="G354" i="11"/>
  <c r="J353" i="11"/>
  <c r="I353" i="11"/>
  <c r="H353" i="11"/>
  <c r="G353" i="11"/>
  <c r="J352" i="11"/>
  <c r="I352" i="11"/>
  <c r="H352" i="11"/>
  <c r="G352" i="11"/>
  <c r="J351" i="11"/>
  <c r="I351" i="11"/>
  <c r="H351" i="11"/>
  <c r="G351" i="11"/>
  <c r="J350" i="11"/>
  <c r="I350" i="11"/>
  <c r="H350" i="11"/>
  <c r="G350" i="11"/>
  <c r="J349" i="11"/>
  <c r="I349" i="11"/>
  <c r="H349" i="11"/>
  <c r="G349" i="11"/>
  <c r="J348" i="11"/>
  <c r="I348" i="11"/>
  <c r="H348" i="11"/>
  <c r="G348" i="11"/>
  <c r="J347" i="11"/>
  <c r="I347" i="11"/>
  <c r="H347" i="11"/>
  <c r="G347" i="11"/>
  <c r="J346" i="11"/>
  <c r="I346" i="11"/>
  <c r="H346" i="11"/>
  <c r="G346" i="11"/>
  <c r="J345" i="11"/>
  <c r="I345" i="11"/>
  <c r="H345" i="11"/>
  <c r="G345" i="11"/>
  <c r="J344" i="11"/>
  <c r="I344" i="11"/>
  <c r="H344" i="11"/>
  <c r="G344" i="11"/>
  <c r="J343" i="11"/>
  <c r="I343" i="11"/>
  <c r="H343" i="11"/>
  <c r="G343" i="11"/>
  <c r="J342" i="11"/>
  <c r="I342" i="11"/>
  <c r="H342" i="11"/>
  <c r="G342" i="11"/>
  <c r="J341" i="11"/>
  <c r="I341" i="11"/>
  <c r="H341" i="11"/>
  <c r="G341" i="11"/>
  <c r="J340" i="11"/>
  <c r="I340" i="11"/>
  <c r="H340" i="11"/>
  <c r="G340" i="11"/>
  <c r="J339" i="11"/>
  <c r="I339" i="11"/>
  <c r="H339" i="11"/>
  <c r="G339" i="11"/>
  <c r="J338" i="11"/>
  <c r="I338" i="11"/>
  <c r="H338" i="11"/>
  <c r="G338" i="11"/>
  <c r="J337" i="11"/>
  <c r="I337" i="11"/>
  <c r="H337" i="11"/>
  <c r="G337" i="11"/>
  <c r="J336" i="11"/>
  <c r="I336" i="11"/>
  <c r="H336" i="11"/>
  <c r="G336" i="11"/>
  <c r="J335" i="11"/>
  <c r="I335" i="11"/>
  <c r="H335" i="11"/>
  <c r="G335" i="11"/>
  <c r="J334" i="11"/>
  <c r="I334" i="11"/>
  <c r="H334" i="11"/>
  <c r="G334" i="11"/>
  <c r="J333" i="11"/>
  <c r="I333" i="11"/>
  <c r="H333" i="11"/>
  <c r="G333" i="11"/>
  <c r="J332" i="11"/>
  <c r="I332" i="11"/>
  <c r="H332" i="11"/>
  <c r="G332" i="11"/>
  <c r="J331" i="11"/>
  <c r="I331" i="11"/>
  <c r="H331" i="11"/>
  <c r="G331" i="11"/>
  <c r="J330" i="11"/>
  <c r="I330" i="11"/>
  <c r="H330" i="11"/>
  <c r="G330" i="11"/>
  <c r="J329" i="11"/>
  <c r="I329" i="11"/>
  <c r="H329" i="11"/>
  <c r="G329" i="11"/>
  <c r="J328" i="11"/>
  <c r="I328" i="11"/>
  <c r="H328" i="11"/>
  <c r="G328" i="11"/>
  <c r="J327" i="11"/>
  <c r="I327" i="11"/>
  <c r="H327" i="11"/>
  <c r="G327" i="11"/>
  <c r="J326" i="11"/>
  <c r="I326" i="11"/>
  <c r="H326" i="11"/>
  <c r="G326" i="11"/>
  <c r="J325" i="11"/>
  <c r="I325" i="11"/>
  <c r="H325" i="11"/>
  <c r="G325" i="11"/>
  <c r="J324" i="11"/>
  <c r="I324" i="11"/>
  <c r="H324" i="11"/>
  <c r="G324" i="11"/>
  <c r="J323" i="11"/>
  <c r="I323" i="11"/>
  <c r="H323" i="11"/>
  <c r="G323" i="11"/>
  <c r="J322" i="11"/>
  <c r="I322" i="11"/>
  <c r="H322" i="11"/>
  <c r="G322" i="11"/>
  <c r="J321" i="11"/>
  <c r="I321" i="11"/>
  <c r="H321" i="11"/>
  <c r="G321" i="11"/>
  <c r="J320" i="11"/>
  <c r="I320" i="11"/>
  <c r="H320" i="11"/>
  <c r="G320" i="11"/>
  <c r="J319" i="11"/>
  <c r="I319" i="11"/>
  <c r="H319" i="11"/>
  <c r="G319" i="11"/>
  <c r="J318" i="11"/>
  <c r="I318" i="11"/>
  <c r="H318" i="11"/>
  <c r="G318" i="11"/>
  <c r="J317" i="11"/>
  <c r="I317" i="11"/>
  <c r="H317" i="11"/>
  <c r="G317" i="11"/>
  <c r="J316" i="11"/>
  <c r="I316" i="11"/>
  <c r="H316" i="11"/>
  <c r="G316" i="11"/>
  <c r="J315" i="11"/>
  <c r="I315" i="11"/>
  <c r="H315" i="11"/>
  <c r="G315" i="11"/>
  <c r="J314" i="11"/>
  <c r="I314" i="11"/>
  <c r="H314" i="11"/>
  <c r="G314" i="11"/>
  <c r="J313" i="11"/>
  <c r="I313" i="11"/>
  <c r="H313" i="11"/>
  <c r="G313" i="11"/>
  <c r="J312" i="11"/>
  <c r="I312" i="11"/>
  <c r="H312" i="11"/>
  <c r="G312" i="11"/>
  <c r="J311" i="11"/>
  <c r="I311" i="11"/>
  <c r="H311" i="11"/>
  <c r="G311" i="11"/>
  <c r="J310" i="11"/>
  <c r="I310" i="11"/>
  <c r="H310" i="11"/>
  <c r="G310" i="11"/>
  <c r="J309" i="11"/>
  <c r="I309" i="11"/>
  <c r="H309" i="11"/>
  <c r="G309" i="11"/>
  <c r="J308" i="11"/>
  <c r="I308" i="11"/>
  <c r="H308" i="11"/>
  <c r="G308" i="11"/>
  <c r="J307" i="11"/>
  <c r="I307" i="11"/>
  <c r="H307" i="11"/>
  <c r="G307" i="11"/>
  <c r="J306" i="11"/>
  <c r="I306" i="11"/>
  <c r="H306" i="11"/>
  <c r="G306" i="11"/>
  <c r="J305" i="11"/>
  <c r="I305" i="11"/>
  <c r="H305" i="11"/>
  <c r="G305" i="11"/>
  <c r="J304" i="11"/>
  <c r="I304" i="11"/>
  <c r="H304" i="11"/>
  <c r="G304" i="11"/>
  <c r="J303" i="11"/>
  <c r="I303" i="11"/>
  <c r="H303" i="11"/>
  <c r="G303" i="11"/>
  <c r="J302" i="11"/>
  <c r="I302" i="11"/>
  <c r="H302" i="11"/>
  <c r="G302" i="11"/>
  <c r="J301" i="11"/>
  <c r="I301" i="11"/>
  <c r="H301" i="11"/>
  <c r="G301" i="11"/>
  <c r="J300" i="11"/>
  <c r="I300" i="11"/>
  <c r="H300" i="11"/>
  <c r="G300" i="11"/>
  <c r="J299" i="11"/>
  <c r="I299" i="11"/>
  <c r="H299" i="11"/>
  <c r="G299" i="11"/>
  <c r="J298" i="11"/>
  <c r="I298" i="11"/>
  <c r="H298" i="11"/>
  <c r="G298" i="11"/>
  <c r="J297" i="11"/>
  <c r="I297" i="11"/>
  <c r="H297" i="11"/>
  <c r="G297" i="11"/>
  <c r="J296" i="11"/>
  <c r="I296" i="11"/>
  <c r="H296" i="11"/>
  <c r="G296" i="11"/>
  <c r="J295" i="11"/>
  <c r="I295" i="11"/>
  <c r="H295" i="11"/>
  <c r="G295" i="11"/>
  <c r="J294" i="11"/>
  <c r="I294" i="11"/>
  <c r="H294" i="11"/>
  <c r="G294" i="11"/>
  <c r="J293" i="11"/>
  <c r="I293" i="11"/>
  <c r="H293" i="11"/>
  <c r="G293" i="11"/>
  <c r="J292" i="11"/>
  <c r="I292" i="11"/>
  <c r="H292" i="11"/>
  <c r="G292" i="11"/>
  <c r="J291" i="11"/>
  <c r="I291" i="11"/>
  <c r="H291" i="11"/>
  <c r="G291" i="11"/>
  <c r="J290" i="11"/>
  <c r="I290" i="11"/>
  <c r="H290" i="11"/>
  <c r="G290" i="11"/>
  <c r="J289" i="11"/>
  <c r="I289" i="11"/>
  <c r="H289" i="11"/>
  <c r="G289" i="11"/>
  <c r="J288" i="11"/>
  <c r="I288" i="11"/>
  <c r="H288" i="11"/>
  <c r="G288" i="11"/>
  <c r="J287" i="11"/>
  <c r="I287" i="11"/>
  <c r="H287" i="11"/>
  <c r="G287" i="11"/>
  <c r="J286" i="11"/>
  <c r="I286" i="11"/>
  <c r="H286" i="11"/>
  <c r="G286" i="11"/>
  <c r="J285" i="11"/>
  <c r="I285" i="11"/>
  <c r="H285" i="11"/>
  <c r="G285" i="11"/>
  <c r="J284" i="11"/>
  <c r="I284" i="11"/>
  <c r="H284" i="11"/>
  <c r="G284" i="11"/>
  <c r="J283" i="11"/>
  <c r="I283" i="11"/>
  <c r="H283" i="11"/>
  <c r="G283" i="11"/>
  <c r="J282" i="11"/>
  <c r="I282" i="11"/>
  <c r="H282" i="11"/>
  <c r="G282" i="11"/>
  <c r="J281" i="11"/>
  <c r="I281" i="11"/>
  <c r="H281" i="11"/>
  <c r="G281" i="11"/>
  <c r="J280" i="11"/>
  <c r="I280" i="11"/>
  <c r="H280" i="11"/>
  <c r="G280" i="11"/>
  <c r="J279" i="11"/>
  <c r="I279" i="11"/>
  <c r="H279" i="11"/>
  <c r="G279" i="11"/>
  <c r="J278" i="11"/>
  <c r="I278" i="11"/>
  <c r="H278" i="11"/>
  <c r="G278" i="11"/>
  <c r="J277" i="11"/>
  <c r="I277" i="11"/>
  <c r="H277" i="11"/>
  <c r="G277" i="11"/>
  <c r="J276" i="11"/>
  <c r="I276" i="11"/>
  <c r="H276" i="11"/>
  <c r="G276" i="11"/>
  <c r="J275" i="11"/>
  <c r="I275" i="11"/>
  <c r="H275" i="11"/>
  <c r="G275" i="11"/>
  <c r="J274" i="11"/>
  <c r="I274" i="11"/>
  <c r="H274" i="11"/>
  <c r="G274" i="11"/>
  <c r="J273" i="11"/>
  <c r="I273" i="11"/>
  <c r="H273" i="11"/>
  <c r="G273" i="11"/>
  <c r="J272" i="11"/>
  <c r="I272" i="11"/>
  <c r="H272" i="11"/>
  <c r="G272" i="11"/>
  <c r="J271" i="11"/>
  <c r="I271" i="11"/>
  <c r="H271" i="11"/>
  <c r="G271" i="11"/>
  <c r="J270" i="11"/>
  <c r="I270" i="11"/>
  <c r="H270" i="11"/>
  <c r="G270" i="11"/>
  <c r="J269" i="11"/>
  <c r="I269" i="11"/>
  <c r="H269" i="11"/>
  <c r="G269" i="11"/>
  <c r="J268" i="11"/>
  <c r="I268" i="11"/>
  <c r="H268" i="11"/>
  <c r="G268" i="11"/>
  <c r="J267" i="11"/>
  <c r="I267" i="11"/>
  <c r="H267" i="11"/>
  <c r="G267" i="11"/>
  <c r="J266" i="11"/>
  <c r="I266" i="11"/>
  <c r="H266" i="11"/>
  <c r="G266" i="11"/>
  <c r="J265" i="11"/>
  <c r="I265" i="11"/>
  <c r="H265" i="11"/>
  <c r="G265" i="11"/>
  <c r="J264" i="11"/>
  <c r="I264" i="11"/>
  <c r="H264" i="11"/>
  <c r="G264" i="11"/>
  <c r="J263" i="11"/>
  <c r="I263" i="11"/>
  <c r="H263" i="11"/>
  <c r="G263" i="11"/>
  <c r="J262" i="11"/>
  <c r="I262" i="11"/>
  <c r="H262" i="11"/>
  <c r="G262" i="11"/>
  <c r="J261" i="11"/>
  <c r="I261" i="11"/>
  <c r="H261" i="11"/>
  <c r="G261" i="11"/>
  <c r="J260" i="11"/>
  <c r="I260" i="11"/>
  <c r="H260" i="11"/>
  <c r="G260" i="11"/>
  <c r="J259" i="11"/>
  <c r="I259" i="11"/>
  <c r="H259" i="11"/>
  <c r="G259" i="11"/>
  <c r="J258" i="11"/>
  <c r="I258" i="11"/>
  <c r="H258" i="11"/>
  <c r="G258" i="11"/>
  <c r="J257" i="11"/>
  <c r="I257" i="11"/>
  <c r="H257" i="11"/>
  <c r="G257" i="11"/>
  <c r="J256" i="11"/>
  <c r="I256" i="11"/>
  <c r="H256" i="11"/>
  <c r="G256" i="11"/>
  <c r="J255" i="11"/>
  <c r="I255" i="11"/>
  <c r="H255" i="11"/>
  <c r="G255" i="11"/>
  <c r="J254" i="11"/>
  <c r="I254" i="11"/>
  <c r="H254" i="11"/>
  <c r="G254" i="11"/>
  <c r="J253" i="11"/>
  <c r="I253" i="11"/>
  <c r="H253" i="11"/>
  <c r="G253" i="11"/>
  <c r="J252" i="11"/>
  <c r="I252" i="11"/>
  <c r="H252" i="11"/>
  <c r="G252" i="11"/>
  <c r="J251" i="11"/>
  <c r="I251" i="11"/>
  <c r="H251" i="11"/>
  <c r="G251" i="11"/>
  <c r="J250" i="11"/>
  <c r="I250" i="11"/>
  <c r="H250" i="11"/>
  <c r="G250" i="11"/>
  <c r="J249" i="11"/>
  <c r="I249" i="11"/>
  <c r="H249" i="11"/>
  <c r="G249" i="11"/>
  <c r="J248" i="11"/>
  <c r="I248" i="11"/>
  <c r="H248" i="11"/>
  <c r="G248" i="11"/>
  <c r="J247" i="11"/>
  <c r="I247" i="11"/>
  <c r="H247" i="11"/>
  <c r="G247" i="11"/>
  <c r="J246" i="11"/>
  <c r="I246" i="11"/>
  <c r="H246" i="11"/>
  <c r="G246" i="11"/>
  <c r="J245" i="11"/>
  <c r="I245" i="11"/>
  <c r="H245" i="11"/>
  <c r="G245" i="11"/>
  <c r="J244" i="11"/>
  <c r="I244" i="11"/>
  <c r="H244" i="11"/>
  <c r="G244" i="11"/>
  <c r="J243" i="11"/>
  <c r="I243" i="11"/>
  <c r="H243" i="11"/>
  <c r="G243" i="11"/>
  <c r="J242" i="11"/>
  <c r="I242" i="11"/>
  <c r="H242" i="11"/>
  <c r="G242" i="11"/>
  <c r="J241" i="11"/>
  <c r="I241" i="11"/>
  <c r="H241" i="11"/>
  <c r="G241" i="11"/>
  <c r="J240" i="11"/>
  <c r="I240" i="11"/>
  <c r="H240" i="11"/>
  <c r="G240" i="11"/>
  <c r="J239" i="11"/>
  <c r="I239" i="11"/>
  <c r="H239" i="11"/>
  <c r="G239" i="11"/>
  <c r="J238" i="11"/>
  <c r="I238" i="11"/>
  <c r="H238" i="11"/>
  <c r="G238" i="11"/>
  <c r="J237" i="11"/>
  <c r="I237" i="11"/>
  <c r="H237" i="11"/>
  <c r="G237" i="11"/>
  <c r="J236" i="11"/>
  <c r="I236" i="11"/>
  <c r="H236" i="11"/>
  <c r="G236" i="11"/>
  <c r="J235" i="11"/>
  <c r="I235" i="11"/>
  <c r="H235" i="11"/>
  <c r="G235" i="11"/>
  <c r="J234" i="11"/>
  <c r="I234" i="11"/>
  <c r="H234" i="11"/>
  <c r="G234" i="11"/>
  <c r="J233" i="11"/>
  <c r="I233" i="11"/>
  <c r="H233" i="11"/>
  <c r="G233" i="11"/>
  <c r="J232" i="11"/>
  <c r="I232" i="11"/>
  <c r="H232" i="11"/>
  <c r="G232" i="11"/>
  <c r="J231" i="11"/>
  <c r="I231" i="11"/>
  <c r="H231" i="11"/>
  <c r="G231" i="11"/>
  <c r="J230" i="11"/>
  <c r="I230" i="11"/>
  <c r="H230" i="11"/>
  <c r="G230" i="11"/>
  <c r="J229" i="11"/>
  <c r="I229" i="11"/>
  <c r="H229" i="11"/>
  <c r="G229" i="11"/>
  <c r="J228" i="11"/>
  <c r="I228" i="11"/>
  <c r="H228" i="11"/>
  <c r="G228" i="11"/>
  <c r="J227" i="11"/>
  <c r="I227" i="11"/>
  <c r="H227" i="11"/>
  <c r="G227" i="11"/>
  <c r="J226" i="11"/>
  <c r="I226" i="11"/>
  <c r="H226" i="11"/>
  <c r="G226" i="11"/>
  <c r="J225" i="11"/>
  <c r="I225" i="11"/>
  <c r="H225" i="11"/>
  <c r="G225" i="11"/>
  <c r="J224" i="11"/>
  <c r="I224" i="11"/>
  <c r="H224" i="11"/>
  <c r="G224" i="11"/>
  <c r="J223" i="11"/>
  <c r="I223" i="11"/>
  <c r="H223" i="11"/>
  <c r="G223" i="11"/>
  <c r="J222" i="11"/>
  <c r="I222" i="11"/>
  <c r="H222" i="11"/>
  <c r="G222" i="11"/>
  <c r="J221" i="11"/>
  <c r="I221" i="11"/>
  <c r="H221" i="11"/>
  <c r="G221" i="11"/>
  <c r="J220" i="11"/>
  <c r="I220" i="11"/>
  <c r="H220" i="11"/>
  <c r="G220" i="11"/>
  <c r="J219" i="11"/>
  <c r="I219" i="11"/>
  <c r="H219" i="11"/>
  <c r="G219" i="11"/>
  <c r="J218" i="11"/>
  <c r="I218" i="11"/>
  <c r="H218" i="11"/>
  <c r="G218" i="11"/>
  <c r="J217" i="11"/>
  <c r="I217" i="11"/>
  <c r="H217" i="11"/>
  <c r="G217" i="11"/>
  <c r="J216" i="11"/>
  <c r="I216" i="11"/>
  <c r="H216" i="11"/>
  <c r="G216" i="11"/>
  <c r="J215" i="11"/>
  <c r="I215" i="11"/>
  <c r="H215" i="11"/>
  <c r="G215" i="11"/>
  <c r="J214" i="11"/>
  <c r="I214" i="11"/>
  <c r="H214" i="11"/>
  <c r="G214" i="11"/>
  <c r="J213" i="11"/>
  <c r="I213" i="11"/>
  <c r="H213" i="11"/>
  <c r="G213" i="11"/>
  <c r="J212" i="11"/>
  <c r="I212" i="11"/>
  <c r="H212" i="11"/>
  <c r="G212" i="11"/>
  <c r="J211" i="11"/>
  <c r="I211" i="11"/>
  <c r="H211" i="11"/>
  <c r="G211" i="11"/>
  <c r="J210" i="11"/>
  <c r="I210" i="11"/>
  <c r="H210" i="11"/>
  <c r="G210" i="11"/>
  <c r="J209" i="11"/>
  <c r="I209" i="11"/>
  <c r="H209" i="11"/>
  <c r="G209" i="11"/>
  <c r="J208" i="11"/>
  <c r="I208" i="11"/>
  <c r="H208" i="11"/>
  <c r="G208" i="11"/>
  <c r="J207" i="11"/>
  <c r="I207" i="11"/>
  <c r="H207" i="11"/>
  <c r="G207" i="11"/>
  <c r="J206" i="11"/>
  <c r="I206" i="11"/>
  <c r="H206" i="11"/>
  <c r="G206" i="11"/>
  <c r="J205" i="11"/>
  <c r="I205" i="11"/>
  <c r="H205" i="11"/>
  <c r="G205" i="11"/>
  <c r="J204" i="11"/>
  <c r="I204" i="11"/>
  <c r="H204" i="11"/>
  <c r="G204" i="11"/>
  <c r="J203" i="11"/>
  <c r="I203" i="11"/>
  <c r="H203" i="11"/>
  <c r="G203" i="11"/>
  <c r="J202" i="11"/>
  <c r="I202" i="11"/>
  <c r="H202" i="11"/>
  <c r="G202" i="11"/>
  <c r="J201" i="11"/>
  <c r="I201" i="11"/>
  <c r="H201" i="11"/>
  <c r="G201" i="11"/>
  <c r="J200" i="11"/>
  <c r="I200" i="11"/>
  <c r="H200" i="11"/>
  <c r="G200" i="11"/>
  <c r="J199" i="11"/>
  <c r="I199" i="11"/>
  <c r="H199" i="11"/>
  <c r="G199" i="11"/>
  <c r="J198" i="11"/>
  <c r="I198" i="11"/>
  <c r="H198" i="11"/>
  <c r="G198" i="11"/>
  <c r="J197" i="11"/>
  <c r="I197" i="11"/>
  <c r="H197" i="11"/>
  <c r="G197" i="11"/>
  <c r="J196" i="11"/>
  <c r="I196" i="11"/>
  <c r="H196" i="11"/>
  <c r="G196" i="11"/>
  <c r="J195" i="11"/>
  <c r="I195" i="11"/>
  <c r="H195" i="11"/>
  <c r="G195" i="11"/>
  <c r="J194" i="11"/>
  <c r="I194" i="11"/>
  <c r="H194" i="11"/>
  <c r="G194" i="11"/>
  <c r="J193" i="11"/>
  <c r="I193" i="11"/>
  <c r="H193" i="11"/>
  <c r="G193" i="11"/>
  <c r="J192" i="11"/>
  <c r="I192" i="11"/>
  <c r="H192" i="11"/>
  <c r="G192" i="11"/>
  <c r="J191" i="11"/>
  <c r="I191" i="11"/>
  <c r="H191" i="11"/>
  <c r="G191" i="11"/>
  <c r="J190" i="11"/>
  <c r="I190" i="11"/>
  <c r="H190" i="11"/>
  <c r="G190" i="11"/>
  <c r="J189" i="11"/>
  <c r="I189" i="11"/>
  <c r="H189" i="11"/>
  <c r="G189" i="11"/>
  <c r="J188" i="11"/>
  <c r="I188" i="11"/>
  <c r="H188" i="11"/>
  <c r="G188" i="11"/>
  <c r="J187" i="11"/>
  <c r="I187" i="11"/>
  <c r="H187" i="11"/>
  <c r="G187" i="11"/>
  <c r="J186" i="11"/>
  <c r="I186" i="11"/>
  <c r="H186" i="11"/>
  <c r="G186" i="11"/>
  <c r="J185" i="11"/>
  <c r="I185" i="11"/>
  <c r="H185" i="11"/>
  <c r="G185" i="11"/>
  <c r="J184" i="11"/>
  <c r="I184" i="11"/>
  <c r="H184" i="11"/>
  <c r="G184" i="11"/>
  <c r="J183" i="11"/>
  <c r="I183" i="11"/>
  <c r="H183" i="11"/>
  <c r="G183" i="11"/>
  <c r="J182" i="11"/>
  <c r="I182" i="11"/>
  <c r="H182" i="11"/>
  <c r="G182" i="11"/>
  <c r="J181" i="11"/>
  <c r="I181" i="11"/>
  <c r="H181" i="11"/>
  <c r="G181" i="11"/>
  <c r="J180" i="11"/>
  <c r="I180" i="11"/>
  <c r="H180" i="11"/>
  <c r="G180" i="11"/>
  <c r="J179" i="11"/>
  <c r="I179" i="11"/>
  <c r="H179" i="11"/>
  <c r="G179" i="11"/>
  <c r="J178" i="11"/>
  <c r="I178" i="11"/>
  <c r="H178" i="11"/>
  <c r="G178" i="11"/>
  <c r="J177" i="11"/>
  <c r="I177" i="11"/>
  <c r="H177" i="11"/>
  <c r="G177" i="11"/>
  <c r="J176" i="11"/>
  <c r="I176" i="11"/>
  <c r="H176" i="11"/>
  <c r="G176" i="11"/>
  <c r="J175" i="11"/>
  <c r="I175" i="11"/>
  <c r="H175" i="11"/>
  <c r="G175" i="11"/>
  <c r="J174" i="11"/>
  <c r="I174" i="11"/>
  <c r="H174" i="11"/>
  <c r="G174" i="11"/>
  <c r="J173" i="11"/>
  <c r="I173" i="11"/>
  <c r="H173" i="11"/>
  <c r="G173" i="11"/>
  <c r="J172" i="11"/>
  <c r="I172" i="11"/>
  <c r="H172" i="11"/>
  <c r="G172" i="11"/>
  <c r="J171" i="11"/>
  <c r="I171" i="11"/>
  <c r="H171" i="11"/>
  <c r="G171" i="11"/>
  <c r="J170" i="11"/>
  <c r="I170" i="11"/>
  <c r="H170" i="11"/>
  <c r="G170" i="11"/>
  <c r="J169" i="11"/>
  <c r="I169" i="11"/>
  <c r="H169" i="11"/>
  <c r="G169" i="11"/>
  <c r="J168" i="11"/>
  <c r="I168" i="11"/>
  <c r="H168" i="11"/>
  <c r="G168" i="11"/>
  <c r="J167" i="11"/>
  <c r="I167" i="11"/>
  <c r="H167" i="11"/>
  <c r="G167" i="11"/>
  <c r="J166" i="11"/>
  <c r="I166" i="11"/>
  <c r="H166" i="11"/>
  <c r="G166" i="11"/>
  <c r="J165" i="11"/>
  <c r="I165" i="11"/>
  <c r="H165" i="11"/>
  <c r="G165" i="11"/>
  <c r="J164" i="11"/>
  <c r="I164" i="11"/>
  <c r="H164" i="11"/>
  <c r="G164" i="11"/>
  <c r="J163" i="11"/>
  <c r="I163" i="11"/>
  <c r="H163" i="11"/>
  <c r="G163" i="11"/>
  <c r="J162" i="11"/>
  <c r="I162" i="11"/>
  <c r="H162" i="11"/>
  <c r="G162" i="11"/>
  <c r="J161" i="11"/>
  <c r="I161" i="11"/>
  <c r="H161" i="11"/>
  <c r="G161" i="11"/>
  <c r="J160" i="11"/>
  <c r="I160" i="11"/>
  <c r="H160" i="11"/>
  <c r="G160" i="11"/>
  <c r="J159" i="11"/>
  <c r="I159" i="11"/>
  <c r="H159" i="11"/>
  <c r="G159" i="11"/>
  <c r="J158" i="11"/>
  <c r="I158" i="11"/>
  <c r="H158" i="11"/>
  <c r="G158" i="11"/>
  <c r="J157" i="11"/>
  <c r="I157" i="11"/>
  <c r="H157" i="11"/>
  <c r="G157" i="11"/>
  <c r="J156" i="11"/>
  <c r="I156" i="11"/>
  <c r="H156" i="11"/>
  <c r="G156" i="11"/>
  <c r="J155" i="11"/>
  <c r="I155" i="11"/>
  <c r="H155" i="11"/>
  <c r="G155" i="11"/>
  <c r="J154" i="11"/>
  <c r="I154" i="11"/>
  <c r="H154" i="11"/>
  <c r="G154" i="11"/>
  <c r="J153" i="11"/>
  <c r="I153" i="11"/>
  <c r="H153" i="11"/>
  <c r="G153" i="11"/>
  <c r="J152" i="11"/>
  <c r="I152" i="11"/>
  <c r="H152" i="11"/>
  <c r="G152" i="11"/>
  <c r="J151" i="11"/>
  <c r="I151" i="11"/>
  <c r="H151" i="11"/>
  <c r="G151" i="11"/>
  <c r="J150" i="11"/>
  <c r="I150" i="11"/>
  <c r="H150" i="11"/>
  <c r="G150" i="11"/>
  <c r="J149" i="11"/>
  <c r="I149" i="11"/>
  <c r="H149" i="11"/>
  <c r="G149" i="11"/>
  <c r="J148" i="11"/>
  <c r="I148" i="11"/>
  <c r="H148" i="11"/>
  <c r="G148" i="11"/>
  <c r="J147" i="11"/>
  <c r="I147" i="11"/>
  <c r="H147" i="11"/>
  <c r="G147" i="11"/>
  <c r="J146" i="11"/>
  <c r="I146" i="11"/>
  <c r="H146" i="11"/>
  <c r="G146" i="11"/>
  <c r="J145" i="11"/>
  <c r="I145" i="11"/>
  <c r="H145" i="11"/>
  <c r="G145" i="11"/>
  <c r="J144" i="11"/>
  <c r="I144" i="11"/>
  <c r="H144" i="11"/>
  <c r="G144" i="11"/>
  <c r="J143" i="11"/>
  <c r="I143" i="11"/>
  <c r="H143" i="11"/>
  <c r="G143" i="11"/>
  <c r="J142" i="11"/>
  <c r="I142" i="11"/>
  <c r="H142" i="11"/>
  <c r="G142" i="11"/>
  <c r="J141" i="11"/>
  <c r="I141" i="11"/>
  <c r="H141" i="11"/>
  <c r="G141" i="11"/>
  <c r="J140" i="11"/>
  <c r="I140" i="11"/>
  <c r="H140" i="11"/>
  <c r="G140" i="11"/>
  <c r="J139" i="11"/>
  <c r="I139" i="11"/>
  <c r="H139" i="11"/>
  <c r="G139" i="11"/>
  <c r="J138" i="11"/>
  <c r="I138" i="11"/>
  <c r="H138" i="11"/>
  <c r="G138" i="11"/>
  <c r="J137" i="11"/>
  <c r="I137" i="11"/>
  <c r="H137" i="11"/>
  <c r="G137" i="11"/>
  <c r="J136" i="11"/>
  <c r="I136" i="11"/>
  <c r="H136" i="11"/>
  <c r="G136" i="11"/>
  <c r="J135" i="11"/>
  <c r="I135" i="11"/>
  <c r="H135" i="11"/>
  <c r="G135" i="11"/>
  <c r="J134" i="11"/>
  <c r="I134" i="11"/>
  <c r="H134" i="11"/>
  <c r="G134" i="11"/>
  <c r="J133" i="11"/>
  <c r="I133" i="11"/>
  <c r="H133" i="11"/>
  <c r="G133" i="11"/>
  <c r="J132" i="11"/>
  <c r="I132" i="11"/>
  <c r="H132" i="11"/>
  <c r="G132" i="11"/>
  <c r="J131" i="11"/>
  <c r="I131" i="11"/>
  <c r="H131" i="11"/>
  <c r="G131" i="11"/>
  <c r="J130" i="11"/>
  <c r="I130" i="11"/>
  <c r="H130" i="11"/>
  <c r="G130" i="11"/>
  <c r="J129" i="11"/>
  <c r="I129" i="11"/>
  <c r="H129" i="11"/>
  <c r="G129" i="11"/>
  <c r="J128" i="11"/>
  <c r="I128" i="11"/>
  <c r="H128" i="11"/>
  <c r="G128" i="11"/>
  <c r="J127" i="11"/>
  <c r="I127" i="11"/>
  <c r="H127" i="11"/>
  <c r="G127" i="11"/>
  <c r="J126" i="11"/>
  <c r="I126" i="11"/>
  <c r="H126" i="11"/>
  <c r="G126" i="11"/>
  <c r="J125" i="11"/>
  <c r="I125" i="11"/>
  <c r="H125" i="11"/>
  <c r="G125" i="11"/>
  <c r="J124" i="11"/>
  <c r="I124" i="11"/>
  <c r="H124" i="11"/>
  <c r="G124" i="11"/>
  <c r="J123" i="11"/>
  <c r="I123" i="11"/>
  <c r="H123" i="11"/>
  <c r="G123" i="11"/>
  <c r="J122" i="11"/>
  <c r="I122" i="11"/>
  <c r="H122" i="11"/>
  <c r="G122" i="11"/>
  <c r="J121" i="11"/>
  <c r="I121" i="11"/>
  <c r="H121" i="11"/>
  <c r="G121" i="11"/>
  <c r="J120" i="11"/>
  <c r="I120" i="11"/>
  <c r="H120" i="11"/>
  <c r="G120" i="11"/>
  <c r="J119" i="11"/>
  <c r="I119" i="11"/>
  <c r="H119" i="11"/>
  <c r="G119" i="11"/>
  <c r="J118" i="11"/>
  <c r="I118" i="11"/>
  <c r="H118" i="11"/>
  <c r="G118" i="11"/>
  <c r="J117" i="11"/>
  <c r="I117" i="11"/>
  <c r="H117" i="11"/>
  <c r="G117" i="11"/>
  <c r="J116" i="11"/>
  <c r="I116" i="11"/>
  <c r="H116" i="11"/>
  <c r="G116" i="11"/>
  <c r="J115" i="11"/>
  <c r="I115" i="11"/>
  <c r="H115" i="11"/>
  <c r="G115" i="11"/>
  <c r="J114" i="11"/>
  <c r="I114" i="11"/>
  <c r="H114" i="11"/>
  <c r="G114" i="11"/>
  <c r="J113" i="11"/>
  <c r="I113" i="11"/>
  <c r="H113" i="11"/>
  <c r="G113" i="11"/>
  <c r="J112" i="11"/>
  <c r="I112" i="11"/>
  <c r="H112" i="11"/>
  <c r="G112" i="11"/>
  <c r="J111" i="11"/>
  <c r="I111" i="11"/>
  <c r="H111" i="11"/>
  <c r="G111" i="11"/>
  <c r="J110" i="11"/>
  <c r="I110" i="11"/>
  <c r="H110" i="11"/>
  <c r="G110" i="11"/>
  <c r="J109" i="11"/>
  <c r="I109" i="11"/>
  <c r="H109" i="11"/>
  <c r="G109" i="11"/>
  <c r="J108" i="11"/>
  <c r="I108" i="11"/>
  <c r="H108" i="11"/>
  <c r="G108" i="11"/>
  <c r="J107" i="11"/>
  <c r="I107" i="11"/>
  <c r="H107" i="11"/>
  <c r="G107" i="11"/>
  <c r="J106" i="11"/>
  <c r="I106" i="11"/>
  <c r="H106" i="11"/>
  <c r="G106" i="11"/>
  <c r="J105" i="11"/>
  <c r="I105" i="11"/>
  <c r="H105" i="11"/>
  <c r="G105" i="11"/>
  <c r="J104" i="11"/>
  <c r="I104" i="11"/>
  <c r="H104" i="11"/>
  <c r="G104" i="11"/>
  <c r="J103" i="11"/>
  <c r="I103" i="11"/>
  <c r="H103" i="11"/>
  <c r="G103" i="11"/>
  <c r="J102" i="11"/>
  <c r="I102" i="11"/>
  <c r="H102" i="11"/>
  <c r="G102" i="11"/>
  <c r="J101" i="11"/>
  <c r="I101" i="11"/>
  <c r="H101" i="11"/>
  <c r="G101" i="11"/>
  <c r="J100" i="11"/>
  <c r="I100" i="11"/>
  <c r="H100" i="11"/>
  <c r="G100" i="11"/>
  <c r="J99" i="11"/>
  <c r="I99" i="11"/>
  <c r="H99" i="11"/>
  <c r="G99" i="11"/>
  <c r="J98" i="11"/>
  <c r="I98" i="11"/>
  <c r="H98" i="11"/>
  <c r="G98" i="11"/>
  <c r="J97" i="11"/>
  <c r="I97" i="11"/>
  <c r="H97" i="11"/>
  <c r="G97" i="11"/>
  <c r="J96" i="11"/>
  <c r="I96" i="11"/>
  <c r="H96" i="11"/>
  <c r="G96" i="11"/>
  <c r="J95" i="11"/>
  <c r="I95" i="11"/>
  <c r="H95" i="11"/>
  <c r="G95" i="11"/>
  <c r="J94" i="11"/>
  <c r="I94" i="11"/>
  <c r="H94" i="11"/>
  <c r="G94" i="11"/>
  <c r="J93" i="11"/>
  <c r="I93" i="11"/>
  <c r="H93" i="11"/>
  <c r="G93" i="11"/>
  <c r="J92" i="11"/>
  <c r="I92" i="11"/>
  <c r="H92" i="11"/>
  <c r="G92" i="11"/>
  <c r="J91" i="11"/>
  <c r="I91" i="11"/>
  <c r="H91" i="11"/>
  <c r="G91" i="11"/>
  <c r="J90" i="11"/>
  <c r="I90" i="11"/>
  <c r="H90" i="11"/>
  <c r="G90" i="11"/>
  <c r="J89" i="11"/>
  <c r="I89" i="11"/>
  <c r="H89" i="11"/>
  <c r="G89" i="11"/>
  <c r="J88" i="11"/>
  <c r="I88" i="11"/>
  <c r="H88" i="11"/>
  <c r="G88" i="11"/>
  <c r="J87" i="11"/>
  <c r="I87" i="11"/>
  <c r="H87" i="11"/>
  <c r="G87" i="11"/>
  <c r="J86" i="11"/>
  <c r="I86" i="11"/>
  <c r="H86" i="11"/>
  <c r="G86" i="11"/>
  <c r="J85" i="11"/>
  <c r="I85" i="11"/>
  <c r="H85" i="11"/>
  <c r="G85" i="11"/>
  <c r="J84" i="11"/>
  <c r="I84" i="11"/>
  <c r="H84" i="11"/>
  <c r="G84" i="11"/>
  <c r="J83" i="11"/>
  <c r="I83" i="11"/>
  <c r="H83" i="11"/>
  <c r="G83" i="11"/>
  <c r="J82" i="11"/>
  <c r="I82" i="11"/>
  <c r="H82" i="11"/>
  <c r="G82" i="11"/>
  <c r="J81" i="11"/>
  <c r="I81" i="11"/>
  <c r="H81" i="11"/>
  <c r="G81" i="11"/>
  <c r="J80" i="11"/>
  <c r="I80" i="11"/>
  <c r="H80" i="11"/>
  <c r="G80" i="11"/>
  <c r="J79" i="11"/>
  <c r="I79" i="11"/>
  <c r="H79" i="11"/>
  <c r="G79" i="11"/>
  <c r="J78" i="11"/>
  <c r="I78" i="11"/>
  <c r="H78" i="11"/>
  <c r="G78" i="11"/>
  <c r="J77" i="11"/>
  <c r="I77" i="11"/>
  <c r="H77" i="11"/>
  <c r="G77" i="11"/>
  <c r="J76" i="11"/>
  <c r="I76" i="11"/>
  <c r="H76" i="11"/>
  <c r="G76" i="11"/>
  <c r="J75" i="11"/>
  <c r="I75" i="11"/>
  <c r="H75" i="11"/>
  <c r="G75" i="11"/>
  <c r="J74" i="11"/>
  <c r="I74" i="11"/>
  <c r="H74" i="11"/>
  <c r="G74" i="11"/>
  <c r="J73" i="11"/>
  <c r="I73" i="11"/>
  <c r="H73" i="11"/>
  <c r="G73" i="11"/>
  <c r="J72" i="11"/>
  <c r="I72" i="11"/>
  <c r="H72" i="11"/>
  <c r="G72" i="11"/>
  <c r="J71" i="11"/>
  <c r="I71" i="11"/>
  <c r="H71" i="11"/>
  <c r="G71" i="11"/>
  <c r="J70" i="11"/>
  <c r="I70" i="11"/>
  <c r="H70" i="11"/>
  <c r="G70" i="11"/>
  <c r="J69" i="11"/>
  <c r="I69" i="11"/>
  <c r="H69" i="11"/>
  <c r="G69" i="11"/>
  <c r="J68" i="11"/>
  <c r="I68" i="11"/>
  <c r="H68" i="11"/>
  <c r="G68" i="11"/>
  <c r="J67" i="11"/>
  <c r="I67" i="11"/>
  <c r="H67" i="11"/>
  <c r="G67" i="11"/>
  <c r="J66" i="11"/>
  <c r="I66" i="11"/>
  <c r="H66" i="11"/>
  <c r="G66" i="11"/>
  <c r="J65" i="11"/>
  <c r="I65" i="11"/>
  <c r="H65" i="11"/>
  <c r="G65" i="11"/>
  <c r="J64" i="11"/>
  <c r="I64" i="11"/>
  <c r="H64" i="11"/>
  <c r="G64" i="11"/>
  <c r="J63" i="11"/>
  <c r="I63" i="11"/>
  <c r="H63" i="11"/>
  <c r="G63" i="11"/>
  <c r="J62" i="11"/>
  <c r="I62" i="11"/>
  <c r="H62" i="11"/>
  <c r="G62" i="11"/>
  <c r="J61" i="11"/>
  <c r="I61" i="11"/>
  <c r="H61" i="11"/>
  <c r="G61" i="11"/>
  <c r="J60" i="11"/>
  <c r="I60" i="11"/>
  <c r="H60" i="11"/>
  <c r="G60" i="11"/>
  <c r="J59" i="11"/>
  <c r="I59" i="11"/>
  <c r="H59" i="11"/>
  <c r="G59" i="11"/>
  <c r="J58" i="11"/>
  <c r="I58" i="11"/>
  <c r="H58" i="11"/>
  <c r="G58" i="11"/>
  <c r="J57" i="11"/>
  <c r="I57" i="11"/>
  <c r="H57" i="11"/>
  <c r="G57" i="11"/>
  <c r="J56" i="11"/>
  <c r="I56" i="11"/>
  <c r="H56" i="11"/>
  <c r="G56" i="11"/>
  <c r="J55" i="11"/>
  <c r="I55" i="11"/>
  <c r="H55" i="11"/>
  <c r="G55" i="11"/>
  <c r="J54" i="11"/>
  <c r="I54" i="11"/>
  <c r="H54" i="11"/>
  <c r="G54" i="11"/>
  <c r="J53" i="11"/>
  <c r="I53" i="11"/>
  <c r="H53" i="11"/>
  <c r="G53" i="11"/>
  <c r="J52" i="11"/>
  <c r="I52" i="11"/>
  <c r="H52" i="11"/>
  <c r="G52" i="11"/>
  <c r="J51" i="11"/>
  <c r="I51" i="11"/>
  <c r="H51" i="11"/>
  <c r="G51" i="11"/>
  <c r="J50" i="11"/>
  <c r="I50" i="11"/>
  <c r="H50" i="11"/>
  <c r="G50" i="11"/>
  <c r="J49" i="11"/>
  <c r="I49" i="11"/>
  <c r="H49" i="11"/>
  <c r="G49" i="11"/>
  <c r="J48" i="11"/>
  <c r="I48" i="11"/>
  <c r="H48" i="11"/>
  <c r="G48" i="11"/>
  <c r="J47" i="11"/>
  <c r="I47" i="11"/>
  <c r="H47" i="11"/>
  <c r="G47" i="11"/>
  <c r="J46" i="11"/>
  <c r="I46" i="11"/>
  <c r="H46" i="11"/>
  <c r="G46" i="11"/>
  <c r="J45" i="11"/>
  <c r="I45" i="11"/>
  <c r="H45" i="11"/>
  <c r="G45" i="11"/>
  <c r="J44" i="11"/>
  <c r="I44" i="11"/>
  <c r="H44" i="11"/>
  <c r="G44" i="11"/>
  <c r="J43" i="11"/>
  <c r="I43" i="11"/>
  <c r="H43" i="11"/>
  <c r="G43" i="11"/>
  <c r="J42" i="11"/>
  <c r="I42" i="11"/>
  <c r="H42" i="11"/>
  <c r="G42" i="11"/>
  <c r="J41" i="11"/>
  <c r="I41" i="11"/>
  <c r="H41" i="11"/>
  <c r="G41" i="11"/>
  <c r="J40" i="11"/>
  <c r="I40" i="11"/>
  <c r="H40" i="11"/>
  <c r="G40" i="11"/>
  <c r="J39" i="11"/>
  <c r="I39" i="11"/>
  <c r="H39" i="11"/>
  <c r="G39" i="11"/>
  <c r="J38" i="11"/>
  <c r="I38" i="11"/>
  <c r="H38" i="11"/>
  <c r="G38" i="11"/>
  <c r="J37" i="11"/>
  <c r="I37" i="11"/>
  <c r="H37" i="11"/>
  <c r="G37" i="11"/>
  <c r="J36" i="11"/>
  <c r="I36" i="11"/>
  <c r="H36" i="11"/>
  <c r="G36" i="11"/>
  <c r="J35" i="11"/>
  <c r="I35" i="11"/>
  <c r="H35" i="11"/>
  <c r="G35" i="11"/>
  <c r="J34" i="11"/>
  <c r="I34" i="11"/>
  <c r="H34" i="11"/>
  <c r="G34" i="11"/>
  <c r="J33" i="11"/>
  <c r="I33" i="11"/>
  <c r="H33" i="11"/>
  <c r="G33" i="11"/>
  <c r="J32" i="11"/>
  <c r="I32" i="11"/>
  <c r="H32" i="11"/>
  <c r="G32" i="11"/>
  <c r="J31" i="11"/>
  <c r="I31" i="11"/>
  <c r="H31" i="11"/>
  <c r="G31" i="11"/>
  <c r="J30" i="11"/>
  <c r="I30" i="11"/>
  <c r="H30" i="11"/>
  <c r="G30" i="11"/>
  <c r="J29" i="11"/>
  <c r="I29" i="11"/>
  <c r="H29" i="11"/>
  <c r="G29" i="11"/>
  <c r="J28" i="11"/>
  <c r="I28" i="11"/>
  <c r="H28" i="11"/>
  <c r="G28" i="11"/>
  <c r="J27" i="11"/>
  <c r="I27" i="11"/>
  <c r="H27" i="11"/>
  <c r="G27" i="11"/>
  <c r="J26" i="11"/>
  <c r="I26" i="11"/>
  <c r="H26" i="11"/>
  <c r="G26" i="11"/>
  <c r="J25" i="11"/>
  <c r="I25" i="11"/>
  <c r="H25" i="11"/>
  <c r="G25" i="11"/>
  <c r="J24" i="11"/>
  <c r="I24" i="11"/>
  <c r="H24" i="11"/>
  <c r="G24" i="11"/>
  <c r="J23" i="11"/>
  <c r="I23" i="11"/>
  <c r="H23" i="11"/>
  <c r="G23" i="11"/>
  <c r="J22" i="11"/>
  <c r="I22" i="11"/>
  <c r="H22" i="11"/>
  <c r="G22" i="11"/>
  <c r="J21" i="11"/>
  <c r="I21" i="11"/>
  <c r="H21" i="11"/>
  <c r="G21" i="11"/>
  <c r="J20" i="11"/>
  <c r="I20" i="11"/>
  <c r="H20" i="11"/>
  <c r="G20" i="11"/>
  <c r="J19" i="11"/>
  <c r="I19" i="11"/>
  <c r="H19" i="11"/>
  <c r="G19" i="11"/>
  <c r="J18" i="11"/>
  <c r="I18" i="11"/>
  <c r="H18" i="11"/>
  <c r="G18" i="11"/>
  <c r="J17" i="11"/>
  <c r="I17" i="11"/>
  <c r="H17" i="11"/>
  <c r="G17" i="11"/>
  <c r="J16" i="11"/>
  <c r="I16" i="11"/>
  <c r="H16" i="11"/>
  <c r="G16" i="11"/>
  <c r="J15" i="11"/>
  <c r="I15" i="11"/>
  <c r="H15" i="11"/>
  <c r="G15" i="11"/>
  <c r="J14" i="11"/>
  <c r="I14" i="11"/>
  <c r="H14" i="11"/>
  <c r="G14" i="11"/>
  <c r="J13" i="11"/>
  <c r="I13" i="11"/>
  <c r="H13" i="11"/>
  <c r="G13" i="11"/>
  <c r="J12" i="11"/>
  <c r="I12" i="11"/>
  <c r="H12" i="11"/>
  <c r="G12" i="11"/>
  <c r="J11" i="11"/>
  <c r="I11" i="11"/>
  <c r="H11" i="11"/>
  <c r="G11" i="11"/>
  <c r="J10" i="11"/>
  <c r="I10" i="11"/>
  <c r="H10" i="11"/>
  <c r="G10" i="11"/>
  <c r="J9" i="11"/>
  <c r="I9" i="11"/>
  <c r="H9" i="11"/>
  <c r="G9" i="11"/>
  <c r="J8" i="11"/>
  <c r="I8" i="11"/>
  <c r="H8" i="11"/>
  <c r="G8" i="11"/>
  <c r="J7" i="11"/>
  <c r="I7" i="11"/>
  <c r="H7" i="11"/>
  <c r="G7" i="11"/>
  <c r="J6" i="11"/>
  <c r="I6" i="11"/>
  <c r="H6" i="11"/>
  <c r="G6" i="11"/>
  <c r="J5" i="11"/>
  <c r="I5" i="11"/>
  <c r="H5" i="11"/>
  <c r="G5" i="11"/>
  <c r="J4" i="11"/>
  <c r="I4" i="11"/>
  <c r="H4" i="11"/>
  <c r="G4" i="11"/>
  <c r="J3" i="11"/>
  <c r="I3" i="11"/>
  <c r="H3" i="11"/>
  <c r="G3" i="11"/>
  <c r="J2" i="11"/>
  <c r="I2" i="11"/>
  <c r="H2" i="11"/>
  <c r="G2" i="11"/>
  <c r="E2" i="11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3" i="8"/>
  <c r="K29" i="8" l="1"/>
  <c r="K21" i="8"/>
  <c r="J19" i="8"/>
  <c r="J29" i="8"/>
  <c r="K19" i="8"/>
  <c r="K28" i="8"/>
  <c r="J20" i="8"/>
  <c r="K35" i="8"/>
  <c r="K27" i="8"/>
  <c r="K34" i="8"/>
  <c r="J27" i="8"/>
  <c r="J26" i="8"/>
  <c r="K33" i="8"/>
  <c r="J33" i="8"/>
  <c r="K25" i="8"/>
  <c r="K32" i="8"/>
  <c r="J25" i="8"/>
  <c r="J34" i="8"/>
  <c r="K26" i="8"/>
  <c r="J32" i="8"/>
  <c r="K24" i="8"/>
  <c r="K31" i="8"/>
  <c r="J24" i="8"/>
  <c r="J31" i="8"/>
  <c r="K23" i="8"/>
  <c r="K22" i="8"/>
  <c r="I35" i="8"/>
  <c r="J30" i="8"/>
  <c r="J22" i="8"/>
  <c r="J23" i="8"/>
  <c r="J35" i="8"/>
  <c r="J28" i="8"/>
  <c r="I18" i="8"/>
  <c r="K7" i="8"/>
  <c r="K3" i="8"/>
  <c r="K5" i="8"/>
  <c r="K18" i="8"/>
  <c r="K4" i="8"/>
  <c r="K17" i="8"/>
  <c r="K15" i="8"/>
  <c r="K14" i="8"/>
  <c r="K13" i="8"/>
  <c r="K16" i="8"/>
  <c r="K12" i="8"/>
  <c r="K11" i="8"/>
  <c r="K10" i="8"/>
  <c r="K9" i="8"/>
  <c r="K8" i="8"/>
  <c r="K6" i="8"/>
</calcChain>
</file>

<file path=xl/sharedStrings.xml><?xml version="1.0" encoding="utf-8"?>
<sst xmlns="http://schemas.openxmlformats.org/spreadsheetml/2006/main" count="12059" uniqueCount="214">
  <si>
    <t>polygon</t>
  </si>
  <si>
    <t>dsp_name</t>
  </si>
  <si>
    <t>zipcode</t>
  </si>
  <si>
    <t>CA-0-COM-100</t>
  </si>
  <si>
    <t>CA-0-COM-102</t>
  </si>
  <si>
    <t>STA_LAX_JLP</t>
  </si>
  <si>
    <t>CA-0-COM-104</t>
  </si>
  <si>
    <t>CA-0-COM-106</t>
  </si>
  <si>
    <t>CA-0-COM-108</t>
  </si>
  <si>
    <t>CA-0-COM-110</t>
  </si>
  <si>
    <t>CA-0-COM-112</t>
  </si>
  <si>
    <t>CA-0-COM-114</t>
  </si>
  <si>
    <t>CA-0-COM-116</t>
  </si>
  <si>
    <t>CA-0-COM-118</t>
  </si>
  <si>
    <t>CA-0-COM-120</t>
  </si>
  <si>
    <t>CA-0-COM-122</t>
  </si>
  <si>
    <t>CA-0-COM-124</t>
  </si>
  <si>
    <t>CA-0-COM-126</t>
  </si>
  <si>
    <t>CA-0-COM-128</t>
  </si>
  <si>
    <t>STA_LAX_SDG</t>
  </si>
  <si>
    <t>CA-0-COM-132</t>
  </si>
  <si>
    <t>CA-0-COM-134</t>
  </si>
  <si>
    <t>CA-0-COM-136</t>
  </si>
  <si>
    <t>CA-0-COM-138</t>
  </si>
  <si>
    <t>CA-0-COM-144</t>
  </si>
  <si>
    <t>CA-0-COM-146</t>
  </si>
  <si>
    <t>CA-0-COM-148</t>
  </si>
  <si>
    <t>CA-0-COM-86</t>
  </si>
  <si>
    <t>CA-0-COM-88</t>
  </si>
  <si>
    <t>CA-0-COM-90</t>
  </si>
  <si>
    <t>CA-0-COM-92</t>
  </si>
  <si>
    <t>CA-0-COM-94</t>
  </si>
  <si>
    <t>CA-0-COM-96</t>
  </si>
  <si>
    <t>CA-0-COM-98</t>
  </si>
  <si>
    <t>CA-1-BUR-107</t>
  </si>
  <si>
    <t>STA_LAX_APA_PRIME</t>
  </si>
  <si>
    <t>CA-1-BUR-109</t>
  </si>
  <si>
    <t>CA-1-BUR-111</t>
  </si>
  <si>
    <t>CA-1-BUR-113</t>
  </si>
  <si>
    <t>CA-1-BUR-115</t>
  </si>
  <si>
    <t>CA-1-BUR-117</t>
  </si>
  <si>
    <t>CA-2-ORG-10</t>
  </si>
  <si>
    <t>CA-2-ORG-12</t>
  </si>
  <si>
    <t>CA-2-ORG-14</t>
  </si>
  <si>
    <t>CA-2-ORG-16</t>
  </si>
  <si>
    <t>CA-2-ORG-18</t>
  </si>
  <si>
    <t>CA-2-ORG-2</t>
  </si>
  <si>
    <t>CA-2-ORG-20</t>
  </si>
  <si>
    <t>CA-2-ORG-22</t>
  </si>
  <si>
    <t>CA-2-ORG-24</t>
  </si>
  <si>
    <t>CA-2-ORG-26</t>
  </si>
  <si>
    <t>CA-2-ORG-4</t>
  </si>
  <si>
    <t>CA-2-ORG-6</t>
  </si>
  <si>
    <t>CA-2-ORG-8</t>
  </si>
  <si>
    <t>STA_LAX_J J</t>
  </si>
  <si>
    <t>CA-3-ONT-48</t>
  </si>
  <si>
    <t>CA-3-ONT-50</t>
  </si>
  <si>
    <t>CA-3-ONT-52</t>
  </si>
  <si>
    <t>CA-3-ONT-54</t>
  </si>
  <si>
    <t>CA-3-ONT-56</t>
  </si>
  <si>
    <t>CA-3-ONT-58</t>
  </si>
  <si>
    <t>CA-3-ONT-60</t>
  </si>
  <si>
    <t>CA-3-ONT-62</t>
  </si>
  <si>
    <t>CA-3-ONT-64</t>
  </si>
  <si>
    <t>CA-3-ONT-78</t>
  </si>
  <si>
    <t>CA-6-SD-131</t>
  </si>
  <si>
    <t>STA_SD_FastShip</t>
  </si>
  <si>
    <t>CA-6-SD-133</t>
  </si>
  <si>
    <t>CA-6-SD-135</t>
  </si>
  <si>
    <t>CA-6-SD-137</t>
  </si>
  <si>
    <t>CA-6-SD-139</t>
  </si>
  <si>
    <t>CA-6-SD-141</t>
  </si>
  <si>
    <t>STA_SD_K. King</t>
  </si>
  <si>
    <t>CA-6-SD-143</t>
  </si>
  <si>
    <t>CA-6-SD-145</t>
  </si>
  <si>
    <t>CA-6-SD-147</t>
  </si>
  <si>
    <t>CA-6-SD-149</t>
  </si>
  <si>
    <t>CA-6-SD-151</t>
  </si>
  <si>
    <t>CA-6-SD-153</t>
  </si>
  <si>
    <t>CA-6-SD-155</t>
  </si>
  <si>
    <t>CA-7-FRE-161</t>
  </si>
  <si>
    <t>STA_LAX_LASTMILE</t>
  </si>
  <si>
    <t>CA-8-SAC-89</t>
  </si>
  <si>
    <t>STA_SAC_FCA</t>
  </si>
  <si>
    <t>STA_SAC_MCA</t>
  </si>
  <si>
    <t>CA-8-SAC-93</t>
  </si>
  <si>
    <t>CA-8-SAC-95</t>
  </si>
  <si>
    <t>CA-8-STK-85</t>
  </si>
  <si>
    <t>CA-9-SFO-1</t>
  </si>
  <si>
    <t>CA-9-SFO-11</t>
  </si>
  <si>
    <t>CA-9-SFO-13</t>
  </si>
  <si>
    <t>CA-9-SFO-3</t>
  </si>
  <si>
    <t>CA-9-SFO-5</t>
  </si>
  <si>
    <t>CA-9-SFO-7</t>
  </si>
  <si>
    <t>CA-9-SFO-9</t>
  </si>
  <si>
    <t>STA_SFO_RR</t>
  </si>
  <si>
    <t>CA-9-UIC-17</t>
  </si>
  <si>
    <t>STA_SFO_SDG</t>
  </si>
  <si>
    <t>CA-9-UIC-25</t>
  </si>
  <si>
    <t>CA-9-UIC-27</t>
  </si>
  <si>
    <t>STA_SFO_MYS</t>
  </si>
  <si>
    <t>CA-9-UIC-29</t>
  </si>
  <si>
    <t>CA-9-UIC-31</t>
  </si>
  <si>
    <t>CA-9-UIC-33</t>
  </si>
  <si>
    <t>CA-9-UIC-35</t>
  </si>
  <si>
    <t>CA-9-UIC-37</t>
  </si>
  <si>
    <t>CA-9-UIC-39</t>
  </si>
  <si>
    <t>CA-9-UIC-41</t>
  </si>
  <si>
    <t>CA-9-UIC-43</t>
  </si>
  <si>
    <t>CA-9-UIC-45</t>
  </si>
  <si>
    <t>CA-9-UIC-47</t>
  </si>
  <si>
    <t>CA-9-UIC-49</t>
  </si>
  <si>
    <t>CA-9-SFO-51</t>
  </si>
  <si>
    <t>CA-9-UIC-53</t>
  </si>
  <si>
    <t>CA-9-UIC-55</t>
  </si>
  <si>
    <t>CA-9-UIC-57</t>
  </si>
  <si>
    <t>CA-10-LAS-28</t>
  </si>
  <si>
    <t>CA-10-LAS-30</t>
  </si>
  <si>
    <t>CA-10-LAS-32</t>
  </si>
  <si>
    <t>CA-10-LAS-34</t>
  </si>
  <si>
    <t>CA-10-LAS-36</t>
  </si>
  <si>
    <t>CA-10-LAS-38</t>
  </si>
  <si>
    <t>CA-11-PHX-59</t>
  </si>
  <si>
    <t>CA-11-PHX-61</t>
  </si>
  <si>
    <t>CA-11-PHX-63</t>
  </si>
  <si>
    <t>CA-11-PHX-65</t>
  </si>
  <si>
    <t>CA-11-PHX-67</t>
  </si>
  <si>
    <t>CA-11-PHX-69</t>
  </si>
  <si>
    <t>CA-11-PHX-71</t>
  </si>
  <si>
    <t>STA_LAS_WODLOGISTICS</t>
  </si>
  <si>
    <t>STA_LAS_Shunle</t>
  </si>
  <si>
    <t>CA-1-BUR-130</t>
  </si>
  <si>
    <t>CA-1-BUR-140</t>
  </si>
  <si>
    <t>CA-0-COM-42</t>
  </si>
  <si>
    <t>CA-0-COM-44</t>
  </si>
  <si>
    <t>CA-0-COM-46</t>
  </si>
  <si>
    <t>CA-1-BUR-142</t>
  </si>
  <si>
    <t>CA-3-PRS-66</t>
  </si>
  <si>
    <t>CA-3-PRS-68</t>
  </si>
  <si>
    <t>CA-3-PRS-70</t>
  </si>
  <si>
    <t>CA-3-PRS-72</t>
  </si>
  <si>
    <t>CA-3-PRS-74</t>
  </si>
  <si>
    <t>CA-9-UIC-15</t>
  </si>
  <si>
    <t>CA-3-PRS-76</t>
  </si>
  <si>
    <t>HUB_LAX_BAK</t>
  </si>
  <si>
    <t>HUB_LAX_BUR</t>
  </si>
  <si>
    <t>HUB_LAX_FRE</t>
  </si>
  <si>
    <t>HUB_LAX_COM</t>
  </si>
  <si>
    <t>HUB_LAX_ONT</t>
  </si>
  <si>
    <t>HUB_LAX_PRS</t>
  </si>
  <si>
    <t>HUB_LAX_ORG</t>
  </si>
  <si>
    <t>HUB_LAX_SD</t>
  </si>
  <si>
    <t>HUB_LAX_LAS</t>
  </si>
  <si>
    <t>HUB_LAX_SFO</t>
  </si>
  <si>
    <t>HUB_LAX_UIC</t>
  </si>
  <si>
    <t>HUB_LAX_PHX</t>
  </si>
  <si>
    <t>HUB_LAX_SAC</t>
  </si>
  <si>
    <t>HUB_LAX_MOD</t>
  </si>
  <si>
    <t>hub</t>
  </si>
  <si>
    <t>HUB_LAX_STK</t>
  </si>
  <si>
    <t>HUB_LAX_VEN</t>
  </si>
  <si>
    <t>STA_LAX_ChinaOcean</t>
  </si>
  <si>
    <t>CA-4-PO-119</t>
  </si>
  <si>
    <t>STA_PHX_TOPCAR</t>
  </si>
  <si>
    <t>STA_PHX_GOMEZ</t>
  </si>
  <si>
    <t>HUB_LAX_SD1</t>
  </si>
  <si>
    <t>CA-8-MOD-105</t>
  </si>
  <si>
    <t>CA-8-SAC-101</t>
  </si>
  <si>
    <t>CA-7-BAK-157</t>
  </si>
  <si>
    <t>STA_SFO_FES FAST</t>
  </si>
  <si>
    <t>transferred</t>
  </si>
  <si>
    <t>否</t>
  </si>
  <si>
    <t>num_package_per_day</t>
  </si>
  <si>
    <t>ScIb Date</t>
  </si>
  <si>
    <t>Total</t>
  </si>
  <si>
    <t>ZipCode</t>
  </si>
  <si>
    <t>mail_no</t>
  </si>
  <si>
    <t>-</t>
  </si>
  <si>
    <t>STA_LAX_LEWINS</t>
  </si>
  <si>
    <t>STA_LAX_FDE</t>
  </si>
  <si>
    <t>Zipcode</t>
  </si>
  <si>
    <t>AE_num_package_per_day</t>
  </si>
  <si>
    <t>YW</t>
  </si>
  <si>
    <t>是否转单</t>
  </si>
  <si>
    <t>SW</t>
  </si>
  <si>
    <t>Row Labels</t>
  </si>
  <si>
    <t>Grand Total</t>
  </si>
  <si>
    <t>Sum of num_package_per_day</t>
  </si>
  <si>
    <t>Sum of AE_num_package_per_day</t>
  </si>
  <si>
    <t>AE占全量比例</t>
  </si>
  <si>
    <t>全量HUB比例</t>
  </si>
  <si>
    <t>AEHUB比例</t>
  </si>
  <si>
    <t>全量</t>
  </si>
  <si>
    <t>AE</t>
  </si>
  <si>
    <t>HUB</t>
  </si>
  <si>
    <t>上一周</t>
  </si>
  <si>
    <t>邮编</t>
  </si>
  <si>
    <t>是否覆盖</t>
  </si>
  <si>
    <t>是</t>
  </si>
  <si>
    <t>SW_coverage</t>
  </si>
  <si>
    <t>YW_coverage</t>
  </si>
  <si>
    <t>solution</t>
  </si>
  <si>
    <t>邮寄</t>
  </si>
  <si>
    <t>自营</t>
  </si>
  <si>
    <t>自营+换配</t>
  </si>
  <si>
    <t>(blank)</t>
  </si>
  <si>
    <t>(All)</t>
  </si>
  <si>
    <t>STA_LAX_YXY</t>
  </si>
  <si>
    <t>STA_PHX_C&amp;R</t>
  </si>
  <si>
    <t>STA_SAC_QUICK</t>
  </si>
  <si>
    <t>STA_UIC_UDS</t>
  </si>
  <si>
    <t>线路</t>
  </si>
  <si>
    <t>DSP</t>
  </si>
  <si>
    <t>STA_LAX_SOB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</si>
</sst>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theme="1"/>
      <name val="Calibri"/>
      <family val="2"/>
      <charset val="134"/>
      <scheme val="minor"/>
    </font>
    <font>
      <b/>
      <sz val="11"/>
      <color rgb="FF000000"/>
      <name val="Calibri"/>
      <family val="2"/>
    </font>
    <font>
      <b/>
      <sz val="12"/>
      <color theme="1"/>
      <name val="Calibri"/>
      <family val="2"/>
      <charset val="134"/>
      <scheme val="minor"/>
    </font>
    <font>
      <b/>
      <sz val="12"/>
      <color rgb="FF000000"/>
      <name val="Calibri"/>
      <family val="2"/>
      <charset val="134"/>
      <scheme val="minor"/>
    </font>
    <font>
      <sz val="12"/>
      <color rgb="FF000000"/>
      <name val="Calibri"/>
      <family val="2"/>
      <charset val="134"/>
      <scheme val="minor"/>
    </font>
    <font>
      <b/>
      <sz val="12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阿里巴巴普惠体"/>
    </font>
    <font>
      <sz val="9"/>
      <color theme="1"/>
      <name val="阿里巴巴普惠体"/>
    </font>
    <font>
      <sz val="12"/>
      <color rgb="FFFF0000"/>
      <name val="Calibri"/>
      <family val="2"/>
      <charset val="134"/>
      <scheme val="minor"/>
    </font>
    <font>
      <sz val="9"/>
      <name val="阿里巴巴普惠体"/>
    </font>
    <font>
      <sz val="9"/>
      <color rgb="FFFF0000"/>
      <name val="阿里巴巴普惠体"/>
    </font>
  </fonts>
  <fills count="8">
    <fill>
      <patternFill patternType="none"/>
    </fill>
    <fill>
      <patternFill patternType="gray125"/>
    </fill>
    <fill>
      <patternFill patternType="solid">
        <fgColor rgb="FFB4C6E7"/>
        <bgColor indexed="64"/>
      </patternFill>
    </fill>
    <fill>
      <patternFill patternType="solid">
        <fgColor rgb="FFFE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2" fillId="0" borderId="1" xfId="0" applyFont="1" applyFill="1" applyBorder="1" applyAlignment="1">
      <alignment horizontal="center" vertical="center"/>
    </xf>
    <xf numFmtId="0" fontId="7" fillId="0" borderId="1" xfId="0" applyFont="1" applyFill="1" applyBorder="1">
      <alignment vertical="center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0" fillId="0" borderId="0" xfId="0" applyNumberForma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2" fillId="4" borderId="2" xfId="0" applyNumberFormat="1" applyFont="1" applyFill="1" applyBorder="1">
      <alignment vertical="center"/>
    </xf>
    <xf numFmtId="10" fontId="0" fillId="0" borderId="0" xfId="0" applyNumberFormat="1">
      <alignment vertical="center"/>
    </xf>
    <xf numFmtId="0" fontId="8" fillId="0" borderId="0" xfId="0" applyFont="1">
      <alignment vertical="center"/>
    </xf>
    <xf numFmtId="0" fontId="9" fillId="0" borderId="0" xfId="0" applyFont="1" applyAlignment="1"/>
    <xf numFmtId="0" fontId="10" fillId="2" borderId="0" xfId="0" applyFont="1" applyFill="1" applyAlignment="1">
      <alignment horizontal="center" vertical="center" wrapText="1"/>
    </xf>
    <xf numFmtId="0" fontId="11" fillId="3" borderId="0" xfId="0" applyFont="1" applyFill="1">
      <alignment vertical="center"/>
    </xf>
    <xf numFmtId="0" fontId="11" fillId="0" borderId="0" xfId="0" applyFont="1" applyAlignment="1">
      <alignment horizontal="center" vertical="center"/>
    </xf>
    <xf numFmtId="0" fontId="8" fillId="0" borderId="1" xfId="0" applyNumberFormat="1" applyFont="1" applyFill="1" applyBorder="1">
      <alignment vertical="center"/>
    </xf>
    <xf numFmtId="0" fontId="7" fillId="0" borderId="0" xfId="0" applyFont="1">
      <alignment vertical="center"/>
    </xf>
    <xf numFmtId="0" fontId="9" fillId="0" borderId="0" xfId="0" applyFont="1" applyAlignment="1">
      <alignment horizontal="center"/>
    </xf>
    <xf numFmtId="0" fontId="0" fillId="0" borderId="0" xfId="0" applyAlignment="1"/>
    <xf numFmtId="0" fontId="13" fillId="3" borderId="0" xfId="0" applyFont="1" applyFill="1">
      <alignment vertical="center"/>
    </xf>
    <xf numFmtId="1" fontId="1" fillId="0" borderId="1" xfId="0" applyNumberFormat="1" applyFont="1" applyFill="1" applyBorder="1" applyAlignment="1" applyProtection="1">
      <alignment horizontal="center" vertical="top"/>
    </xf>
    <xf numFmtId="0" fontId="1" fillId="0" borderId="1" xfId="0" applyFont="1" applyFill="1" applyBorder="1" applyAlignment="1" applyProtection="1">
      <alignment horizontal="center" vertical="top"/>
    </xf>
    <xf numFmtId="0" fontId="8" fillId="0" borderId="1" xfId="0" applyFont="1" applyFill="1" applyBorder="1">
      <alignment vertical="center"/>
    </xf>
    <xf numFmtId="0" fontId="0" fillId="0" borderId="0" xfId="0" applyFill="1">
      <alignment vertical="center"/>
    </xf>
    <xf numFmtId="0" fontId="0" fillId="0" borderId="1" xfId="0" applyNumberFormat="1" applyFill="1" applyBorder="1">
      <alignment vertical="center"/>
    </xf>
    <xf numFmtId="0" fontId="12" fillId="0" borderId="1" xfId="0" applyFont="1" applyFill="1" applyBorder="1">
      <alignment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3" borderId="0" xfId="0" applyFont="1" applyFill="1">
      <alignment vertical="center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ming Shen" refreshedDate="46209.435489699077" createdVersion="7" refreshedVersion="7" minRefreshableVersion="3" recordCount="1304" xr:uid="{531855D5-5693-4519-8D6A-A6F5BCFC84E5}">
  <cacheSource type="worksheet">
    <worksheetSource ref="A1:H1048576" sheet="by_zipcode"/>
  </cacheSource>
  <cacheFields count="8">
    <cacheField name="zipcode" numFmtId="0">
      <sharedItems containsString="0" containsBlank="1" containsNumber="1" containsInteger="1" minValue="85006" maxValue="95993"/>
    </cacheField>
    <cacheField name="polygon" numFmtId="0">
      <sharedItems containsBlank="1"/>
    </cacheField>
    <cacheField name="dsp_name" numFmtId="0">
      <sharedItems containsBlank="1"/>
    </cacheField>
    <cacheField name="hub" numFmtId="0">
      <sharedItems containsBlank="1" count="18">
        <s v="HUB_LAX_BAK"/>
        <s v="HUB_LAX_BUR"/>
        <s v="HUB_LAX_COM"/>
        <s v="HUB_LAX_FRE"/>
        <s v="HUB_LAX_LAS"/>
        <s v="HUB_LAX_MOD"/>
        <s v="HUB_LAX_ONT"/>
        <s v="HUB_LAX_ORG"/>
        <s v="HUB_LAX_PHX"/>
        <s v="HUB_LAX_PRS"/>
        <s v="HUB_LAX_SAC"/>
        <s v="HUB_LAX_SD"/>
        <s v="HUB_LAX_SD1"/>
        <s v="HUB_LAX_SFO"/>
        <s v="HUB_LAX_STK"/>
        <s v="HUB_LAX_UIC"/>
        <s v="HUB_LAX_VEN"/>
        <m/>
      </sharedItems>
    </cacheField>
    <cacheField name="transferred" numFmtId="0">
      <sharedItems containsBlank="1" count="6">
        <s v="SW"/>
        <s v="否"/>
        <s v="YW"/>
        <e v="#N/A"/>
        <m/>
        <s v="-" u="1"/>
      </sharedItems>
    </cacheField>
    <cacheField name="solution" numFmtId="0">
      <sharedItems containsBlank="1"/>
    </cacheField>
    <cacheField name="num_package_per_day" numFmtId="0">
      <sharedItems containsString="0" containsBlank="1" containsNumber="1" minValue="0" maxValue="70.900000000000006"/>
    </cacheField>
    <cacheField name="AE_num_package_per_day" numFmtId="0">
      <sharedItems containsString="0" containsBlank="1" containsNumber="1" minValue="0" maxValue="29.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04">
  <r>
    <n v="93301"/>
    <s v="CA-7-BAK-157"/>
    <s v="STA_LAX_ChinaOcean"/>
    <x v="0"/>
    <x v="0"/>
    <m/>
    <n v="1.9"/>
    <n v="0"/>
  </r>
  <r>
    <n v="93305"/>
    <s v="CA-7-BAK-157"/>
    <s v="STA_LAX_ChinaOcean"/>
    <x v="0"/>
    <x v="0"/>
    <m/>
    <n v="11.3"/>
    <n v="11.3"/>
  </r>
  <r>
    <n v="93306"/>
    <s v="CA-7-BAK-157"/>
    <s v="STA_LAX_ChinaOcean"/>
    <x v="0"/>
    <x v="0"/>
    <m/>
    <n v="0.4"/>
    <n v="0"/>
  </r>
  <r>
    <n v="93307"/>
    <s v="CA-7-BAK-157"/>
    <s v="STA_LAX_ChinaOcean"/>
    <x v="0"/>
    <x v="0"/>
    <m/>
    <n v="0.9"/>
    <n v="0"/>
  </r>
  <r>
    <n v="93241"/>
    <s v="CA-7-BAK-157"/>
    <s v="STA_LAX_ChinaOcean"/>
    <x v="0"/>
    <x v="0"/>
    <m/>
    <n v="0"/>
    <n v="0"/>
  </r>
  <r>
    <n v="93203"/>
    <s v="CA-7-BAK-157"/>
    <s v="STA_LAX_ChinaOcean"/>
    <x v="0"/>
    <x v="0"/>
    <m/>
    <n v="3.6"/>
    <n v="0"/>
  </r>
  <r>
    <n v="93268"/>
    <s v="CA-7-BAK-157"/>
    <s v="STA_LAX_ChinaOcean"/>
    <x v="0"/>
    <x v="0"/>
    <m/>
    <n v="3.6"/>
    <n v="3.3"/>
  </r>
  <r>
    <n v="93304"/>
    <s v="CA-7-BAK-157"/>
    <s v="STA_LAX_ChinaOcean"/>
    <x v="0"/>
    <x v="0"/>
    <m/>
    <n v="0.4"/>
    <n v="0"/>
  </r>
  <r>
    <n v="93309"/>
    <s v="CA-7-BAK-157"/>
    <s v="STA_LAX_ChinaOcean"/>
    <x v="0"/>
    <x v="0"/>
    <m/>
    <n v="0.4"/>
    <n v="0"/>
  </r>
  <r>
    <n v="93313"/>
    <s v="CA-7-BAK-157"/>
    <s v="STA_LAX_ChinaOcean"/>
    <x v="0"/>
    <x v="0"/>
    <m/>
    <n v="1"/>
    <n v="0"/>
  </r>
  <r>
    <n v="93311"/>
    <s v="CA-7-BAK-157"/>
    <s v="STA_LAX_ChinaOcean"/>
    <x v="0"/>
    <x v="0"/>
    <m/>
    <n v="0.9"/>
    <n v="0"/>
  </r>
  <r>
    <n v="93314"/>
    <s v="CA-7-BAK-157"/>
    <s v="STA_LAX_ChinaOcean"/>
    <x v="0"/>
    <x v="0"/>
    <m/>
    <n v="0.3"/>
    <n v="0"/>
  </r>
  <r>
    <n v="93312"/>
    <s v="CA-7-BAK-157"/>
    <s v="STA_LAX_ChinaOcean"/>
    <x v="0"/>
    <x v="0"/>
    <m/>
    <n v="0.9"/>
    <n v="0"/>
  </r>
  <r>
    <n v="93308"/>
    <s v="CA-7-BAK-157"/>
    <s v="STA_LAX_ChinaOcean"/>
    <x v="0"/>
    <x v="0"/>
    <m/>
    <n v="0.6"/>
    <n v="0"/>
  </r>
  <r>
    <n v="93510"/>
    <s v="CA-1-BUR-107"/>
    <s v="STA_LAX_APA_PRIME"/>
    <x v="1"/>
    <x v="1"/>
    <m/>
    <n v="0"/>
    <n v="0"/>
  </r>
  <r>
    <n v="93551"/>
    <s v="CA-1-BUR-107"/>
    <s v="STA_LAX_APA_PRIME"/>
    <x v="1"/>
    <x v="1"/>
    <m/>
    <n v="1.9"/>
    <n v="0.1"/>
  </r>
  <r>
    <n v="93550"/>
    <s v="CA-1-BUR-107"/>
    <s v="STA_LAX_APA_PRIME"/>
    <x v="1"/>
    <x v="1"/>
    <m/>
    <n v="2.1"/>
    <n v="0"/>
  </r>
  <r>
    <n v="93552"/>
    <s v="CA-1-BUR-107"/>
    <s v="STA_LAX_APA_PRIME"/>
    <x v="1"/>
    <x v="1"/>
    <m/>
    <n v="1.7"/>
    <n v="0"/>
  </r>
  <r>
    <n v="93543"/>
    <s v="CA-1-BUR-107"/>
    <s v="STA_LAX_APA_PRIME"/>
    <x v="1"/>
    <x v="1"/>
    <m/>
    <n v="1.1000000000000001"/>
    <n v="0"/>
  </r>
  <r>
    <n v="93536"/>
    <s v="CA-1-BUR-107"/>
    <s v="STA_LAX_APA_PRIME"/>
    <x v="1"/>
    <x v="1"/>
    <m/>
    <n v="3.7"/>
    <n v="0"/>
  </r>
  <r>
    <n v="93534"/>
    <s v="CA-1-BUR-107"/>
    <s v="STA_LAX_APA_PRIME"/>
    <x v="1"/>
    <x v="1"/>
    <m/>
    <n v="1"/>
    <n v="0"/>
  </r>
  <r>
    <n v="93535"/>
    <s v="CA-1-BUR-107"/>
    <s v="STA_LAX_APA_PRIME"/>
    <x v="1"/>
    <x v="1"/>
    <m/>
    <n v="3.7"/>
    <n v="0"/>
  </r>
  <r>
    <n v="91482"/>
    <s v="CA-1-BUR-109"/>
    <s v="STA_LAX_ChinaOcean"/>
    <x v="1"/>
    <x v="1"/>
    <m/>
    <n v="0"/>
    <n v="0"/>
  </r>
  <r>
    <n v="91496"/>
    <s v="CA-1-BUR-109"/>
    <s v="STA_LAX_ChinaOcean"/>
    <x v="1"/>
    <x v="1"/>
    <m/>
    <n v="0"/>
    <n v="0"/>
  </r>
  <r>
    <n v="91406"/>
    <s v="CA-1-BUR-109"/>
    <s v="STA_LAX_ChinaOcean"/>
    <x v="1"/>
    <x v="0"/>
    <m/>
    <n v="0.3"/>
    <n v="0"/>
  </r>
  <r>
    <n v="91405"/>
    <s v="CA-1-BUR-109"/>
    <s v="STA_LAX_ChinaOcean"/>
    <x v="1"/>
    <x v="0"/>
    <m/>
    <n v="0.6"/>
    <n v="0"/>
  </r>
  <r>
    <n v="91402"/>
    <s v="CA-1-BUR-109"/>
    <s v="STA_LAX_ChinaOcean"/>
    <x v="1"/>
    <x v="0"/>
    <m/>
    <n v="0.3"/>
    <n v="0"/>
  </r>
  <r>
    <n v="91316"/>
    <s v="CA-1-BUR-109"/>
    <s v="STA_LAX_ChinaOcean"/>
    <x v="1"/>
    <x v="0"/>
    <m/>
    <n v="9"/>
    <n v="8.6999999999999993"/>
  </r>
  <r>
    <n v="91436"/>
    <s v="CA-1-BUR-109"/>
    <s v="STA_LAX_ChinaOcean"/>
    <x v="1"/>
    <x v="0"/>
    <m/>
    <n v="0.1"/>
    <n v="0"/>
  </r>
  <r>
    <n v="91403"/>
    <s v="CA-1-BUR-109"/>
    <s v="STA_LAX_ChinaOcean"/>
    <x v="1"/>
    <x v="0"/>
    <m/>
    <n v="0.1"/>
    <n v="0"/>
  </r>
  <r>
    <n v="91423"/>
    <s v="CA-1-BUR-109"/>
    <s v="STA_LAX_ChinaOcean"/>
    <x v="1"/>
    <x v="0"/>
    <m/>
    <n v="0.1"/>
    <n v="0"/>
  </r>
  <r>
    <n v="91411"/>
    <s v="CA-1-BUR-109"/>
    <s v="STA_LAX_ChinaOcean"/>
    <x v="1"/>
    <x v="0"/>
    <m/>
    <n v="0.1"/>
    <n v="0"/>
  </r>
  <r>
    <n v="91495"/>
    <s v="CA-1-BUR-109"/>
    <s v="STA_LAX_ChinaOcean"/>
    <x v="1"/>
    <x v="1"/>
    <m/>
    <n v="0"/>
    <n v="0"/>
  </r>
  <r>
    <n v="91401"/>
    <s v="CA-1-BUR-109"/>
    <s v="STA_LAX_ChinaOcean"/>
    <x v="1"/>
    <x v="0"/>
    <m/>
    <n v="0.1"/>
    <n v="0"/>
  </r>
  <r>
    <n v="91352"/>
    <s v="CA-1-BUR-111"/>
    <s v="STA_LAX_APA_PRIME"/>
    <x v="1"/>
    <x v="0"/>
    <m/>
    <n v="0.1"/>
    <n v="0"/>
  </r>
  <r>
    <n v="91505"/>
    <s v="CA-1-BUR-111"/>
    <s v="STA_LAX_APA_PRIME"/>
    <x v="1"/>
    <x v="0"/>
    <m/>
    <n v="0"/>
    <n v="0"/>
  </r>
  <r>
    <n v="91506"/>
    <s v="CA-1-BUR-111"/>
    <s v="STA_LAX_APA_PRIME"/>
    <x v="1"/>
    <x v="0"/>
    <m/>
    <n v="0"/>
    <n v="0"/>
  </r>
  <r>
    <n v="91521"/>
    <s v="CA-1-BUR-111"/>
    <s v="STA_LAX_APA_PRIME"/>
    <x v="1"/>
    <x v="1"/>
    <m/>
    <n v="0"/>
    <n v="0"/>
  </r>
  <r>
    <n v="91504"/>
    <s v="CA-1-BUR-111"/>
    <s v="STA_LAX_APA_PRIME"/>
    <x v="1"/>
    <x v="0"/>
    <m/>
    <n v="0.1"/>
    <n v="0"/>
  </r>
  <r>
    <n v="91502"/>
    <s v="CA-1-BUR-111"/>
    <s v="STA_LAX_APA_PRIME"/>
    <x v="1"/>
    <x v="0"/>
    <m/>
    <n v="0.1"/>
    <n v="0"/>
  </r>
  <r>
    <n v="91526"/>
    <s v="CA-1-BUR-111"/>
    <s v="STA_LAX_APA_PRIME"/>
    <x v="1"/>
    <x v="1"/>
    <m/>
    <n v="0"/>
    <n v="0"/>
  </r>
  <r>
    <n v="91501"/>
    <s v="CA-1-BUR-111"/>
    <s v="STA_LAX_APA_PRIME"/>
    <x v="1"/>
    <x v="2"/>
    <m/>
    <n v="1"/>
    <n v="0"/>
  </r>
  <r>
    <n v="91020"/>
    <s v="CA-1-BUR-111"/>
    <s v="STA_LAX_APA_PRIME"/>
    <x v="1"/>
    <x v="2"/>
    <m/>
    <n v="0.4"/>
    <n v="0"/>
  </r>
  <r>
    <n v="91011"/>
    <s v="CA-1-BUR-111"/>
    <s v="STA_LAX_APA_PRIME"/>
    <x v="1"/>
    <x v="1"/>
    <m/>
    <n v="1.3"/>
    <n v="0"/>
  </r>
  <r>
    <n v="91040"/>
    <s v="CA-1-BUR-111"/>
    <s v="STA_LAX_APA_PRIME"/>
    <x v="1"/>
    <x v="1"/>
    <m/>
    <n v="2.2999999999999998"/>
    <n v="0"/>
  </r>
  <r>
    <n v="91042"/>
    <s v="CA-1-BUR-111"/>
    <s v="STA_LAX_APA_PRIME"/>
    <x v="1"/>
    <x v="1"/>
    <m/>
    <n v="3.9"/>
    <n v="0"/>
  </r>
  <r>
    <n v="91214"/>
    <s v="CA-1-BUR-111"/>
    <s v="STA_LAX_APA_PRIME"/>
    <x v="1"/>
    <x v="2"/>
    <m/>
    <n v="2"/>
    <n v="0"/>
  </r>
  <r>
    <n v="91331"/>
    <s v="CA-1-BUR-113"/>
    <s v="STA_LAX_APA_PRIME"/>
    <x v="1"/>
    <x v="1"/>
    <m/>
    <n v="0.1"/>
    <n v="0"/>
  </r>
  <r>
    <n v="91340"/>
    <s v="CA-1-BUR-113"/>
    <s v="STA_LAX_APA_PRIME"/>
    <x v="1"/>
    <x v="1"/>
    <m/>
    <n v="6.9"/>
    <n v="6.9"/>
  </r>
  <r>
    <n v="91342"/>
    <s v="CA-1-BUR-113"/>
    <s v="STA_LAX_APA_PRIME"/>
    <x v="1"/>
    <x v="1"/>
    <m/>
    <n v="19.899999999999999"/>
    <n v="0.1"/>
  </r>
  <r>
    <n v="91345"/>
    <s v="CA-1-BUR-115"/>
    <s v="STA_LAX_ChinaOcean"/>
    <x v="1"/>
    <x v="0"/>
    <m/>
    <n v="0.1"/>
    <n v="0"/>
  </r>
  <r>
    <n v="91344"/>
    <s v="CA-1-BUR-115"/>
    <s v="STA_LAX_ChinaOcean"/>
    <x v="1"/>
    <x v="0"/>
    <m/>
    <n v="0"/>
    <n v="0"/>
  </r>
  <r>
    <n v="91343"/>
    <s v="CA-1-BUR-115"/>
    <s v="STA_LAX_ChinaOcean"/>
    <x v="1"/>
    <x v="0"/>
    <m/>
    <n v="0.1"/>
    <n v="0"/>
  </r>
  <r>
    <n v="91325"/>
    <s v="CA-1-BUR-115"/>
    <s v="STA_LAX_ChinaOcean"/>
    <x v="1"/>
    <x v="0"/>
    <m/>
    <n v="0.1"/>
    <n v="0"/>
  </r>
  <r>
    <n v="91330"/>
    <s v="CA-1-BUR-115"/>
    <s v="STA_LAX_ChinaOcean"/>
    <x v="1"/>
    <x v="1"/>
    <m/>
    <n v="0.1"/>
    <n v="0"/>
  </r>
  <r>
    <n v="91329"/>
    <s v="CA-1-BUR-115"/>
    <s v="STA_LAX_ChinaOcean"/>
    <x v="1"/>
    <x v="1"/>
    <m/>
    <n v="0"/>
    <n v="0"/>
  </r>
  <r>
    <n v="91324"/>
    <s v="CA-1-BUR-115"/>
    <s v="STA_LAX_ChinaOcean"/>
    <x v="1"/>
    <x v="0"/>
    <m/>
    <n v="0.1"/>
    <n v="0"/>
  </r>
  <r>
    <n v="91311"/>
    <s v="CA-1-BUR-115"/>
    <s v="STA_LAX_ChinaOcean"/>
    <x v="1"/>
    <x v="0"/>
    <m/>
    <n v="0.4"/>
    <n v="0"/>
  </r>
  <r>
    <n v="91326"/>
    <s v="CA-1-BUR-115"/>
    <s v="STA_LAX_ChinaOcean"/>
    <x v="1"/>
    <x v="0"/>
    <m/>
    <n v="0"/>
    <n v="0"/>
  </r>
  <r>
    <n v="91364"/>
    <s v="CA-1-BUR-115"/>
    <s v="STA_LAX_ChinaOcean"/>
    <x v="1"/>
    <x v="0"/>
    <m/>
    <n v="0.4"/>
    <n v="0"/>
  </r>
  <r>
    <n v="91371"/>
    <s v="CA-1-BUR-115"/>
    <s v="STA_LAX_ChinaOcean"/>
    <x v="1"/>
    <x v="1"/>
    <m/>
    <n v="0"/>
    <n v="0"/>
  </r>
  <r>
    <n v="91367"/>
    <s v="CA-1-BUR-115"/>
    <s v="STA_LAX_ChinaOcean"/>
    <x v="1"/>
    <x v="0"/>
    <m/>
    <n v="0.4"/>
    <n v="0"/>
  </r>
  <r>
    <n v="91307"/>
    <s v="CA-1-BUR-115"/>
    <s v="STA_LAX_ChinaOcean"/>
    <x v="1"/>
    <x v="0"/>
    <m/>
    <n v="0.1"/>
    <n v="0"/>
  </r>
  <r>
    <n v="91303"/>
    <s v="CA-1-BUR-115"/>
    <s v="STA_LAX_ChinaOcean"/>
    <x v="1"/>
    <x v="0"/>
    <m/>
    <n v="0"/>
    <n v="0"/>
  </r>
  <r>
    <n v="91304"/>
    <s v="CA-1-BUR-115"/>
    <s v="STA_LAX_ChinaOcean"/>
    <x v="1"/>
    <x v="0"/>
    <m/>
    <n v="0.4"/>
    <n v="0"/>
  </r>
  <r>
    <n v="91306"/>
    <s v="CA-1-BUR-115"/>
    <s v="STA_LAX_ChinaOcean"/>
    <x v="1"/>
    <x v="0"/>
    <m/>
    <n v="0.4"/>
    <n v="0"/>
  </r>
  <r>
    <n v="91356"/>
    <s v="CA-1-BUR-115"/>
    <s v="STA_LAX_ChinaOcean"/>
    <x v="1"/>
    <x v="0"/>
    <m/>
    <n v="0.1"/>
    <n v="0"/>
  </r>
  <r>
    <n v="91335"/>
    <s v="CA-1-BUR-115"/>
    <s v="STA_LAX_ChinaOcean"/>
    <x v="1"/>
    <x v="0"/>
    <m/>
    <n v="0.6"/>
    <n v="0"/>
  </r>
  <r>
    <n v="93065"/>
    <s v="CA-1-BUR-115"/>
    <s v="STA_LAX_ChinaOcean"/>
    <x v="1"/>
    <x v="0"/>
    <m/>
    <n v="0.4"/>
    <n v="0"/>
  </r>
  <r>
    <n v="93063"/>
    <s v="CA-1-BUR-115"/>
    <s v="STA_LAX_ChinaOcean"/>
    <x v="1"/>
    <x v="0"/>
    <m/>
    <n v="17.399999999999999"/>
    <n v="16.399999999999999"/>
  </r>
  <r>
    <n v="93064"/>
    <s v="CA-1-BUR-115"/>
    <s v="STA_LAX_ChinaOcean"/>
    <x v="1"/>
    <x v="1"/>
    <m/>
    <n v="0"/>
    <n v="0"/>
  </r>
  <r>
    <n v="93021"/>
    <s v="CA-1-BUR-115"/>
    <s v="STA_LAX_ChinaOcean"/>
    <x v="1"/>
    <x v="0"/>
    <m/>
    <n v="0.3"/>
    <n v="0"/>
  </r>
  <r>
    <n v="91302"/>
    <s v="CA-1-BUR-115"/>
    <s v="STA_LAX_ChinaOcean"/>
    <x v="1"/>
    <x v="0"/>
    <m/>
    <n v="0.1"/>
    <n v="0"/>
  </r>
  <r>
    <n v="91301"/>
    <s v="CA-1-BUR-115"/>
    <s v="STA_LAX_ChinaOcean"/>
    <x v="1"/>
    <x v="0"/>
    <m/>
    <n v="7"/>
    <n v="6.9"/>
  </r>
  <r>
    <n v="91377"/>
    <s v="CA-1-BUR-115"/>
    <s v="STA_LAX_ChinaOcean"/>
    <x v="1"/>
    <x v="0"/>
    <m/>
    <n v="4.0999999999999996"/>
    <n v="4.0999999999999996"/>
  </r>
  <r>
    <n v="91362"/>
    <s v="CA-1-BUR-115"/>
    <s v="STA_LAX_ChinaOcean"/>
    <x v="1"/>
    <x v="0"/>
    <m/>
    <n v="0.1"/>
    <n v="0"/>
  </r>
  <r>
    <n v="91360"/>
    <s v="CA-1-BUR-115"/>
    <s v="STA_LAX_ChinaOcean"/>
    <x v="1"/>
    <x v="0"/>
    <m/>
    <n v="0.7"/>
    <n v="0"/>
  </r>
  <r>
    <n v="91361"/>
    <s v="CA-1-BUR-115"/>
    <s v="STA_LAX_ChinaOcean"/>
    <x v="1"/>
    <x v="0"/>
    <m/>
    <n v="0.1"/>
    <n v="0"/>
  </r>
  <r>
    <n v="91320"/>
    <s v="CA-1-BUR-115"/>
    <s v="STA_LAX_ChinaOcean"/>
    <x v="1"/>
    <x v="0"/>
    <m/>
    <n v="0.1"/>
    <n v="0"/>
  </r>
  <r>
    <n v="91387"/>
    <s v="CA-1-BUR-117"/>
    <s v="STA_LAX_APA_PRIME"/>
    <x v="1"/>
    <x v="1"/>
    <m/>
    <n v="1.4"/>
    <n v="0"/>
  </r>
  <r>
    <n v="91351"/>
    <s v="CA-1-BUR-117"/>
    <s v="STA_LAX_APA_PRIME"/>
    <x v="1"/>
    <x v="1"/>
    <m/>
    <n v="5.9"/>
    <n v="0"/>
  </r>
  <r>
    <n v="91350"/>
    <s v="CA-1-BUR-117"/>
    <s v="STA_LAX_APA_PRIME"/>
    <x v="1"/>
    <x v="1"/>
    <m/>
    <n v="6.3"/>
    <n v="0"/>
  </r>
  <r>
    <n v="91390"/>
    <s v="CA-1-BUR-117"/>
    <s v="STA_LAX_APA_PRIME"/>
    <x v="1"/>
    <x v="1"/>
    <m/>
    <n v="13.9"/>
    <n v="0"/>
  </r>
  <r>
    <n v="91355"/>
    <s v="CA-1-BUR-117"/>
    <s v="STA_LAX_APA_PRIME"/>
    <x v="1"/>
    <x v="1"/>
    <m/>
    <n v="3"/>
    <n v="0"/>
  </r>
  <r>
    <n v="91354"/>
    <s v="CA-1-BUR-117"/>
    <s v="STA_LAX_APA_PRIME"/>
    <x v="1"/>
    <x v="1"/>
    <m/>
    <n v="7"/>
    <n v="0"/>
  </r>
  <r>
    <n v="91381"/>
    <s v="CA-1-BUR-117"/>
    <s v="STA_LAX_APA_PRIME"/>
    <x v="1"/>
    <x v="1"/>
    <m/>
    <n v="3.1"/>
    <n v="0"/>
  </r>
  <r>
    <n v="91321"/>
    <s v="CA-1-BUR-117"/>
    <s v="STA_LAX_APA_PRIME"/>
    <x v="1"/>
    <x v="1"/>
    <m/>
    <n v="3.4"/>
    <n v="0"/>
  </r>
  <r>
    <n v="91384"/>
    <s v="CA-1-BUR-117"/>
    <s v="STA_LAX_APA_PRIME"/>
    <x v="1"/>
    <x v="1"/>
    <m/>
    <n v="0.4"/>
    <n v="0"/>
  </r>
  <r>
    <n v="91382"/>
    <s v="CA-1-BUR-117"/>
    <s v="STA_LAX_APA_PRIME"/>
    <x v="1"/>
    <x v="1"/>
    <m/>
    <n v="0"/>
    <n v="0"/>
  </r>
  <r>
    <n v="91608"/>
    <s v="CA-1-BUR-130"/>
    <s v="STA_LAX_DTX"/>
    <x v="1"/>
    <x v="1"/>
    <m/>
    <n v="0.4"/>
    <n v="0"/>
  </r>
  <r>
    <n v="91602"/>
    <s v="CA-1-BUR-130"/>
    <s v="STA_LAX_DTX"/>
    <x v="1"/>
    <x v="1"/>
    <m/>
    <n v="0.1"/>
    <n v="0"/>
  </r>
  <r>
    <n v="91601"/>
    <s v="CA-1-BUR-130"/>
    <s v="STA_LAX_DTX"/>
    <x v="1"/>
    <x v="1"/>
    <m/>
    <n v="3.3"/>
    <n v="0"/>
  </r>
  <r>
    <n v="91612"/>
    <s v="CA-1-BUR-130"/>
    <s v="STA_LAX_DTX"/>
    <x v="1"/>
    <x v="1"/>
    <m/>
    <n v="0"/>
    <n v="0"/>
  </r>
  <r>
    <n v="91611"/>
    <s v="CA-1-BUR-130"/>
    <s v="STA_LAX_DTX"/>
    <x v="1"/>
    <x v="1"/>
    <m/>
    <n v="0"/>
    <n v="0"/>
  </r>
  <r>
    <n v="91605"/>
    <s v="CA-1-BUR-130"/>
    <s v="STA_LAX_DTX"/>
    <x v="1"/>
    <x v="0"/>
    <m/>
    <n v="0.3"/>
    <n v="0"/>
  </r>
  <r>
    <n v="91607"/>
    <s v="CA-1-BUR-130"/>
    <s v="STA_LAX_DTX"/>
    <x v="1"/>
    <x v="0"/>
    <m/>
    <n v="0.3"/>
    <n v="0"/>
  </r>
  <r>
    <n v="91606"/>
    <s v="CA-1-BUR-130"/>
    <s v="STA_LAX_DTX"/>
    <x v="1"/>
    <x v="1"/>
    <m/>
    <n v="3.4"/>
    <n v="0"/>
  </r>
  <r>
    <n v="91604"/>
    <s v="CA-1-BUR-130"/>
    <s v="STA_LAX_DTX"/>
    <x v="1"/>
    <x v="1"/>
    <m/>
    <n v="0.3"/>
    <n v="0"/>
  </r>
  <r>
    <n v="90212"/>
    <s v="CA-1-BUR-140"/>
    <s v="STA_LAX_DTX"/>
    <x v="1"/>
    <x v="1"/>
    <m/>
    <n v="1.3"/>
    <n v="0"/>
  </r>
  <r>
    <n v="90211"/>
    <s v="CA-1-BUR-140"/>
    <s v="STA_LAX_DTX"/>
    <x v="1"/>
    <x v="1"/>
    <m/>
    <n v="0.4"/>
    <n v="0"/>
  </r>
  <r>
    <n v="90210"/>
    <s v="CA-1-BUR-140"/>
    <s v="STA_LAX_DTX"/>
    <x v="1"/>
    <x v="1"/>
    <m/>
    <n v="9.6"/>
    <n v="6.1"/>
  </r>
  <r>
    <n v="90046"/>
    <s v="CA-1-BUR-140"/>
    <s v="STA_LAX_DTX"/>
    <x v="1"/>
    <x v="0"/>
    <m/>
    <n v="0.4"/>
    <n v="0"/>
  </r>
  <r>
    <n v="90048"/>
    <s v="CA-1-BUR-140"/>
    <s v="STA_LAX_DTX"/>
    <x v="1"/>
    <x v="0"/>
    <m/>
    <n v="0.4"/>
    <n v="0.1"/>
  </r>
  <r>
    <n v="90069"/>
    <s v="CA-1-BUR-140"/>
    <s v="STA_LAX_DTX"/>
    <x v="1"/>
    <x v="0"/>
    <m/>
    <n v="0.7"/>
    <n v="0"/>
  </r>
  <r>
    <n v="90068"/>
    <s v="CA-1-BUR-140"/>
    <s v="STA_LAX_DTX"/>
    <x v="1"/>
    <x v="0"/>
    <m/>
    <n v="0.3"/>
    <n v="0"/>
  </r>
  <r>
    <n v="90095"/>
    <s v="CA-1-BUR-142"/>
    <s v="STA_LAX_DTX"/>
    <x v="1"/>
    <x v="1"/>
    <m/>
    <n v="0"/>
    <n v="0"/>
  </r>
  <r>
    <n v="90024"/>
    <s v="CA-1-BUR-142"/>
    <s v="STA_LAX_DTX"/>
    <x v="1"/>
    <x v="0"/>
    <m/>
    <n v="0.1"/>
    <n v="0"/>
  </r>
  <r>
    <n v="90025"/>
    <s v="CA-1-BUR-142"/>
    <s v="STA_LAX_DTX"/>
    <x v="1"/>
    <x v="0"/>
    <m/>
    <n v="0"/>
    <n v="0"/>
  </r>
  <r>
    <n v="90067"/>
    <s v="CA-1-BUR-142"/>
    <s v="STA_LAX_DTX"/>
    <x v="1"/>
    <x v="1"/>
    <m/>
    <n v="0"/>
    <n v="0"/>
  </r>
  <r>
    <n v="90272"/>
    <s v="CA-1-BUR-142"/>
    <s v="STA_LAX_DTX"/>
    <x v="1"/>
    <x v="1"/>
    <m/>
    <n v="1.7"/>
    <n v="1.1000000000000001"/>
  </r>
  <r>
    <n v="90049"/>
    <s v="CA-1-BUR-142"/>
    <s v="STA_LAX_DTX"/>
    <x v="1"/>
    <x v="1"/>
    <m/>
    <n v="11.9"/>
    <n v="9.4"/>
  </r>
  <r>
    <n v="90077"/>
    <s v="CA-1-BUR-142"/>
    <s v="STA_LAX_DTX"/>
    <x v="1"/>
    <x v="1"/>
    <m/>
    <n v="4.4000000000000004"/>
    <n v="2.9"/>
  </r>
  <r>
    <n v="91618"/>
    <s v="CA-4-PO-119"/>
    <e v="#N/A"/>
    <x v="1"/>
    <x v="3"/>
    <m/>
    <n v="0"/>
    <n v="0"/>
  </r>
  <r>
    <n v="91615"/>
    <s v="CA-4-PO-119"/>
    <e v="#N/A"/>
    <x v="1"/>
    <x v="3"/>
    <m/>
    <n v="0"/>
    <n v="0"/>
  </r>
  <r>
    <n v="91616"/>
    <s v="CA-4-PO-119"/>
    <e v="#N/A"/>
    <x v="1"/>
    <x v="3"/>
    <m/>
    <n v="0"/>
    <n v="0"/>
  </r>
  <r>
    <n v="91609"/>
    <s v="CA-4-PO-119"/>
    <e v="#N/A"/>
    <x v="1"/>
    <x v="3"/>
    <m/>
    <n v="0"/>
    <n v="0"/>
  </r>
  <r>
    <n v="91603"/>
    <s v="CA-4-PO-119"/>
    <e v="#N/A"/>
    <x v="1"/>
    <x v="3"/>
    <m/>
    <n v="0"/>
    <n v="0"/>
  </r>
  <r>
    <n v="91610"/>
    <s v="CA-4-PO-119"/>
    <e v="#N/A"/>
    <x v="1"/>
    <x v="3"/>
    <m/>
    <n v="0"/>
    <n v="0"/>
  </r>
  <r>
    <n v="91614"/>
    <s v="CA-4-PO-119"/>
    <e v="#N/A"/>
    <x v="1"/>
    <x v="3"/>
    <m/>
    <n v="0"/>
    <n v="0"/>
  </r>
  <r>
    <n v="91617"/>
    <s v="CA-4-PO-119"/>
    <e v="#N/A"/>
    <x v="1"/>
    <x v="3"/>
    <m/>
    <n v="0"/>
    <n v="0"/>
  </r>
  <r>
    <n v="91499"/>
    <s v="CA-4-PO-119"/>
    <e v="#N/A"/>
    <x v="1"/>
    <x v="3"/>
    <m/>
    <n v="0"/>
    <n v="0"/>
  </r>
  <r>
    <n v="91407"/>
    <s v="CA-4-PO-119"/>
    <e v="#N/A"/>
    <x v="1"/>
    <x v="3"/>
    <m/>
    <n v="0"/>
    <n v="0"/>
  </r>
  <r>
    <n v="91408"/>
    <s v="CA-4-PO-119"/>
    <e v="#N/A"/>
    <x v="1"/>
    <x v="3"/>
    <m/>
    <n v="0"/>
    <n v="0"/>
  </r>
  <r>
    <n v="91404"/>
    <s v="CA-4-PO-119"/>
    <e v="#N/A"/>
    <x v="1"/>
    <x v="3"/>
    <m/>
    <n v="0"/>
    <n v="0"/>
  </r>
  <r>
    <n v="91412"/>
    <s v="CA-4-PO-119"/>
    <e v="#N/A"/>
    <x v="1"/>
    <x v="3"/>
    <m/>
    <n v="0"/>
    <n v="0"/>
  </r>
  <r>
    <n v="91416"/>
    <s v="CA-4-PO-119"/>
    <e v="#N/A"/>
    <x v="1"/>
    <x v="3"/>
    <m/>
    <n v="0"/>
    <n v="0"/>
  </r>
  <r>
    <n v="91426"/>
    <s v="CA-4-PO-119"/>
    <e v="#N/A"/>
    <x v="1"/>
    <x v="3"/>
    <m/>
    <n v="0"/>
    <n v="0"/>
  </r>
  <r>
    <n v="91413"/>
    <s v="CA-4-PO-119"/>
    <e v="#N/A"/>
    <x v="1"/>
    <x v="3"/>
    <m/>
    <n v="0"/>
    <n v="0"/>
  </r>
  <r>
    <n v="91470"/>
    <s v="CA-4-PO-119"/>
    <e v="#N/A"/>
    <x v="1"/>
    <x v="3"/>
    <m/>
    <n v="0"/>
    <n v="0"/>
  </r>
  <r>
    <n v="91409"/>
    <s v="CA-4-PO-119"/>
    <e v="#N/A"/>
    <x v="1"/>
    <x v="3"/>
    <m/>
    <n v="0"/>
    <n v="0"/>
  </r>
  <r>
    <n v="91410"/>
    <s v="CA-4-PO-119"/>
    <e v="#N/A"/>
    <x v="1"/>
    <x v="3"/>
    <m/>
    <n v="0"/>
    <n v="0"/>
  </r>
  <r>
    <n v="91353"/>
    <s v="CA-4-PO-119"/>
    <e v="#N/A"/>
    <x v="1"/>
    <x v="3"/>
    <m/>
    <n v="0"/>
    <n v="0"/>
  </r>
  <r>
    <n v="91522"/>
    <s v="CA-4-PO-119"/>
    <e v="#N/A"/>
    <x v="1"/>
    <x v="3"/>
    <m/>
    <n v="0"/>
    <n v="0"/>
  </r>
  <r>
    <n v="91523"/>
    <s v="CA-4-PO-119"/>
    <e v="#N/A"/>
    <x v="1"/>
    <x v="3"/>
    <m/>
    <n v="0"/>
    <n v="0"/>
  </r>
  <r>
    <n v="91508"/>
    <s v="CA-4-PO-119"/>
    <e v="#N/A"/>
    <x v="1"/>
    <x v="3"/>
    <m/>
    <n v="0"/>
    <n v="0"/>
  </r>
  <r>
    <n v="91510"/>
    <s v="CA-4-PO-119"/>
    <e v="#N/A"/>
    <x v="1"/>
    <x v="3"/>
    <m/>
    <n v="0"/>
    <n v="0"/>
  </r>
  <r>
    <n v="91503"/>
    <s v="CA-4-PO-119"/>
    <e v="#N/A"/>
    <x v="1"/>
    <x v="3"/>
    <m/>
    <n v="0"/>
    <n v="0"/>
  </r>
  <r>
    <n v="91507"/>
    <s v="CA-4-PO-119"/>
    <e v="#N/A"/>
    <x v="1"/>
    <x v="3"/>
    <m/>
    <n v="0"/>
    <n v="0"/>
  </r>
  <r>
    <n v="91333"/>
    <s v="CA-4-PO-119"/>
    <e v="#N/A"/>
    <x v="1"/>
    <x v="3"/>
    <m/>
    <n v="0"/>
    <n v="0"/>
  </r>
  <r>
    <n v="91334"/>
    <s v="CA-4-PO-119"/>
    <e v="#N/A"/>
    <x v="1"/>
    <x v="3"/>
    <m/>
    <n v="0"/>
    <n v="0"/>
  </r>
  <r>
    <n v="91341"/>
    <s v="CA-4-PO-119"/>
    <e v="#N/A"/>
    <x v="1"/>
    <x v="3"/>
    <m/>
    <n v="0"/>
    <n v="0"/>
  </r>
  <r>
    <n v="91392"/>
    <s v="CA-4-PO-119"/>
    <e v="#N/A"/>
    <x v="1"/>
    <x v="3"/>
    <m/>
    <n v="0"/>
    <n v="0"/>
  </r>
  <r>
    <n v="91346"/>
    <s v="CA-4-PO-119"/>
    <e v="#N/A"/>
    <x v="1"/>
    <x v="3"/>
    <m/>
    <n v="0"/>
    <n v="0"/>
  </r>
  <r>
    <n v="91395"/>
    <s v="CA-4-PO-119"/>
    <e v="#N/A"/>
    <x v="1"/>
    <x v="3"/>
    <m/>
    <n v="0"/>
    <n v="0"/>
  </r>
  <r>
    <n v="91394"/>
    <s v="CA-4-PO-119"/>
    <e v="#N/A"/>
    <x v="1"/>
    <x v="3"/>
    <m/>
    <n v="0"/>
    <n v="0"/>
  </r>
  <r>
    <n v="91393"/>
    <s v="CA-4-PO-119"/>
    <e v="#N/A"/>
    <x v="1"/>
    <x v="3"/>
    <m/>
    <n v="0"/>
    <n v="0"/>
  </r>
  <r>
    <n v="91327"/>
    <s v="CA-4-PO-119"/>
    <e v="#N/A"/>
    <x v="1"/>
    <x v="3"/>
    <m/>
    <n v="0"/>
    <n v="0"/>
  </r>
  <r>
    <n v="91328"/>
    <s v="CA-4-PO-119"/>
    <e v="#N/A"/>
    <x v="1"/>
    <x v="3"/>
    <m/>
    <n v="0"/>
    <n v="0"/>
  </r>
  <r>
    <n v="91313"/>
    <s v="CA-4-PO-119"/>
    <e v="#N/A"/>
    <x v="1"/>
    <x v="3"/>
    <m/>
    <n v="0"/>
    <n v="0"/>
  </r>
  <r>
    <n v="91365"/>
    <s v="CA-4-PO-119"/>
    <e v="#N/A"/>
    <x v="1"/>
    <x v="3"/>
    <m/>
    <n v="0"/>
    <n v="0"/>
  </r>
  <r>
    <n v="91308"/>
    <s v="CA-4-PO-119"/>
    <e v="#N/A"/>
    <x v="1"/>
    <x v="3"/>
    <m/>
    <n v="0"/>
    <n v="0"/>
  </r>
  <r>
    <n v="91305"/>
    <s v="CA-4-PO-119"/>
    <e v="#N/A"/>
    <x v="1"/>
    <x v="3"/>
    <m/>
    <n v="0"/>
    <n v="0"/>
  </r>
  <r>
    <n v="91309"/>
    <s v="CA-4-PO-119"/>
    <e v="#N/A"/>
    <x v="1"/>
    <x v="3"/>
    <m/>
    <n v="0"/>
    <n v="0"/>
  </r>
  <r>
    <n v="91396"/>
    <s v="CA-4-PO-119"/>
    <e v="#N/A"/>
    <x v="1"/>
    <x v="3"/>
    <m/>
    <n v="0"/>
    <n v="0"/>
  </r>
  <r>
    <n v="91357"/>
    <s v="CA-4-PO-119"/>
    <e v="#N/A"/>
    <x v="1"/>
    <x v="3"/>
    <m/>
    <n v="0"/>
    <n v="0"/>
  </r>
  <r>
    <n v="91337"/>
    <s v="CA-4-PO-119"/>
    <e v="#N/A"/>
    <x v="1"/>
    <x v="3"/>
    <m/>
    <n v="0"/>
    <n v="0"/>
  </r>
  <r>
    <n v="91372"/>
    <s v="CA-4-PO-119"/>
    <e v="#N/A"/>
    <x v="1"/>
    <x v="3"/>
    <m/>
    <n v="0"/>
    <n v="0"/>
  </r>
  <r>
    <n v="91376"/>
    <s v="CA-4-PO-119"/>
    <e v="#N/A"/>
    <x v="1"/>
    <x v="3"/>
    <m/>
    <n v="0"/>
    <n v="0"/>
  </r>
  <r>
    <n v="91358"/>
    <s v="CA-4-PO-119"/>
    <e v="#N/A"/>
    <x v="1"/>
    <x v="3"/>
    <m/>
    <n v="0"/>
    <n v="0"/>
  </r>
  <r>
    <n v="91359"/>
    <s v="CA-4-PO-119"/>
    <e v="#N/A"/>
    <x v="1"/>
    <x v="3"/>
    <m/>
    <n v="0"/>
    <n v="0"/>
  </r>
  <r>
    <n v="91319"/>
    <s v="CA-4-PO-119"/>
    <e v="#N/A"/>
    <x v="1"/>
    <x v="3"/>
    <m/>
    <n v="0"/>
    <n v="0"/>
  </r>
  <r>
    <n v="91386"/>
    <s v="CA-4-PO-119"/>
    <e v="#N/A"/>
    <x v="1"/>
    <x v="3"/>
    <m/>
    <n v="0"/>
    <n v="0"/>
  </r>
  <r>
    <n v="91380"/>
    <s v="CA-4-PO-119"/>
    <e v="#N/A"/>
    <x v="1"/>
    <x v="3"/>
    <m/>
    <n v="0"/>
    <n v="0"/>
  </r>
  <r>
    <n v="91385"/>
    <s v="CA-4-PO-119"/>
    <e v="#N/A"/>
    <x v="1"/>
    <x v="3"/>
    <m/>
    <n v="0"/>
    <n v="0"/>
  </r>
  <r>
    <n v="91310"/>
    <s v="CA-4-PO-119"/>
    <e v="#N/A"/>
    <x v="1"/>
    <x v="3"/>
    <m/>
    <n v="0"/>
    <n v="0"/>
  </r>
  <r>
    <n v="91322"/>
    <s v="CA-4-PO-119"/>
    <e v="#N/A"/>
    <x v="1"/>
    <x v="3"/>
    <m/>
    <n v="0"/>
    <n v="0"/>
  </r>
  <r>
    <n v="93094"/>
    <s v="CA-4-PO-119"/>
    <e v="#N/A"/>
    <x v="1"/>
    <x v="3"/>
    <m/>
    <n v="0"/>
    <n v="0"/>
  </r>
  <r>
    <n v="93099"/>
    <s v="CA-4-PO-119"/>
    <e v="#N/A"/>
    <x v="1"/>
    <x v="3"/>
    <m/>
    <n v="0"/>
    <n v="0"/>
  </r>
  <r>
    <n v="93539"/>
    <s v="CA-4-PO-119"/>
    <e v="#N/A"/>
    <x v="1"/>
    <x v="3"/>
    <m/>
    <n v="0"/>
    <n v="0"/>
  </r>
  <r>
    <n v="93584"/>
    <s v="CA-4-PO-119"/>
    <e v="#N/A"/>
    <x v="1"/>
    <x v="3"/>
    <m/>
    <n v="0"/>
    <n v="0"/>
  </r>
  <r>
    <n v="91210"/>
    <s v="CA-0-COM-100"/>
    <s v="STA_LAX_JLP"/>
    <x v="2"/>
    <x v="1"/>
    <s v="邮寄"/>
    <n v="0.1"/>
    <n v="0"/>
  </r>
  <r>
    <n v="91201"/>
    <s v="CA-0-COM-100"/>
    <s v="STA_LAX_JLP"/>
    <x v="2"/>
    <x v="0"/>
    <m/>
    <n v="0.1"/>
    <n v="0"/>
  </r>
  <r>
    <n v="91202"/>
    <s v="CA-0-COM-100"/>
    <s v="STA_LAX_JLP"/>
    <x v="2"/>
    <x v="0"/>
    <m/>
    <n v="0.1"/>
    <n v="0"/>
  </r>
  <r>
    <n v="91203"/>
    <s v="CA-0-COM-100"/>
    <s v="STA_LAX_JLP"/>
    <x v="2"/>
    <x v="0"/>
    <m/>
    <n v="0"/>
    <n v="0"/>
  </r>
  <r>
    <n v="91204"/>
    <s v="CA-0-COM-100"/>
    <s v="STA_LAX_JLP"/>
    <x v="2"/>
    <x v="0"/>
    <m/>
    <n v="0"/>
    <n v="0"/>
  </r>
  <r>
    <n v="91206"/>
    <s v="CA-0-COM-100"/>
    <s v="STA_LAX_JLP"/>
    <x v="2"/>
    <x v="0"/>
    <m/>
    <n v="0"/>
    <n v="0"/>
  </r>
  <r>
    <n v="91207"/>
    <s v="CA-0-COM-100"/>
    <s v="STA_LAX_JLP"/>
    <x v="2"/>
    <x v="2"/>
    <m/>
    <n v="0.3"/>
    <n v="0"/>
  </r>
  <r>
    <n v="91208"/>
    <s v="CA-0-COM-100"/>
    <s v="STA_LAX_JLP"/>
    <x v="2"/>
    <x v="2"/>
    <m/>
    <n v="0.6"/>
    <n v="0"/>
  </r>
  <r>
    <n v="91205"/>
    <s v="CA-0-COM-100"/>
    <s v="STA_LAX_JLP"/>
    <x v="2"/>
    <x v="0"/>
    <m/>
    <n v="0"/>
    <n v="0"/>
  </r>
  <r>
    <n v="90013"/>
    <s v="CA-0-COM-102"/>
    <s v="STA_LAX_JLP"/>
    <x v="2"/>
    <x v="1"/>
    <m/>
    <n v="0.3"/>
    <n v="0"/>
  </r>
  <r>
    <n v="90014"/>
    <s v="CA-0-COM-102"/>
    <s v="STA_LAX_JLP"/>
    <x v="2"/>
    <x v="1"/>
    <m/>
    <n v="0.1"/>
    <n v="0"/>
  </r>
  <r>
    <n v="90015"/>
    <s v="CA-0-COM-102"/>
    <s v="STA_LAX_JLP"/>
    <x v="2"/>
    <x v="1"/>
    <m/>
    <n v="0.3"/>
    <n v="0"/>
  </r>
  <r>
    <n v="90017"/>
    <s v="CA-0-COM-102"/>
    <s v="STA_LAX_JLP"/>
    <x v="2"/>
    <x v="1"/>
    <m/>
    <n v="0.1"/>
    <n v="0"/>
  </r>
  <r>
    <n v="90021"/>
    <s v="CA-0-COM-102"/>
    <s v="STA_LAX_JLP"/>
    <x v="2"/>
    <x v="1"/>
    <m/>
    <n v="0"/>
    <n v="0"/>
  </r>
  <r>
    <n v="90079"/>
    <s v="CA-0-COM-102"/>
    <s v="STA_LAX_JLP"/>
    <x v="2"/>
    <x v="1"/>
    <m/>
    <n v="0"/>
    <n v="0"/>
  </r>
  <r>
    <n v="90088"/>
    <s v="CA-0-COM-102"/>
    <s v="STA_LAX_JLP"/>
    <x v="2"/>
    <x v="1"/>
    <m/>
    <n v="0"/>
    <n v="0"/>
  </r>
  <r>
    <n v="90057"/>
    <s v="CA-0-COM-102"/>
    <s v="STA_LAX_JLP"/>
    <x v="2"/>
    <x v="1"/>
    <m/>
    <n v="2"/>
    <n v="0"/>
  </r>
  <r>
    <n v="90039"/>
    <s v="CA-0-COM-104"/>
    <s v="STA_LAX_ChinaOcean"/>
    <x v="2"/>
    <x v="0"/>
    <m/>
    <n v="0.3"/>
    <n v="0"/>
  </r>
  <r>
    <n v="90041"/>
    <s v="CA-0-COM-104"/>
    <s v="STA_LAX_ChinaOcean"/>
    <x v="2"/>
    <x v="0"/>
    <m/>
    <n v="0.1"/>
    <n v="0"/>
  </r>
  <r>
    <n v="90042"/>
    <s v="CA-0-COM-104"/>
    <s v="STA_LAX_ChinaOcean"/>
    <x v="2"/>
    <x v="0"/>
    <m/>
    <n v="0.6"/>
    <n v="0"/>
  </r>
  <r>
    <n v="90065"/>
    <s v="CA-0-COM-104"/>
    <s v="STA_LAX_ChinaOcean"/>
    <x v="2"/>
    <x v="0"/>
    <m/>
    <n v="0.3"/>
    <n v="0"/>
  </r>
  <r>
    <n v="91030"/>
    <s v="CA-0-COM-106"/>
    <s v="STA_LAX_ChinaOcean"/>
    <x v="2"/>
    <x v="0"/>
    <m/>
    <n v="0"/>
    <n v="0"/>
  </r>
  <r>
    <n v="91108"/>
    <s v="CA-0-COM-106"/>
    <s v="STA_LAX_ChinaOcean"/>
    <x v="2"/>
    <x v="0"/>
    <m/>
    <n v="0.1"/>
    <n v="0"/>
  </r>
  <r>
    <n v="91107"/>
    <s v="CA-0-COM-106"/>
    <s v="STA_LAX_ChinaOcean"/>
    <x v="2"/>
    <x v="0"/>
    <m/>
    <n v="0.1"/>
    <n v="0"/>
  </r>
  <r>
    <n v="91024"/>
    <s v="CA-0-COM-106"/>
    <s v="STA_LAX_ChinaOcean"/>
    <x v="2"/>
    <x v="2"/>
    <m/>
    <n v="0.9"/>
    <n v="0"/>
  </r>
  <r>
    <n v="91731"/>
    <s v="CA-0-COM-108"/>
    <s v="STA_LAX_ChinaOcean"/>
    <x v="2"/>
    <x v="0"/>
    <m/>
    <n v="0.3"/>
    <n v="0"/>
  </r>
  <r>
    <n v="91732"/>
    <s v="CA-0-COM-108"/>
    <s v="STA_LAX_ChinaOcean"/>
    <x v="2"/>
    <x v="0"/>
    <m/>
    <n v="0.7"/>
    <n v="0"/>
  </r>
  <r>
    <n v="91016"/>
    <s v="CA-0-COM-108"/>
    <s v="STA_LAX_ChinaOcean"/>
    <x v="2"/>
    <x v="0"/>
    <m/>
    <n v="0.1"/>
    <n v="0"/>
  </r>
  <r>
    <n v="91010"/>
    <s v="CA-0-COM-108"/>
    <s v="STA_LAX_ChinaOcean"/>
    <x v="2"/>
    <x v="0"/>
    <m/>
    <n v="1"/>
    <n v="0"/>
  </r>
  <r>
    <n v="91008"/>
    <s v="CA-0-COM-108"/>
    <s v="STA_LAX_ChinaOcean"/>
    <x v="2"/>
    <x v="2"/>
    <m/>
    <n v="0.1"/>
    <n v="0"/>
  </r>
  <r>
    <n v="91006"/>
    <s v="CA-0-COM-108"/>
    <s v="STA_LAX_ChinaOcean"/>
    <x v="2"/>
    <x v="0"/>
    <m/>
    <n v="0.3"/>
    <n v="0"/>
  </r>
  <r>
    <n v="91007"/>
    <s v="CA-0-COM-108"/>
    <s v="STA_LAX_ChinaOcean"/>
    <x v="2"/>
    <x v="0"/>
    <m/>
    <n v="0.4"/>
    <n v="0"/>
  </r>
  <r>
    <n v="90022"/>
    <s v="CA-0-COM-110"/>
    <s v="STA_LAX_JLP"/>
    <x v="2"/>
    <x v="0"/>
    <m/>
    <n v="0.9"/>
    <n v="0"/>
  </r>
  <r>
    <n v="90023"/>
    <s v="CA-0-COM-110"/>
    <s v="STA_LAX_JLP"/>
    <x v="2"/>
    <x v="0"/>
    <m/>
    <n v="0.4"/>
    <n v="0"/>
  </r>
  <r>
    <n v="90063"/>
    <s v="CA-0-COM-110"/>
    <s v="STA_LAX_JLP"/>
    <x v="2"/>
    <x v="0"/>
    <m/>
    <n v="1.1000000000000001"/>
    <n v="0"/>
  </r>
  <r>
    <n v="90033"/>
    <s v="CA-0-COM-110"/>
    <s v="STA_LAX_JLP"/>
    <x v="2"/>
    <x v="1"/>
    <m/>
    <n v="8.3000000000000007"/>
    <n v="0"/>
  </r>
  <r>
    <n v="90031"/>
    <s v="CA-0-COM-110"/>
    <s v="STA_LAX_JLP"/>
    <x v="2"/>
    <x v="1"/>
    <m/>
    <n v="4.7"/>
    <n v="0"/>
  </r>
  <r>
    <n v="90032"/>
    <s v="CA-0-COM-110"/>
    <s v="STA_LAX_JLP"/>
    <x v="2"/>
    <x v="0"/>
    <m/>
    <n v="0.3"/>
    <n v="0"/>
  </r>
  <r>
    <n v="90660"/>
    <s v="CA-0-COM-112"/>
    <s v="STA_LAX_JLP"/>
    <x v="2"/>
    <x v="0"/>
    <m/>
    <n v="0.3"/>
    <n v="0"/>
  </r>
  <r>
    <n v="90601"/>
    <s v="CA-0-COM-112"/>
    <s v="STA_LAX_JLP"/>
    <x v="2"/>
    <x v="0"/>
    <m/>
    <n v="0.3"/>
    <n v="0"/>
  </r>
  <r>
    <n v="90602"/>
    <s v="CA-0-COM-112"/>
    <s v="STA_LAX_JLP"/>
    <x v="2"/>
    <x v="0"/>
    <m/>
    <n v="0.1"/>
    <n v="0"/>
  </r>
  <r>
    <n v="90603"/>
    <s v="CA-0-COM-112"/>
    <s v="STA_LAX_JLP"/>
    <x v="2"/>
    <x v="0"/>
    <m/>
    <n v="0.1"/>
    <n v="0"/>
  </r>
  <r>
    <n v="90604"/>
    <s v="CA-0-COM-112"/>
    <s v="STA_LAX_JLP"/>
    <x v="2"/>
    <x v="0"/>
    <m/>
    <n v="0"/>
    <n v="0"/>
  </r>
  <r>
    <n v="90605"/>
    <s v="CA-0-COM-112"/>
    <s v="STA_LAX_JLP"/>
    <x v="2"/>
    <x v="1"/>
    <m/>
    <n v="9"/>
    <n v="8.9"/>
  </r>
  <r>
    <n v="90606"/>
    <s v="CA-0-COM-112"/>
    <s v="STA_LAX_JLP"/>
    <x v="2"/>
    <x v="0"/>
    <m/>
    <n v="0.3"/>
    <n v="0"/>
  </r>
  <r>
    <n v="90670"/>
    <s v="CA-0-COM-112"/>
    <s v="STA_LAX_JLP"/>
    <x v="2"/>
    <x v="0"/>
    <m/>
    <n v="3.9"/>
    <n v="3.9"/>
  </r>
  <r>
    <n v="91745"/>
    <s v="CA-0-COM-114"/>
    <s v="STA_LAX_ChinaOcean"/>
    <x v="2"/>
    <x v="0"/>
    <m/>
    <n v="0.9"/>
    <n v="0"/>
  </r>
  <r>
    <n v="91744"/>
    <s v="CA-0-COM-114"/>
    <s v="STA_LAX_ChinaOcean"/>
    <x v="2"/>
    <x v="0"/>
    <m/>
    <n v="1.9"/>
    <n v="0.1"/>
  </r>
  <r>
    <n v="91746"/>
    <s v="CA-0-COM-114"/>
    <s v="STA_LAX_ChinaOcean"/>
    <x v="2"/>
    <x v="0"/>
    <m/>
    <n v="0.1"/>
    <n v="0"/>
  </r>
  <r>
    <n v="91706"/>
    <s v="CA-0-COM-114"/>
    <s v="STA_LAX_ChinaOcean"/>
    <x v="2"/>
    <x v="0"/>
    <m/>
    <n v="1.1000000000000001"/>
    <n v="0.1"/>
  </r>
  <r>
    <n v="90262"/>
    <s v="CA-0-COM-116"/>
    <s v="STA_LAX_ChinaOcean"/>
    <x v="2"/>
    <x v="0"/>
    <m/>
    <n v="16"/>
    <n v="15.6"/>
  </r>
  <r>
    <n v="90002"/>
    <s v="CA-0-COM-116"/>
    <s v="STA_LAX_ChinaOcean"/>
    <x v="2"/>
    <x v="0"/>
    <m/>
    <n v="0.1"/>
    <n v="0"/>
  </r>
  <r>
    <n v="90003"/>
    <s v="CA-0-COM-116"/>
    <s v="STA_LAX_ChinaOcean"/>
    <x v="2"/>
    <x v="0"/>
    <m/>
    <n v="0.3"/>
    <n v="0"/>
  </r>
  <r>
    <n v="90011"/>
    <s v="CA-0-COM-116"/>
    <s v="STA_LAX_ChinaOcean"/>
    <x v="2"/>
    <x v="0"/>
    <m/>
    <n v="0.4"/>
    <n v="0"/>
  </r>
  <r>
    <n v="90001"/>
    <s v="CA-0-COM-116"/>
    <s v="STA_LAX_ChinaOcean"/>
    <x v="2"/>
    <x v="0"/>
    <m/>
    <n v="0.3"/>
    <n v="0"/>
  </r>
  <r>
    <n v="90059"/>
    <s v="CA-0-COM-116"/>
    <s v="STA_LAX_ChinaOcean"/>
    <x v="2"/>
    <x v="0"/>
    <m/>
    <n v="0.1"/>
    <n v="0"/>
  </r>
  <r>
    <n v="90058"/>
    <s v="CA-0-COM-116"/>
    <s v="STA_LAX_ChinaOcean"/>
    <x v="2"/>
    <x v="0"/>
    <m/>
    <n v="0"/>
    <n v="0"/>
  </r>
  <r>
    <n v="90255"/>
    <s v="CA-0-COM-116"/>
    <s v="STA_LAX_ChinaOcean"/>
    <x v="2"/>
    <x v="0"/>
    <m/>
    <n v="0.1"/>
    <n v="0"/>
  </r>
  <r>
    <n v="90240"/>
    <s v="CA-0-COM-118"/>
    <s v="STA_LAX_ChinaOcean"/>
    <x v="2"/>
    <x v="0"/>
    <m/>
    <n v="0.1"/>
    <n v="0"/>
  </r>
  <r>
    <n v="90241"/>
    <s v="CA-0-COM-118"/>
    <s v="STA_LAX_ChinaOcean"/>
    <x v="2"/>
    <x v="0"/>
    <m/>
    <n v="1"/>
    <n v="0"/>
  </r>
  <r>
    <n v="90242"/>
    <s v="CA-0-COM-118"/>
    <s v="STA_LAX_ChinaOcean"/>
    <x v="2"/>
    <x v="0"/>
    <m/>
    <n v="0.4"/>
    <n v="0"/>
  </r>
  <r>
    <n v="90706"/>
    <s v="CA-0-COM-118"/>
    <s v="STA_LAX_ChinaOcean"/>
    <x v="2"/>
    <x v="0"/>
    <m/>
    <n v="0.7"/>
    <n v="0"/>
  </r>
  <r>
    <n v="90723"/>
    <s v="CA-0-COM-118"/>
    <s v="STA_LAX_ChinaOcean"/>
    <x v="2"/>
    <x v="0"/>
    <m/>
    <n v="0.7"/>
    <n v="0"/>
  </r>
  <r>
    <n v="90040"/>
    <s v="CA-0-COM-120"/>
    <s v="STA_LAX_ChinaOcean"/>
    <x v="2"/>
    <x v="0"/>
    <m/>
    <n v="4.0999999999999996"/>
    <n v="4"/>
  </r>
  <r>
    <n v="90270"/>
    <s v="CA-0-COM-120"/>
    <s v="STA_LAX_ChinaOcean"/>
    <x v="2"/>
    <x v="0"/>
    <m/>
    <n v="6.9"/>
    <n v="6.7"/>
  </r>
  <r>
    <n v="90201"/>
    <s v="CA-0-COM-120"/>
    <s v="STA_LAX_ChinaOcean"/>
    <x v="2"/>
    <x v="0"/>
    <m/>
    <n v="0.6"/>
    <n v="0"/>
  </r>
  <r>
    <n v="90280"/>
    <s v="CA-0-COM-120"/>
    <s v="STA_LAX_ChinaOcean"/>
    <x v="2"/>
    <x v="0"/>
    <m/>
    <n v="0.4"/>
    <n v="0"/>
  </r>
  <r>
    <n v="90650"/>
    <s v="CA-0-COM-122"/>
    <s v="STA_LAX_ChinaOcean"/>
    <x v="2"/>
    <x v="0"/>
    <m/>
    <n v="0.6"/>
    <n v="0"/>
  </r>
  <r>
    <n v="90638"/>
    <s v="CA-0-COM-122"/>
    <s v="STA_LAX_ChinaOcean"/>
    <x v="2"/>
    <x v="0"/>
    <m/>
    <n v="0.1"/>
    <n v="0"/>
  </r>
  <r>
    <n v="90639"/>
    <s v="CA-0-COM-122"/>
    <s v="STA_LAX_ChinaOcean"/>
    <x v="2"/>
    <x v="0"/>
    <m/>
    <n v="0.1"/>
    <n v="0.1"/>
  </r>
  <r>
    <n v="90701"/>
    <s v="CA-0-COM-122"/>
    <s v="STA_LAX_ChinaOcean"/>
    <x v="2"/>
    <x v="0"/>
    <m/>
    <n v="0"/>
    <n v="0"/>
  </r>
  <r>
    <n v="90703"/>
    <s v="CA-0-COM-122"/>
    <s v="STA_LAX_ChinaOcean"/>
    <x v="2"/>
    <x v="0"/>
    <m/>
    <n v="0"/>
    <n v="0"/>
  </r>
  <r>
    <n v="91106"/>
    <s v="CA-0-COM-124"/>
    <s v="STA_LAX_JLP"/>
    <x v="2"/>
    <x v="0"/>
    <m/>
    <n v="0.1"/>
    <n v="0"/>
  </r>
  <r>
    <n v="91101"/>
    <s v="CA-0-COM-124"/>
    <s v="STA_LAX_JLP"/>
    <x v="2"/>
    <x v="2"/>
    <m/>
    <n v="0.1"/>
    <n v="0"/>
  </r>
  <r>
    <n v="91104"/>
    <s v="CA-0-COM-124"/>
    <s v="STA_LAX_JLP"/>
    <x v="2"/>
    <x v="2"/>
    <m/>
    <n v="4.0999999999999996"/>
    <n v="0"/>
  </r>
  <r>
    <n v="91110"/>
    <s v="CA-0-COM-124"/>
    <s v="STA_LAX_JLP"/>
    <x v="2"/>
    <x v="1"/>
    <m/>
    <n v="0"/>
    <n v="0"/>
  </r>
  <r>
    <n v="91124"/>
    <s v="CA-0-COM-124"/>
    <s v="STA_LAX_JLP"/>
    <x v="2"/>
    <x v="1"/>
    <m/>
    <n v="0"/>
    <n v="0"/>
  </r>
  <r>
    <n v="91125"/>
    <s v="CA-0-COM-124"/>
    <s v="STA_LAX_JLP"/>
    <x v="2"/>
    <x v="1"/>
    <s v="邮寄"/>
    <n v="0"/>
    <n v="0"/>
  </r>
  <r>
    <n v="91126"/>
    <s v="CA-0-COM-124"/>
    <s v="STA_LAX_JLP"/>
    <x v="2"/>
    <x v="1"/>
    <m/>
    <n v="0"/>
    <n v="0"/>
  </r>
  <r>
    <n v="91184"/>
    <s v="CA-0-COM-124"/>
    <s v="STA_LAX_JLP"/>
    <x v="2"/>
    <x v="1"/>
    <m/>
    <n v="0"/>
    <n v="0"/>
  </r>
  <r>
    <n v="91105"/>
    <s v="CA-0-COM-124"/>
    <s v="STA_LAX_JLP"/>
    <x v="2"/>
    <x v="2"/>
    <m/>
    <n v="1"/>
    <n v="0"/>
  </r>
  <r>
    <n v="91103"/>
    <s v="CA-0-COM-124"/>
    <s v="STA_LAX_JLP"/>
    <x v="2"/>
    <x v="0"/>
    <m/>
    <n v="0.3"/>
    <n v="0"/>
  </r>
  <r>
    <n v="91001"/>
    <s v="CA-0-COM-124"/>
    <s v="STA_LAX_JLP"/>
    <x v="2"/>
    <x v="0"/>
    <m/>
    <n v="0"/>
    <n v="0"/>
  </r>
  <r>
    <n v="91123"/>
    <s v="CA-0-COM-124"/>
    <s v="STA_LAX_JLP"/>
    <x v="2"/>
    <x v="1"/>
    <m/>
    <n v="0"/>
    <n v="0"/>
  </r>
  <r>
    <n v="90004"/>
    <s v="CA-0-COM-126"/>
    <s v="STA_LAX_ChinaOcean"/>
    <x v="2"/>
    <x v="0"/>
    <m/>
    <n v="0.9"/>
    <n v="0"/>
  </r>
  <r>
    <n v="90036"/>
    <s v="CA-0-COM-126"/>
    <s v="STA_LAX_ChinaOcean"/>
    <x v="2"/>
    <x v="2"/>
    <m/>
    <n v="1"/>
    <n v="0"/>
  </r>
  <r>
    <n v="90027"/>
    <s v="CA-0-COM-126"/>
    <s v="STA_LAX_ChinaOcean"/>
    <x v="2"/>
    <x v="0"/>
    <m/>
    <n v="0.6"/>
    <n v="0"/>
  </r>
  <r>
    <n v="90028"/>
    <s v="CA-0-COM-126"/>
    <s v="STA_LAX_ChinaOcean"/>
    <x v="2"/>
    <x v="0"/>
    <m/>
    <n v="0"/>
    <n v="0"/>
  </r>
  <r>
    <n v="90029"/>
    <s v="CA-0-COM-126"/>
    <s v="STA_LAX_ChinaOcean"/>
    <x v="2"/>
    <x v="0"/>
    <m/>
    <n v="0.3"/>
    <n v="0"/>
  </r>
  <r>
    <n v="90038"/>
    <s v="CA-0-COM-126"/>
    <s v="STA_LAX_ChinaOcean"/>
    <x v="2"/>
    <x v="0"/>
    <m/>
    <n v="0.3"/>
    <n v="0"/>
  </r>
  <r>
    <n v="90717"/>
    <s v="CA-0-COM-128"/>
    <s v="STA_LAX_JLP"/>
    <x v="2"/>
    <x v="0"/>
    <m/>
    <n v="5.6"/>
    <n v="5.6"/>
  </r>
  <r>
    <n v="90710"/>
    <s v="CA-0-COM-128"/>
    <s v="STA_LAX_JLP"/>
    <x v="2"/>
    <x v="0"/>
    <m/>
    <n v="0"/>
    <n v="0"/>
  </r>
  <r>
    <n v="90745"/>
    <s v="CA-0-COM-128"/>
    <s v="STA_LAX_JLP"/>
    <x v="2"/>
    <x v="0"/>
    <m/>
    <n v="0.4"/>
    <n v="0"/>
  </r>
  <r>
    <n v="90746"/>
    <s v="CA-0-COM-128"/>
    <s v="STA_LAX_JLP"/>
    <x v="2"/>
    <x v="0"/>
    <m/>
    <n v="0"/>
    <n v="0"/>
  </r>
  <r>
    <n v="90747"/>
    <s v="CA-0-COM-128"/>
    <s v="STA_LAX_JLP"/>
    <x v="2"/>
    <x v="1"/>
    <s v="邮寄"/>
    <n v="0"/>
    <n v="0"/>
  </r>
  <r>
    <n v="90744"/>
    <s v="CA-0-COM-128"/>
    <s v="STA_LAX_JLP"/>
    <x v="2"/>
    <x v="0"/>
    <m/>
    <n v="0.4"/>
    <n v="0"/>
  </r>
  <r>
    <n v="90802"/>
    <s v="CA-0-COM-132"/>
    <s v="STA_LAX_JLP"/>
    <x v="2"/>
    <x v="2"/>
    <m/>
    <n v="1.9"/>
    <n v="0"/>
  </r>
  <r>
    <n v="90831"/>
    <s v="CA-0-COM-132"/>
    <s v="STA_LAX_JLP"/>
    <x v="2"/>
    <x v="1"/>
    <s v="邮寄"/>
    <n v="0"/>
    <n v="0"/>
  </r>
  <r>
    <n v="90803"/>
    <s v="CA-0-COM-132"/>
    <s v="STA_LAX_JLP"/>
    <x v="2"/>
    <x v="0"/>
    <m/>
    <n v="0.4"/>
    <n v="0"/>
  </r>
  <r>
    <n v="90813"/>
    <s v="CA-0-COM-132"/>
    <s v="STA_LAX_JLP"/>
    <x v="2"/>
    <x v="0"/>
    <m/>
    <n v="13.3"/>
    <n v="13"/>
  </r>
  <r>
    <n v="90814"/>
    <s v="CA-0-COM-132"/>
    <s v="STA_LAX_JLP"/>
    <x v="2"/>
    <x v="0"/>
    <m/>
    <n v="4.3"/>
    <n v="4.3"/>
  </r>
  <r>
    <n v="90804"/>
    <s v="CA-0-COM-132"/>
    <s v="STA_LAX_JLP"/>
    <x v="2"/>
    <x v="0"/>
    <m/>
    <n v="0.3"/>
    <n v="0"/>
  </r>
  <r>
    <n v="90806"/>
    <s v="CA-0-COM-132"/>
    <s v="STA_LAX_JLP"/>
    <x v="2"/>
    <x v="0"/>
    <m/>
    <n v="0.1"/>
    <n v="0"/>
  </r>
  <r>
    <n v="90810"/>
    <s v="CA-0-COM-132"/>
    <s v="STA_LAX_JLP"/>
    <x v="2"/>
    <x v="0"/>
    <m/>
    <n v="0"/>
    <n v="0"/>
  </r>
  <r>
    <n v="90822"/>
    <s v="CA-0-COM-132"/>
    <s v="STA_LAX_JLP"/>
    <x v="2"/>
    <x v="1"/>
    <s v="邮寄"/>
    <n v="0"/>
    <n v="0"/>
  </r>
  <r>
    <n v="90755"/>
    <s v="CA-0-COM-132"/>
    <s v="STA_LAX_JLP"/>
    <x v="2"/>
    <x v="0"/>
    <m/>
    <n v="0"/>
    <n v="0"/>
  </r>
  <r>
    <n v="90840"/>
    <s v="CA-0-COM-132"/>
    <s v="STA_LAX_JLP"/>
    <x v="2"/>
    <x v="1"/>
    <s v="邮寄"/>
    <n v="0"/>
    <n v="0"/>
  </r>
  <r>
    <n v="90833"/>
    <s v="CA-0-COM-132"/>
    <s v="STA_LAX_JLP"/>
    <x v="2"/>
    <x v="1"/>
    <m/>
    <n v="0"/>
    <n v="0"/>
  </r>
  <r>
    <n v="90834"/>
    <s v="CA-0-COM-132"/>
    <s v="STA_LAX_JLP"/>
    <x v="2"/>
    <x v="1"/>
    <m/>
    <n v="0"/>
    <n v="0"/>
  </r>
  <r>
    <n v="90835"/>
    <s v="CA-0-COM-132"/>
    <s v="STA_LAX_JLP"/>
    <x v="2"/>
    <x v="1"/>
    <m/>
    <n v="0"/>
    <n v="0"/>
  </r>
  <r>
    <n v="90899"/>
    <s v="CA-0-COM-132"/>
    <s v="STA_LAX_JLP"/>
    <x v="2"/>
    <x v="1"/>
    <m/>
    <n v="0"/>
    <n v="0"/>
  </r>
  <r>
    <n v="90805"/>
    <s v="CA-0-COM-134"/>
    <s v="STA_LAX_ChinaOcean"/>
    <x v="2"/>
    <x v="0"/>
    <m/>
    <n v="0.6"/>
    <n v="0"/>
  </r>
  <r>
    <n v="90716"/>
    <s v="CA-0-COM-134"/>
    <s v="STA_LAX_ChinaOcean"/>
    <x v="2"/>
    <x v="0"/>
    <m/>
    <n v="4.9000000000000004"/>
    <n v="4.9000000000000004"/>
  </r>
  <r>
    <n v="90715"/>
    <s v="CA-0-COM-134"/>
    <s v="STA_LAX_ChinaOcean"/>
    <x v="2"/>
    <x v="0"/>
    <m/>
    <n v="0.1"/>
    <n v="0"/>
  </r>
  <r>
    <n v="90713"/>
    <s v="CA-0-COM-134"/>
    <s v="STA_LAX_ChinaOcean"/>
    <x v="2"/>
    <x v="0"/>
    <m/>
    <n v="0.6"/>
    <n v="0"/>
  </r>
  <r>
    <n v="90712"/>
    <s v="CA-0-COM-134"/>
    <s v="STA_LAX_ChinaOcean"/>
    <x v="2"/>
    <x v="0"/>
    <m/>
    <n v="0.4"/>
    <n v="0"/>
  </r>
  <r>
    <n v="90815"/>
    <s v="CA-0-COM-134"/>
    <s v="STA_LAX_ChinaOcean"/>
    <x v="2"/>
    <x v="0"/>
    <m/>
    <n v="0.1"/>
    <n v="0"/>
  </r>
  <r>
    <n v="90808"/>
    <s v="CA-0-COM-134"/>
    <s v="STA_LAX_ChinaOcean"/>
    <x v="2"/>
    <x v="0"/>
    <m/>
    <n v="9.3000000000000007"/>
    <n v="8.9"/>
  </r>
  <r>
    <n v="90807"/>
    <s v="CA-0-COM-134"/>
    <s v="STA_LAX_ChinaOcean"/>
    <x v="2"/>
    <x v="0"/>
    <m/>
    <n v="0.3"/>
    <n v="0"/>
  </r>
  <r>
    <n v="90504"/>
    <s v="CA-0-COM-136"/>
    <s v="STA_LAX_JLP"/>
    <x v="2"/>
    <x v="0"/>
    <m/>
    <n v="0"/>
    <n v="0"/>
  </r>
  <r>
    <n v="90503"/>
    <s v="CA-0-COM-136"/>
    <s v="STA_LAX_JLP"/>
    <x v="2"/>
    <x v="0"/>
    <m/>
    <n v="0.4"/>
    <n v="0"/>
  </r>
  <r>
    <n v="90502"/>
    <s v="CA-0-COM-136"/>
    <s v="STA_LAX_JLP"/>
    <x v="2"/>
    <x v="0"/>
    <m/>
    <n v="7"/>
    <n v="6.9"/>
  </r>
  <r>
    <n v="90254"/>
    <s v="CA-0-COM-136"/>
    <s v="STA_LAX_JLP"/>
    <x v="2"/>
    <x v="0"/>
    <m/>
    <n v="0.4"/>
    <n v="0"/>
  </r>
  <r>
    <n v="90277"/>
    <s v="CA-0-COM-136"/>
    <s v="STA_LAX_JLP"/>
    <x v="2"/>
    <x v="0"/>
    <m/>
    <n v="0.4"/>
    <n v="0"/>
  </r>
  <r>
    <n v="90505"/>
    <s v="CA-0-COM-136"/>
    <s v="STA_LAX_JLP"/>
    <x v="2"/>
    <x v="0"/>
    <m/>
    <n v="0.6"/>
    <n v="0"/>
  </r>
  <r>
    <n v="90506"/>
    <s v="CA-0-COM-136"/>
    <s v="STA_LAX_JLP"/>
    <x v="2"/>
    <x v="1"/>
    <s v="邮寄"/>
    <n v="0"/>
    <n v="0"/>
  </r>
  <r>
    <n v="90501"/>
    <s v="CA-0-COM-136"/>
    <s v="STA_LAX_JLP"/>
    <x v="2"/>
    <x v="0"/>
    <m/>
    <n v="0.1"/>
    <n v="0"/>
  </r>
  <r>
    <n v="90274"/>
    <s v="CA-0-COM-138"/>
    <s v="STA_LAX_ChinaOcean"/>
    <x v="2"/>
    <x v="0"/>
    <m/>
    <n v="0.1"/>
    <n v="0"/>
  </r>
  <r>
    <n v="90275"/>
    <s v="CA-0-COM-138"/>
    <s v="STA_LAX_ChinaOcean"/>
    <x v="2"/>
    <x v="0"/>
    <m/>
    <n v="0.1"/>
    <n v="0"/>
  </r>
  <r>
    <n v="90731"/>
    <s v="CA-0-COM-138"/>
    <s v="STA_LAX_ChinaOcean"/>
    <x v="2"/>
    <x v="0"/>
    <m/>
    <n v="0.3"/>
    <n v="0"/>
  </r>
  <r>
    <n v="90732"/>
    <s v="CA-0-COM-138"/>
    <s v="STA_LAX_ChinaOcean"/>
    <x v="2"/>
    <x v="0"/>
    <m/>
    <n v="0"/>
    <n v="0"/>
  </r>
  <r>
    <n v="90034"/>
    <s v="CA-0-COM-144"/>
    <s v="STA_LAX_JLP"/>
    <x v="2"/>
    <x v="0"/>
    <m/>
    <n v="0.1"/>
    <n v="0"/>
  </r>
  <r>
    <n v="90232"/>
    <s v="CA-0-COM-144"/>
    <s v="STA_LAX_JLP"/>
    <x v="2"/>
    <x v="0"/>
    <m/>
    <n v="0.1"/>
    <n v="0"/>
  </r>
  <r>
    <n v="90035"/>
    <s v="CA-0-COM-144"/>
    <s v="STA_LAX_JLP"/>
    <x v="2"/>
    <x v="0"/>
    <m/>
    <n v="0.3"/>
    <n v="0"/>
  </r>
  <r>
    <n v="90064"/>
    <s v="CA-0-COM-144"/>
    <s v="STA_LAX_JLP"/>
    <x v="2"/>
    <x v="0"/>
    <m/>
    <n v="0.4"/>
    <n v="0"/>
  </r>
  <r>
    <n v="90233"/>
    <s v="CA-0-COM-144"/>
    <s v="STA_LAX_JLP"/>
    <x v="2"/>
    <x v="1"/>
    <m/>
    <n v="0"/>
    <n v="0"/>
  </r>
  <r>
    <n v="90037"/>
    <s v="CA-0-COM-146"/>
    <s v="STA_LAX_JLP"/>
    <x v="2"/>
    <x v="0"/>
    <m/>
    <n v="0.3"/>
    <n v="0"/>
  </r>
  <r>
    <n v="90018"/>
    <s v="CA-0-COM-146"/>
    <s v="STA_LAX_JLP"/>
    <x v="2"/>
    <x v="0"/>
    <m/>
    <n v="0.4"/>
    <n v="0"/>
  </r>
  <r>
    <n v="90019"/>
    <s v="CA-0-COM-146"/>
    <s v="STA_LAX_JLP"/>
    <x v="2"/>
    <x v="0"/>
    <m/>
    <n v="0"/>
    <n v="0"/>
  </r>
  <r>
    <n v="90062"/>
    <s v="CA-0-COM-146"/>
    <s v="STA_LAX_JLP"/>
    <x v="2"/>
    <x v="0"/>
    <m/>
    <n v="0.3"/>
    <n v="0"/>
  </r>
  <r>
    <n v="90005"/>
    <s v="CA-0-COM-146"/>
    <s v="STA_LAX_JLP"/>
    <x v="2"/>
    <x v="0"/>
    <m/>
    <n v="0.3"/>
    <n v="0"/>
  </r>
  <r>
    <n v="90006"/>
    <s v="CA-0-COM-146"/>
    <s v="STA_LAX_JLP"/>
    <x v="2"/>
    <x v="0"/>
    <m/>
    <n v="0.4"/>
    <n v="0"/>
  </r>
  <r>
    <n v="90007"/>
    <s v="CA-0-COM-146"/>
    <s v="STA_LAX_JLP"/>
    <x v="2"/>
    <x v="0"/>
    <m/>
    <n v="0.4"/>
    <n v="0"/>
  </r>
  <r>
    <n v="90010"/>
    <s v="CA-0-COM-146"/>
    <s v="STA_LAX_JLP"/>
    <x v="2"/>
    <x v="1"/>
    <m/>
    <n v="0.4"/>
    <n v="0"/>
  </r>
  <r>
    <n v="90020"/>
    <s v="CA-0-COM-146"/>
    <s v="STA_LAX_JLP"/>
    <x v="2"/>
    <x v="0"/>
    <m/>
    <n v="0.3"/>
    <n v="0"/>
  </r>
  <r>
    <n v="90089"/>
    <s v="CA-0-COM-146"/>
    <s v="STA_LAX_JLP"/>
    <x v="2"/>
    <x v="1"/>
    <m/>
    <n v="0.1"/>
    <n v="0"/>
  </r>
  <r>
    <n v="90012"/>
    <s v="CA-0-COM-148"/>
    <s v="STA_LAX_JLP"/>
    <x v="2"/>
    <x v="1"/>
    <m/>
    <n v="0.3"/>
    <n v="0"/>
  </r>
  <r>
    <n v="90090"/>
    <s v="CA-0-COM-148"/>
    <s v="STA_LAX_JLP"/>
    <x v="2"/>
    <x v="1"/>
    <m/>
    <n v="0"/>
    <n v="0"/>
  </r>
  <r>
    <n v="90026"/>
    <s v="CA-0-COM-148"/>
    <s v="STA_LAX_JLP"/>
    <x v="2"/>
    <x v="0"/>
    <m/>
    <n v="1"/>
    <n v="0"/>
  </r>
  <r>
    <n v="90096"/>
    <s v="CA-0-COM-148"/>
    <s v="STA_LAX_JLP"/>
    <x v="2"/>
    <x v="1"/>
    <m/>
    <n v="0"/>
    <n v="0"/>
  </r>
  <r>
    <n v="91740"/>
    <s v="CA-0-COM-42"/>
    <s v="STA_LAX_JLP"/>
    <x v="2"/>
    <x v="0"/>
    <m/>
    <n v="0.9"/>
    <n v="0"/>
  </r>
  <r>
    <n v="91773"/>
    <s v="CA-0-COM-42"/>
    <s v="STA_LAX_JLP"/>
    <x v="2"/>
    <x v="0"/>
    <m/>
    <n v="0.7"/>
    <n v="0"/>
  </r>
  <r>
    <n v="91750"/>
    <s v="CA-0-COM-42"/>
    <s v="STA_LAX_JLP"/>
    <x v="2"/>
    <x v="2"/>
    <m/>
    <n v="2.2999999999999998"/>
    <n v="0"/>
  </r>
  <r>
    <n v="91711"/>
    <s v="CA-0-COM-42"/>
    <s v="STA_LAX_JLP"/>
    <x v="2"/>
    <x v="2"/>
    <m/>
    <n v="1.3"/>
    <n v="0"/>
  </r>
  <r>
    <n v="91741"/>
    <s v="CA-0-COM-42"/>
    <s v="STA_LAX_JLP"/>
    <x v="2"/>
    <x v="0"/>
    <m/>
    <n v="0.9"/>
    <n v="0"/>
  </r>
  <r>
    <n v="91702"/>
    <s v="CA-0-COM-42"/>
    <s v="STA_LAX_JLP"/>
    <x v="2"/>
    <x v="1"/>
    <m/>
    <n v="9.1"/>
    <n v="0"/>
  </r>
  <r>
    <n v="91792"/>
    <s v="CA-0-COM-44"/>
    <s v="STA_LAX_ChinaOcean"/>
    <x v="2"/>
    <x v="0"/>
    <m/>
    <n v="0.1"/>
    <n v="0"/>
  </r>
  <r>
    <n v="91791"/>
    <s v="CA-0-COM-44"/>
    <s v="STA_LAX_ChinaOcean"/>
    <x v="2"/>
    <x v="0"/>
    <m/>
    <n v="0.1"/>
    <n v="0"/>
  </r>
  <r>
    <n v="91790"/>
    <s v="CA-0-COM-44"/>
    <s v="STA_LAX_ChinaOcean"/>
    <x v="2"/>
    <x v="0"/>
    <m/>
    <n v="1.7"/>
    <n v="0"/>
  </r>
  <r>
    <n v="91722"/>
    <s v="CA-0-COM-44"/>
    <s v="STA_LAX_ChinaOcean"/>
    <x v="2"/>
    <x v="0"/>
    <m/>
    <n v="0.9"/>
    <n v="0"/>
  </r>
  <r>
    <n v="91723"/>
    <s v="CA-0-COM-44"/>
    <s v="STA_LAX_ChinaOcean"/>
    <x v="2"/>
    <x v="0"/>
    <m/>
    <n v="0.3"/>
    <n v="0"/>
  </r>
  <r>
    <n v="91724"/>
    <s v="CA-0-COM-44"/>
    <s v="STA_LAX_ChinaOcean"/>
    <x v="2"/>
    <x v="0"/>
    <m/>
    <n v="0.3"/>
    <n v="0"/>
  </r>
  <r>
    <n v="91748"/>
    <s v="CA-0-COM-46"/>
    <s v="STA_LAX_JLP"/>
    <x v="2"/>
    <x v="1"/>
    <m/>
    <n v="24"/>
    <n v="23.1"/>
  </r>
  <r>
    <n v="91765"/>
    <s v="CA-0-COM-46"/>
    <s v="STA_LAX_JLP"/>
    <x v="2"/>
    <x v="0"/>
    <m/>
    <n v="0.9"/>
    <n v="0"/>
  </r>
  <r>
    <n v="91789"/>
    <s v="CA-0-COM-46"/>
    <s v="STA_LAX_JLP"/>
    <x v="2"/>
    <x v="0"/>
    <m/>
    <n v="1"/>
    <n v="0"/>
  </r>
  <r>
    <n v="90640"/>
    <s v="CA-0-COM-86"/>
    <s v="STA_LAX_ChinaOcean"/>
    <x v="2"/>
    <x v="0"/>
    <m/>
    <n v="0.1"/>
    <n v="0"/>
  </r>
  <r>
    <n v="91770"/>
    <s v="CA-0-COM-86"/>
    <s v="STA_LAX_ChinaOcean"/>
    <x v="2"/>
    <x v="0"/>
    <m/>
    <n v="1.6"/>
    <n v="0"/>
  </r>
  <r>
    <n v="91733"/>
    <s v="CA-0-COM-86"/>
    <s v="STA_LAX_ChinaOcean"/>
    <x v="2"/>
    <x v="0"/>
    <m/>
    <n v="0.6"/>
    <n v="0"/>
  </r>
  <r>
    <n v="91780"/>
    <s v="CA-0-COM-86"/>
    <s v="STA_LAX_ChinaOcean"/>
    <x v="2"/>
    <x v="0"/>
    <m/>
    <n v="0.7"/>
    <n v="0"/>
  </r>
  <r>
    <n v="91755"/>
    <s v="CA-0-COM-88"/>
    <s v="STA_LAX_JLP"/>
    <x v="2"/>
    <x v="1"/>
    <m/>
    <n v="0"/>
    <n v="0"/>
  </r>
  <r>
    <n v="91754"/>
    <s v="CA-0-COM-88"/>
    <s v="STA_LAX_JLP"/>
    <x v="2"/>
    <x v="0"/>
    <m/>
    <n v="0.1"/>
    <n v="0"/>
  </r>
  <r>
    <n v="91803"/>
    <s v="CA-0-COM-88"/>
    <s v="STA_LAX_JLP"/>
    <x v="2"/>
    <x v="0"/>
    <m/>
    <n v="0.4"/>
    <n v="0"/>
  </r>
  <r>
    <n v="91801"/>
    <s v="CA-0-COM-88"/>
    <s v="STA_LAX_JLP"/>
    <x v="2"/>
    <x v="0"/>
    <m/>
    <n v="0.1"/>
    <n v="0"/>
  </r>
  <r>
    <n v="91776"/>
    <s v="CA-0-COM-88"/>
    <s v="STA_LAX_JLP"/>
    <x v="2"/>
    <x v="0"/>
    <m/>
    <n v="0.3"/>
    <n v="0"/>
  </r>
  <r>
    <n v="91775"/>
    <s v="CA-0-COM-88"/>
    <s v="STA_LAX_JLP"/>
    <x v="2"/>
    <x v="0"/>
    <m/>
    <n v="10.7"/>
    <n v="10.6"/>
  </r>
  <r>
    <n v="90045"/>
    <s v="CA-0-COM-90"/>
    <s v="STA_LAX_JLP"/>
    <x v="2"/>
    <x v="0"/>
    <m/>
    <n v="0.4"/>
    <n v="0"/>
  </r>
  <r>
    <n v="90043"/>
    <s v="CA-0-COM-90"/>
    <s v="STA_LAX_JLP"/>
    <x v="2"/>
    <x v="0"/>
    <m/>
    <n v="0.1"/>
    <n v="0"/>
  </r>
  <r>
    <n v="90047"/>
    <s v="CA-0-COM-90"/>
    <s v="STA_LAX_JLP"/>
    <x v="2"/>
    <x v="0"/>
    <m/>
    <n v="0.4"/>
    <n v="0"/>
  </r>
  <r>
    <n v="90056"/>
    <s v="CA-0-COM-90"/>
    <s v="STA_LAX_JLP"/>
    <x v="2"/>
    <x v="1"/>
    <m/>
    <n v="1"/>
    <n v="0"/>
  </r>
  <r>
    <n v="90061"/>
    <s v="CA-0-COM-90"/>
    <s v="STA_LAX_JLP"/>
    <x v="2"/>
    <x v="0"/>
    <m/>
    <n v="0.1"/>
    <n v="0"/>
  </r>
  <r>
    <n v="90066"/>
    <s v="CA-0-COM-90"/>
    <s v="STA_LAX_JLP"/>
    <x v="2"/>
    <x v="0"/>
    <m/>
    <n v="0.3"/>
    <n v="0"/>
  </r>
  <r>
    <n v="90291"/>
    <s v="CA-0-COM-92"/>
    <s v="STA_LAX_ChinaOcean"/>
    <x v="2"/>
    <x v="0"/>
    <m/>
    <n v="0.9"/>
    <n v="0"/>
  </r>
  <r>
    <n v="90094"/>
    <s v="CA-0-COM-92"/>
    <s v="STA_LAX_ChinaOcean"/>
    <x v="2"/>
    <x v="2"/>
    <m/>
    <n v="0.1"/>
    <n v="0"/>
  </r>
  <r>
    <n v="90016"/>
    <s v="CA-0-COM-92"/>
    <s v="STA_LAX_ChinaOcean"/>
    <x v="2"/>
    <x v="0"/>
    <m/>
    <n v="0.7"/>
    <n v="0"/>
  </r>
  <r>
    <n v="90008"/>
    <s v="CA-0-COM-92"/>
    <s v="STA_LAX_ChinaOcean"/>
    <x v="2"/>
    <x v="0"/>
    <m/>
    <n v="0.1"/>
    <n v="0"/>
  </r>
  <r>
    <n v="90292"/>
    <s v="CA-0-COM-92"/>
    <s v="STA_LAX_ChinaOcean"/>
    <x v="2"/>
    <x v="0"/>
    <m/>
    <n v="0.1"/>
    <n v="0"/>
  </r>
  <r>
    <n v="90230"/>
    <s v="CA-0-COM-92"/>
    <s v="STA_LAX_ChinaOcean"/>
    <x v="2"/>
    <x v="0"/>
    <m/>
    <n v="0.4"/>
    <n v="0"/>
  </r>
  <r>
    <n v="90044"/>
    <s v="CA-0-COM-92"/>
    <s v="STA_LAX_ChinaOcean"/>
    <x v="2"/>
    <x v="0"/>
    <m/>
    <n v="0.4"/>
    <n v="0"/>
  </r>
  <r>
    <n v="90301"/>
    <s v="CA-0-COM-94"/>
    <s v="STA_LAX_JLP"/>
    <x v="2"/>
    <x v="1"/>
    <m/>
    <n v="4"/>
    <n v="0"/>
  </r>
  <r>
    <n v="90302"/>
    <s v="CA-0-COM-94"/>
    <s v="STA_LAX_JLP"/>
    <x v="2"/>
    <x v="1"/>
    <m/>
    <n v="2.6"/>
    <n v="0"/>
  </r>
  <r>
    <n v="90303"/>
    <s v="CA-0-COM-94"/>
    <s v="STA_LAX_JLP"/>
    <x v="2"/>
    <x v="1"/>
    <m/>
    <n v="6.3"/>
    <n v="0"/>
  </r>
  <r>
    <n v="90304"/>
    <s v="CA-0-COM-94"/>
    <s v="STA_LAX_JLP"/>
    <x v="2"/>
    <x v="1"/>
    <m/>
    <n v="5.3"/>
    <n v="0"/>
  </r>
  <r>
    <n v="90305"/>
    <s v="CA-0-COM-94"/>
    <s v="STA_LAX_JLP"/>
    <x v="2"/>
    <x v="1"/>
    <m/>
    <n v="2.7"/>
    <n v="0"/>
  </r>
  <r>
    <n v="90405"/>
    <s v="CA-0-COM-94"/>
    <s v="STA_LAX_JLP"/>
    <x v="2"/>
    <x v="0"/>
    <m/>
    <n v="4.9000000000000004"/>
    <n v="4.9000000000000004"/>
  </r>
  <r>
    <n v="90293"/>
    <s v="CA-0-COM-94"/>
    <s v="STA_LAX_JLP"/>
    <x v="2"/>
    <x v="0"/>
    <m/>
    <n v="0"/>
    <n v="0"/>
  </r>
  <r>
    <n v="90401"/>
    <s v="CA-0-COM-94"/>
    <s v="STA_LAX_JLP"/>
    <x v="2"/>
    <x v="1"/>
    <s v="邮寄"/>
    <n v="0.7"/>
    <n v="0"/>
  </r>
  <r>
    <n v="90404"/>
    <s v="CA-0-COM-94"/>
    <s v="STA_LAX_JLP"/>
    <x v="2"/>
    <x v="0"/>
    <m/>
    <n v="6"/>
    <n v="5.4"/>
  </r>
  <r>
    <n v="90403"/>
    <s v="CA-0-COM-94"/>
    <s v="STA_LAX_JLP"/>
    <x v="2"/>
    <x v="0"/>
    <m/>
    <n v="0.9"/>
    <n v="0"/>
  </r>
  <r>
    <n v="90402"/>
    <s v="CA-0-COM-94"/>
    <s v="STA_LAX_JLP"/>
    <x v="2"/>
    <x v="1"/>
    <s v="邮寄"/>
    <n v="1"/>
    <n v="0"/>
  </r>
  <r>
    <n v="90250"/>
    <s v="CA-0-COM-96"/>
    <s v="STA_LAX_ChinaOcean"/>
    <x v="2"/>
    <x v="0"/>
    <m/>
    <n v="0.6"/>
    <n v="0"/>
  </r>
  <r>
    <n v="90260"/>
    <s v="CA-0-COM-96"/>
    <s v="STA_LAX_ChinaOcean"/>
    <x v="2"/>
    <x v="0"/>
    <m/>
    <n v="12.7"/>
    <n v="12.4"/>
  </r>
  <r>
    <n v="90266"/>
    <s v="CA-0-COM-96"/>
    <s v="STA_LAX_ChinaOcean"/>
    <x v="2"/>
    <x v="0"/>
    <m/>
    <n v="0.3"/>
    <n v="0"/>
  </r>
  <r>
    <n v="90278"/>
    <s v="CA-0-COM-96"/>
    <s v="STA_LAX_ChinaOcean"/>
    <x v="2"/>
    <x v="0"/>
    <m/>
    <n v="0.1"/>
    <n v="0"/>
  </r>
  <r>
    <n v="90245"/>
    <s v="CA-0-COM-96"/>
    <s v="STA_LAX_ChinaOcean"/>
    <x v="2"/>
    <x v="0"/>
    <m/>
    <n v="0.1"/>
    <n v="0"/>
  </r>
  <r>
    <n v="90220"/>
    <s v="CA-0-COM-98"/>
    <s v="STA_LAX_ChinaOcean"/>
    <x v="2"/>
    <x v="0"/>
    <m/>
    <n v="1.3"/>
    <n v="0"/>
  </r>
  <r>
    <n v="90221"/>
    <s v="CA-0-COM-98"/>
    <s v="STA_LAX_ChinaOcean"/>
    <x v="2"/>
    <x v="0"/>
    <m/>
    <n v="1.1000000000000001"/>
    <n v="0"/>
  </r>
  <r>
    <n v="90222"/>
    <s v="CA-0-COM-98"/>
    <s v="STA_LAX_ChinaOcean"/>
    <x v="2"/>
    <x v="0"/>
    <m/>
    <n v="0.3"/>
    <n v="0"/>
  </r>
  <r>
    <n v="90247"/>
    <s v="CA-0-COM-98"/>
    <s v="STA_LAX_ChinaOcean"/>
    <x v="2"/>
    <x v="0"/>
    <m/>
    <n v="0"/>
    <n v="0"/>
  </r>
  <r>
    <n v="90248"/>
    <s v="CA-0-COM-98"/>
    <s v="STA_LAX_ChinaOcean"/>
    <x v="2"/>
    <x v="0"/>
    <m/>
    <n v="0"/>
    <n v="0"/>
  </r>
  <r>
    <n v="90249"/>
    <s v="CA-0-COM-98"/>
    <s v="STA_LAX_ChinaOcean"/>
    <x v="2"/>
    <x v="0"/>
    <m/>
    <n v="0.4"/>
    <n v="0"/>
  </r>
  <r>
    <n v="91046"/>
    <s v="CA-4-PO-119"/>
    <e v="#N/A"/>
    <x v="2"/>
    <x v="3"/>
    <m/>
    <n v="0"/>
    <n v="0"/>
  </r>
  <r>
    <n v="91031"/>
    <s v="CA-4-PO-119"/>
    <e v="#N/A"/>
    <x v="2"/>
    <x v="3"/>
    <m/>
    <n v="0"/>
    <n v="0"/>
  </r>
  <r>
    <n v="91025"/>
    <s v="CA-4-PO-119"/>
    <e v="#N/A"/>
    <x v="2"/>
    <x v="3"/>
    <m/>
    <n v="0"/>
    <n v="0"/>
  </r>
  <r>
    <n v="91017"/>
    <s v="CA-4-PO-119"/>
    <e v="#N/A"/>
    <x v="2"/>
    <x v="3"/>
    <m/>
    <n v="0"/>
    <n v="0"/>
  </r>
  <r>
    <n v="91009"/>
    <s v="CA-4-PO-119"/>
    <e v="#N/A"/>
    <x v="2"/>
    <x v="3"/>
    <m/>
    <n v="0"/>
    <n v="0"/>
  </r>
  <r>
    <n v="91066"/>
    <s v="CA-4-PO-119"/>
    <e v="#N/A"/>
    <x v="2"/>
    <x v="3"/>
    <m/>
    <n v="0"/>
    <n v="0"/>
  </r>
  <r>
    <n v="91077"/>
    <s v="CA-4-PO-119"/>
    <e v="#N/A"/>
    <x v="2"/>
    <x v="3"/>
    <m/>
    <n v="0"/>
    <n v="0"/>
  </r>
  <r>
    <n v="90202"/>
    <s v="CA-4-PO-119"/>
    <e v="#N/A"/>
    <x v="2"/>
    <x v="3"/>
    <m/>
    <n v="0"/>
    <n v="0"/>
  </r>
  <r>
    <n v="90661"/>
    <s v="CA-4-PO-119"/>
    <e v="#N/A"/>
    <x v="2"/>
    <x v="3"/>
    <m/>
    <n v="0"/>
    <n v="0"/>
  </r>
  <r>
    <n v="90662"/>
    <s v="CA-4-PO-119"/>
    <e v="#N/A"/>
    <x v="2"/>
    <x v="3"/>
    <m/>
    <n v="0"/>
    <n v="0"/>
  </r>
  <r>
    <n v="90607"/>
    <s v="CA-4-PO-119"/>
    <e v="#N/A"/>
    <x v="2"/>
    <x v="3"/>
    <m/>
    <n v="0"/>
    <n v="0"/>
  </r>
  <r>
    <n v="90608"/>
    <s v="CA-4-PO-119"/>
    <e v="#N/A"/>
    <x v="2"/>
    <x v="3"/>
    <m/>
    <n v="0"/>
    <n v="0"/>
  </r>
  <r>
    <n v="90609"/>
    <s v="CA-4-PO-119"/>
    <e v="#N/A"/>
    <x v="2"/>
    <x v="3"/>
    <m/>
    <n v="0"/>
    <n v="0"/>
  </r>
  <r>
    <n v="90610"/>
    <s v="CA-4-PO-119"/>
    <e v="#N/A"/>
    <x v="2"/>
    <x v="3"/>
    <m/>
    <n v="0"/>
    <n v="0"/>
  </r>
  <r>
    <n v="90091"/>
    <s v="CA-4-PO-119"/>
    <e v="#N/A"/>
    <x v="2"/>
    <x v="3"/>
    <m/>
    <n v="0"/>
    <n v="0"/>
  </r>
  <r>
    <n v="90239"/>
    <s v="CA-4-PO-119"/>
    <e v="#N/A"/>
    <x v="2"/>
    <x v="3"/>
    <m/>
    <n v="0"/>
    <n v="0"/>
  </r>
  <r>
    <n v="90707"/>
    <s v="CA-4-PO-119"/>
    <e v="#N/A"/>
    <x v="2"/>
    <x v="3"/>
    <m/>
    <n v="0"/>
    <n v="0"/>
  </r>
  <r>
    <n v="90671"/>
    <s v="CA-4-PO-119"/>
    <e v="#N/A"/>
    <x v="2"/>
    <x v="3"/>
    <m/>
    <n v="0"/>
    <n v="0"/>
  </r>
  <r>
    <n v="90651"/>
    <s v="CA-4-PO-119"/>
    <e v="#N/A"/>
    <x v="2"/>
    <x v="3"/>
    <m/>
    <n v="0"/>
    <n v="0"/>
  </r>
  <r>
    <n v="90652"/>
    <s v="CA-4-PO-119"/>
    <e v="#N/A"/>
    <x v="2"/>
    <x v="3"/>
    <m/>
    <n v="0"/>
    <n v="0"/>
  </r>
  <r>
    <n v="90637"/>
    <s v="CA-4-PO-119"/>
    <e v="#N/A"/>
    <x v="2"/>
    <x v="3"/>
    <m/>
    <n v="0"/>
    <n v="0"/>
  </r>
  <r>
    <n v="90748"/>
    <s v="CA-4-PO-119"/>
    <e v="#N/A"/>
    <x v="2"/>
    <x v="3"/>
    <m/>
    <n v="0"/>
    <n v="0"/>
  </r>
  <r>
    <n v="90711"/>
    <s v="CA-4-PO-119"/>
    <e v="#N/A"/>
    <x v="2"/>
    <x v="3"/>
    <m/>
    <n v="0"/>
    <n v="0"/>
  </r>
  <r>
    <n v="91771"/>
    <s v="CA-4-PO-119"/>
    <e v="#N/A"/>
    <x v="2"/>
    <x v="3"/>
    <m/>
    <n v="0"/>
    <n v="0"/>
  </r>
  <r>
    <n v="91772"/>
    <s v="CA-4-PO-119"/>
    <e v="#N/A"/>
    <x v="2"/>
    <x v="3"/>
    <m/>
    <n v="0"/>
    <n v="0"/>
  </r>
  <r>
    <n v="91756"/>
    <s v="CA-4-PO-119"/>
    <e v="#N/A"/>
    <x v="2"/>
    <x v="3"/>
    <m/>
    <n v="0"/>
    <n v="0"/>
  </r>
  <r>
    <n v="91802"/>
    <s v="CA-4-PO-119"/>
    <e v="#N/A"/>
    <x v="2"/>
    <x v="3"/>
    <m/>
    <n v="0"/>
    <n v="0"/>
  </r>
  <r>
    <n v="91804"/>
    <s v="CA-4-PO-119"/>
    <e v="#N/A"/>
    <x v="2"/>
    <x v="3"/>
    <m/>
    <n v="0"/>
    <n v="0"/>
  </r>
  <r>
    <n v="91896"/>
    <s v="CA-4-PO-119"/>
    <e v="#N/A"/>
    <x v="2"/>
    <x v="3"/>
    <m/>
    <n v="0"/>
    <n v="0"/>
  </r>
  <r>
    <n v="91899"/>
    <s v="CA-4-PO-119"/>
    <e v="#N/A"/>
    <x v="2"/>
    <x v="3"/>
    <m/>
    <n v="0"/>
    <n v="0"/>
  </r>
  <r>
    <n v="91778"/>
    <s v="CA-4-PO-119"/>
    <e v="#N/A"/>
    <x v="2"/>
    <x v="3"/>
    <m/>
    <n v="0"/>
    <n v="0"/>
  </r>
  <r>
    <n v="90261"/>
    <s v="CA-4-PO-119"/>
    <e v="#N/A"/>
    <x v="2"/>
    <x v="3"/>
    <m/>
    <n v="0"/>
    <n v="0"/>
  </r>
  <r>
    <n v="91734"/>
    <s v="CA-4-PO-119"/>
    <e v="#N/A"/>
    <x v="2"/>
    <x v="3"/>
    <m/>
    <n v="0"/>
    <n v="0"/>
  </r>
  <r>
    <n v="91735"/>
    <s v="CA-4-PO-119"/>
    <e v="#N/A"/>
    <x v="2"/>
    <x v="3"/>
    <m/>
    <n v="0"/>
    <n v="0"/>
  </r>
  <r>
    <n v="91793"/>
    <s v="CA-4-PO-119"/>
    <e v="#N/A"/>
    <x v="2"/>
    <x v="3"/>
    <m/>
    <n v="0"/>
    <n v="0"/>
  </r>
  <r>
    <n v="93650"/>
    <s v="CA-7-FRE-161"/>
    <s v="STA_LAX_LASTMILE"/>
    <x v="3"/>
    <x v="1"/>
    <m/>
    <n v="3.3"/>
    <n v="1.6"/>
  </r>
  <r>
    <n v="93711"/>
    <s v="CA-7-FRE-161"/>
    <s v="STA_LAX_LASTMILE"/>
    <x v="3"/>
    <x v="1"/>
    <m/>
    <n v="23"/>
    <n v="7.4"/>
  </r>
  <r>
    <n v="93720"/>
    <s v="CA-7-FRE-161"/>
    <s v="STA_LAX_LASTMILE"/>
    <x v="3"/>
    <x v="1"/>
    <m/>
    <n v="31.6"/>
    <n v="11.6"/>
  </r>
  <r>
    <n v="93722"/>
    <s v="CA-7-FRE-161"/>
    <s v="STA_LAX_LASTMILE"/>
    <x v="3"/>
    <x v="1"/>
    <m/>
    <n v="46.4"/>
    <n v="17.600000000000001"/>
  </r>
  <r>
    <n v="93723"/>
    <s v="CA-7-FRE-161"/>
    <s v="STA_LAX_LASTMILE"/>
    <x v="3"/>
    <x v="1"/>
    <m/>
    <n v="11"/>
    <n v="3.3"/>
  </r>
  <r>
    <n v="93730"/>
    <s v="CA-7-FRE-161"/>
    <s v="STA_LAX_LASTMILE"/>
    <x v="3"/>
    <x v="1"/>
    <m/>
    <n v="8.6999999999999993"/>
    <n v="2.7"/>
  </r>
  <r>
    <n v="93652"/>
    <s v="CA-7-FRE-161"/>
    <s v="STA_LAX_LASTMILE"/>
    <x v="3"/>
    <x v="1"/>
    <m/>
    <n v="0.4"/>
    <n v="0"/>
  </r>
  <r>
    <n v="93701"/>
    <s v="CA-7-FRE-161"/>
    <s v="STA_LAX_LASTMILE"/>
    <x v="3"/>
    <x v="1"/>
    <m/>
    <n v="8.4"/>
    <n v="4.3"/>
  </r>
  <r>
    <n v="93702"/>
    <s v="CA-7-FRE-161"/>
    <s v="STA_LAX_LASTMILE"/>
    <x v="3"/>
    <x v="1"/>
    <m/>
    <n v="20"/>
    <n v="12.6"/>
  </r>
  <r>
    <n v="93703"/>
    <s v="CA-7-FRE-161"/>
    <s v="STA_LAX_LASTMILE"/>
    <x v="3"/>
    <x v="1"/>
    <m/>
    <n v="12.1"/>
    <n v="6.6"/>
  </r>
  <r>
    <n v="93704"/>
    <s v="CA-7-FRE-161"/>
    <s v="STA_LAX_LASTMILE"/>
    <x v="3"/>
    <x v="1"/>
    <m/>
    <n v="24.9"/>
    <n v="6.3"/>
  </r>
  <r>
    <n v="93705"/>
    <s v="CA-7-FRE-161"/>
    <s v="STA_LAX_LASTMILE"/>
    <x v="3"/>
    <x v="1"/>
    <m/>
    <n v="16.399999999999999"/>
    <n v="9"/>
  </r>
  <r>
    <n v="93710"/>
    <s v="CA-7-FRE-161"/>
    <s v="STA_LAX_LASTMILE"/>
    <x v="3"/>
    <x v="1"/>
    <m/>
    <n v="23.7"/>
    <n v="6"/>
  </r>
  <r>
    <n v="93721"/>
    <s v="CA-7-FRE-161"/>
    <s v="STA_LAX_LASTMILE"/>
    <x v="3"/>
    <x v="1"/>
    <m/>
    <n v="2"/>
    <n v="1"/>
  </r>
  <r>
    <n v="93726"/>
    <s v="CA-7-FRE-161"/>
    <s v="STA_LAX_LASTMILE"/>
    <x v="3"/>
    <x v="1"/>
    <m/>
    <n v="21.4"/>
    <n v="9.6"/>
  </r>
  <r>
    <n v="93728"/>
    <s v="CA-7-FRE-161"/>
    <s v="STA_LAX_LASTMILE"/>
    <x v="3"/>
    <x v="1"/>
    <m/>
    <n v="9.6999999999999993"/>
    <n v="4.4000000000000004"/>
  </r>
  <r>
    <n v="93611"/>
    <s v="CA-7-FRE-161"/>
    <s v="STA_LAX_LASTMILE"/>
    <x v="3"/>
    <x v="1"/>
    <m/>
    <n v="32.6"/>
    <n v="8.9"/>
  </r>
  <r>
    <n v="93612"/>
    <s v="CA-7-FRE-161"/>
    <s v="STA_LAX_LASTMILE"/>
    <x v="3"/>
    <x v="1"/>
    <m/>
    <n v="18.100000000000001"/>
    <n v="7"/>
  </r>
  <r>
    <n v="93619"/>
    <s v="CA-7-FRE-161"/>
    <s v="STA_LAX_LASTMILE"/>
    <x v="3"/>
    <x v="1"/>
    <m/>
    <n v="36.1"/>
    <n v="10.3"/>
  </r>
  <r>
    <n v="93657"/>
    <s v="CA-7-FRE-161"/>
    <s v="STA_LAX_LASTMILE"/>
    <x v="3"/>
    <x v="1"/>
    <m/>
    <n v="25.7"/>
    <n v="4.9000000000000004"/>
  </r>
  <r>
    <n v="93706"/>
    <s v="CA-7-FRE-161"/>
    <s v="STA_LAX_LASTMILE"/>
    <x v="3"/>
    <x v="1"/>
    <m/>
    <n v="13"/>
    <n v="5.6"/>
  </r>
  <r>
    <n v="93725"/>
    <s v="CA-7-FRE-161"/>
    <s v="STA_LAX_LASTMILE"/>
    <x v="3"/>
    <x v="1"/>
    <m/>
    <n v="12.3"/>
    <n v="6.1"/>
  </r>
  <r>
    <n v="93727"/>
    <s v="CA-7-FRE-161"/>
    <s v="STA_LAX_LASTMILE"/>
    <x v="3"/>
    <x v="1"/>
    <m/>
    <n v="46.7"/>
    <n v="21"/>
  </r>
  <r>
    <n v="93625"/>
    <s v="CA-7-FRE-161"/>
    <s v="STA_LAX_LASTMILE"/>
    <x v="3"/>
    <x v="1"/>
    <m/>
    <n v="5.9"/>
    <n v="1.9"/>
  </r>
  <r>
    <n v="93662"/>
    <s v="CA-7-FRE-161"/>
    <s v="STA_LAX_LASTMILE"/>
    <x v="3"/>
    <x v="1"/>
    <m/>
    <n v="14.9"/>
    <n v="5.9"/>
  </r>
  <r>
    <n v="89129"/>
    <s v="CA-10-LAS-28"/>
    <s v="STA_LAS_WODLOGISTICS"/>
    <x v="4"/>
    <x v="1"/>
    <m/>
    <n v="15.7"/>
    <n v="15"/>
  </r>
  <r>
    <n v="89166"/>
    <s v="CA-10-LAS-28"/>
    <s v="STA_LAS_WODLOGISTICS"/>
    <x v="4"/>
    <x v="1"/>
    <m/>
    <n v="13.1"/>
    <n v="7.9"/>
  </r>
  <r>
    <n v="89149"/>
    <s v="CA-10-LAS-28"/>
    <s v="STA_LAS_WODLOGISTICS"/>
    <x v="4"/>
    <x v="1"/>
    <m/>
    <n v="11.3"/>
    <n v="10.9"/>
  </r>
  <r>
    <n v="89143"/>
    <s v="CA-10-LAS-28"/>
    <s v="STA_LAS_WODLOGISTICS"/>
    <x v="4"/>
    <x v="1"/>
    <m/>
    <n v="4.0999999999999996"/>
    <n v="3.7"/>
  </r>
  <r>
    <n v="89130"/>
    <s v="CA-10-LAS-28"/>
    <s v="STA_LAS_WODLOGISTICS"/>
    <x v="4"/>
    <x v="1"/>
    <m/>
    <n v="8.9"/>
    <n v="8.6999999999999993"/>
  </r>
  <r>
    <n v="89131"/>
    <s v="CA-10-LAS-28"/>
    <s v="STA_LAS_WODLOGISTICS"/>
    <x v="4"/>
    <x v="1"/>
    <m/>
    <n v="14.3"/>
    <n v="13.4"/>
  </r>
  <r>
    <n v="89108"/>
    <s v="CA-10-LAS-28"/>
    <s v="STA_LAS_WODLOGISTICS"/>
    <x v="4"/>
    <x v="1"/>
    <m/>
    <n v="17.399999999999999"/>
    <n v="16.600000000000001"/>
  </r>
  <r>
    <n v="89138"/>
    <s v="CA-10-LAS-28"/>
    <s v="STA_LAS_WODLOGISTICS"/>
    <x v="4"/>
    <x v="1"/>
    <m/>
    <n v="8.3000000000000007"/>
    <n v="8"/>
  </r>
  <r>
    <n v="89134"/>
    <s v="CA-10-LAS-28"/>
    <s v="STA_LAS_WODLOGISTICS"/>
    <x v="4"/>
    <x v="1"/>
    <m/>
    <n v="6.1"/>
    <n v="5.9"/>
  </r>
  <r>
    <n v="89128"/>
    <s v="CA-10-LAS-28"/>
    <s v="STA_LAS_WODLOGISTICS"/>
    <x v="4"/>
    <x v="1"/>
    <m/>
    <n v="12.6"/>
    <n v="12.1"/>
  </r>
  <r>
    <n v="89145"/>
    <s v="CA-10-LAS-28"/>
    <s v="STA_LAS_WODLOGISTICS"/>
    <x v="4"/>
    <x v="1"/>
    <m/>
    <n v="6.6"/>
    <n v="6.4"/>
  </r>
  <r>
    <n v="89144"/>
    <s v="CA-10-LAS-28"/>
    <s v="STA_LAS_WODLOGISTICS"/>
    <x v="4"/>
    <x v="1"/>
    <m/>
    <n v="5.6"/>
    <n v="5.4"/>
  </r>
  <r>
    <n v="89107"/>
    <s v="CA-10-LAS-28"/>
    <s v="STA_LAS_WODLOGISTICS"/>
    <x v="4"/>
    <x v="1"/>
    <m/>
    <n v="9.4"/>
    <n v="9.3000000000000007"/>
  </r>
  <r>
    <n v="89081"/>
    <s v="CA-10-LAS-30"/>
    <s v="STA_LAS_WODLOGISTICS"/>
    <x v="4"/>
    <x v="1"/>
    <m/>
    <n v="8.1"/>
    <n v="7.6"/>
  </r>
  <r>
    <n v="89086"/>
    <s v="CA-10-LAS-30"/>
    <s v="STA_LAS_WODLOGISTICS"/>
    <x v="4"/>
    <x v="1"/>
    <m/>
    <n v="3.7"/>
    <n v="3.7"/>
  </r>
  <r>
    <n v="89084"/>
    <s v="CA-10-LAS-30"/>
    <s v="STA_LAS_WODLOGISTICS"/>
    <x v="4"/>
    <x v="1"/>
    <m/>
    <n v="12.7"/>
    <n v="11.3"/>
  </r>
  <r>
    <n v="89085"/>
    <s v="CA-10-LAS-30"/>
    <s v="STA_LAS_WODLOGISTICS"/>
    <x v="4"/>
    <x v="1"/>
    <m/>
    <n v="2.2999999999999998"/>
    <n v="2.2999999999999998"/>
  </r>
  <r>
    <n v="89031"/>
    <s v="CA-10-LAS-30"/>
    <s v="STA_LAS_WODLOGISTICS"/>
    <x v="4"/>
    <x v="1"/>
    <m/>
    <n v="20.9"/>
    <n v="19.3"/>
  </r>
  <r>
    <n v="89030"/>
    <s v="CA-10-LAS-30"/>
    <s v="STA_LAS_WODLOGISTICS"/>
    <x v="4"/>
    <x v="1"/>
    <m/>
    <n v="11"/>
    <n v="10.9"/>
  </r>
  <r>
    <n v="89032"/>
    <s v="CA-10-LAS-30"/>
    <s v="STA_LAS_WODLOGISTICS"/>
    <x v="4"/>
    <x v="1"/>
    <m/>
    <n v="16.7"/>
    <n v="16.3"/>
  </r>
  <r>
    <n v="89123"/>
    <s v="CA-10-LAS-32"/>
    <s v="STA_LAS_Shunle"/>
    <x v="4"/>
    <x v="1"/>
    <m/>
    <n v="13.9"/>
    <n v="13.7"/>
  </r>
  <r>
    <n v="89183"/>
    <s v="CA-10-LAS-32"/>
    <s v="STA_LAS_Shunle"/>
    <x v="4"/>
    <x v="1"/>
    <m/>
    <n v="12"/>
    <n v="11.4"/>
  </r>
  <r>
    <n v="89169"/>
    <s v="CA-10-LAS-32"/>
    <s v="STA_LAS_Shunle"/>
    <x v="4"/>
    <x v="1"/>
    <m/>
    <n v="12.3"/>
    <n v="5.7"/>
  </r>
  <r>
    <n v="89119"/>
    <s v="CA-10-LAS-32"/>
    <s v="STA_LAS_Shunle"/>
    <x v="4"/>
    <x v="1"/>
    <m/>
    <n v="25.7"/>
    <n v="12.3"/>
  </r>
  <r>
    <n v="89120"/>
    <s v="CA-10-LAS-32"/>
    <s v="STA_LAS_Shunle"/>
    <x v="4"/>
    <x v="1"/>
    <m/>
    <n v="7.1"/>
    <n v="7"/>
  </r>
  <r>
    <n v="89121"/>
    <s v="CA-10-LAS-32"/>
    <s v="STA_LAS_Shunle"/>
    <x v="4"/>
    <x v="1"/>
    <m/>
    <n v="22.4"/>
    <n v="22.1"/>
  </r>
  <r>
    <n v="89178"/>
    <s v="CA-10-LAS-32"/>
    <s v="STA_LAS_Shunle"/>
    <x v="4"/>
    <x v="1"/>
    <m/>
    <n v="16.7"/>
    <n v="15.3"/>
  </r>
  <r>
    <n v="89139"/>
    <s v="CA-10-LAS-32"/>
    <s v="STA_LAS_Shunle"/>
    <x v="4"/>
    <x v="1"/>
    <m/>
    <n v="21.7"/>
    <n v="21"/>
  </r>
  <r>
    <n v="89141"/>
    <s v="CA-10-LAS-32"/>
    <s v="STA_LAS_Shunle"/>
    <x v="4"/>
    <x v="1"/>
    <m/>
    <n v="14.6"/>
    <n v="13.6"/>
  </r>
  <r>
    <n v="89179"/>
    <s v="CA-10-LAS-32"/>
    <s v="STA_LAS_Shunle"/>
    <x v="4"/>
    <x v="0"/>
    <m/>
    <n v="2.6"/>
    <n v="2.1"/>
  </r>
  <r>
    <n v="89117"/>
    <s v="CA-10-LAS-34"/>
    <s v="STA_LAS_WODLOGISTICS"/>
    <x v="4"/>
    <x v="1"/>
    <m/>
    <n v="16.3"/>
    <n v="15.7"/>
  </r>
  <r>
    <n v="89147"/>
    <s v="CA-10-LAS-34"/>
    <s v="STA_LAS_WODLOGISTICS"/>
    <x v="4"/>
    <x v="1"/>
    <m/>
    <n v="16.600000000000001"/>
    <n v="16.3"/>
  </r>
  <r>
    <n v="89102"/>
    <s v="CA-10-LAS-34"/>
    <s v="STA_LAS_WODLOGISTICS"/>
    <x v="4"/>
    <x v="1"/>
    <m/>
    <n v="10.1"/>
    <n v="10.1"/>
  </r>
  <r>
    <n v="89103"/>
    <s v="CA-10-LAS-34"/>
    <s v="STA_LAS_WODLOGISTICS"/>
    <x v="4"/>
    <x v="1"/>
    <m/>
    <n v="14.1"/>
    <n v="13.9"/>
  </r>
  <r>
    <n v="89118"/>
    <s v="CA-10-LAS-34"/>
    <s v="STA_LAS_WODLOGISTICS"/>
    <x v="4"/>
    <x v="1"/>
    <m/>
    <n v="6.4"/>
    <n v="6.4"/>
  </r>
  <r>
    <n v="89146"/>
    <s v="CA-10-LAS-34"/>
    <s v="STA_LAS_WODLOGISTICS"/>
    <x v="4"/>
    <x v="1"/>
    <m/>
    <n v="6.4"/>
    <n v="6.1"/>
  </r>
  <r>
    <n v="89106"/>
    <s v="CA-10-LAS-34"/>
    <s v="STA_LAS_WODLOGISTICS"/>
    <x v="4"/>
    <x v="1"/>
    <m/>
    <n v="8.9"/>
    <n v="8.6"/>
  </r>
  <r>
    <n v="89135"/>
    <s v="CA-10-LAS-34"/>
    <s v="STA_LAS_WODLOGISTICS"/>
    <x v="4"/>
    <x v="1"/>
    <m/>
    <n v="11.4"/>
    <n v="11.1"/>
  </r>
  <r>
    <n v="89148"/>
    <s v="CA-10-LAS-34"/>
    <s v="STA_LAS_WODLOGISTICS"/>
    <x v="4"/>
    <x v="1"/>
    <m/>
    <n v="27.1"/>
    <n v="26.3"/>
  </r>
  <r>
    <n v="89113"/>
    <s v="CA-10-LAS-34"/>
    <s v="STA_LAS_WODLOGISTICS"/>
    <x v="4"/>
    <x v="1"/>
    <m/>
    <n v="16.7"/>
    <n v="16"/>
  </r>
  <r>
    <n v="89156"/>
    <s v="CA-10-LAS-36"/>
    <s v="STA_LAS_Shunle"/>
    <x v="4"/>
    <x v="1"/>
    <m/>
    <n v="8.3000000000000007"/>
    <n v="7.9"/>
  </r>
  <r>
    <n v="89101"/>
    <s v="CA-10-LAS-36"/>
    <s v="STA_LAS_Shunle"/>
    <x v="4"/>
    <x v="1"/>
    <m/>
    <n v="11.3"/>
    <n v="10.7"/>
  </r>
  <r>
    <n v="89110"/>
    <s v="CA-10-LAS-36"/>
    <s v="STA_LAS_Shunle"/>
    <x v="4"/>
    <x v="1"/>
    <m/>
    <n v="22.3"/>
    <n v="21.3"/>
  </r>
  <r>
    <n v="89142"/>
    <s v="CA-10-LAS-36"/>
    <s v="STA_LAS_Shunle"/>
    <x v="4"/>
    <x v="1"/>
    <m/>
    <n v="9.3000000000000007"/>
    <n v="9"/>
  </r>
  <r>
    <n v="89122"/>
    <s v="CA-10-LAS-36"/>
    <s v="STA_LAS_Shunle"/>
    <x v="4"/>
    <x v="1"/>
    <m/>
    <n v="19"/>
    <n v="18.100000000000001"/>
  </r>
  <r>
    <n v="89104"/>
    <s v="CA-10-LAS-36"/>
    <s v="STA_LAS_Shunle"/>
    <x v="4"/>
    <x v="1"/>
    <m/>
    <n v="11.3"/>
    <n v="10.7"/>
  </r>
  <r>
    <n v="89014"/>
    <s v="CA-10-LAS-38"/>
    <s v="STA_LAS_Shunle"/>
    <x v="4"/>
    <x v="1"/>
    <m/>
    <n v="11.9"/>
    <n v="11.7"/>
  </r>
  <r>
    <n v="89012"/>
    <s v="CA-10-LAS-38"/>
    <s v="STA_LAS_Shunle"/>
    <x v="4"/>
    <x v="1"/>
    <m/>
    <n v="10.1"/>
    <n v="9.4"/>
  </r>
  <r>
    <n v="89074"/>
    <s v="CA-10-LAS-38"/>
    <s v="STA_LAS_Shunle"/>
    <x v="4"/>
    <x v="1"/>
    <m/>
    <n v="14"/>
    <n v="13.7"/>
  </r>
  <r>
    <n v="89011"/>
    <s v="CA-10-LAS-38"/>
    <s v="STA_LAS_Shunle"/>
    <x v="4"/>
    <x v="1"/>
    <m/>
    <n v="15.4"/>
    <n v="14.4"/>
  </r>
  <r>
    <n v="89015"/>
    <s v="CA-10-LAS-38"/>
    <s v="STA_LAS_Shunle"/>
    <x v="4"/>
    <x v="1"/>
    <m/>
    <n v="12.4"/>
    <n v="12"/>
  </r>
  <r>
    <n v="89002"/>
    <s v="CA-10-LAS-38"/>
    <s v="STA_LAS_Shunle"/>
    <x v="4"/>
    <x v="1"/>
    <m/>
    <n v="8.1"/>
    <n v="7.4"/>
  </r>
  <r>
    <n v="89052"/>
    <s v="CA-10-LAS-38"/>
    <s v="STA_LAS_Shunle"/>
    <x v="4"/>
    <x v="1"/>
    <m/>
    <n v="18.399999999999999"/>
    <n v="18.100000000000001"/>
  </r>
  <r>
    <n v="89044"/>
    <s v="CA-10-LAS-38"/>
    <s v="STA_LAS_Shunle"/>
    <x v="4"/>
    <x v="1"/>
    <m/>
    <n v="10.1"/>
    <n v="9.4"/>
  </r>
  <r>
    <n v="95352"/>
    <s v="CA-4-PO-119"/>
    <e v="#N/A"/>
    <x v="5"/>
    <x v="3"/>
    <m/>
    <n v="0"/>
    <n v="0"/>
  </r>
  <r>
    <n v="95353"/>
    <s v="CA-4-PO-119"/>
    <e v="#N/A"/>
    <x v="5"/>
    <x v="3"/>
    <m/>
    <n v="0"/>
    <n v="0"/>
  </r>
  <r>
    <n v="95381"/>
    <s v="CA-4-PO-119"/>
    <e v="#N/A"/>
    <x v="5"/>
    <x v="3"/>
    <m/>
    <n v="0"/>
    <n v="0"/>
  </r>
  <r>
    <n v="95397"/>
    <s v="CA-4-PO-119"/>
    <e v="#N/A"/>
    <x v="5"/>
    <x v="3"/>
    <m/>
    <n v="0"/>
    <n v="0"/>
  </r>
  <r>
    <n v="95368"/>
    <s v="CA-8-MOD-105"/>
    <s v="STA_SAC_QUICK"/>
    <x v="5"/>
    <x v="1"/>
    <m/>
    <n v="5.0999999999999996"/>
    <n v="5.0999999999999996"/>
  </r>
  <r>
    <n v="95358"/>
    <s v="CA-8-MOD-105"/>
    <s v="STA_SAC_QUICK"/>
    <x v="5"/>
    <x v="1"/>
    <m/>
    <n v="7.6"/>
    <n v="7.3"/>
  </r>
  <r>
    <n v="95356"/>
    <s v="CA-8-MOD-105"/>
    <s v="STA_SAC_QUICK"/>
    <x v="5"/>
    <x v="1"/>
    <m/>
    <n v="8.9"/>
    <n v="8.6999999999999993"/>
  </r>
  <r>
    <n v="95385"/>
    <s v="CA-8-MOD-105"/>
    <s v="STA_SAC_QUICK"/>
    <x v="5"/>
    <x v="1"/>
    <m/>
    <n v="0"/>
    <n v="0"/>
  </r>
  <r>
    <n v="95367"/>
    <s v="CA-8-MOD-105"/>
    <s v="STA_SAC_QUICK"/>
    <x v="5"/>
    <x v="1"/>
    <m/>
    <n v="7.9"/>
    <n v="7.7"/>
  </r>
  <r>
    <n v="95350"/>
    <s v="CA-8-MOD-105"/>
    <s v="STA_SAC_QUICK"/>
    <x v="5"/>
    <x v="1"/>
    <m/>
    <n v="11"/>
    <n v="10.7"/>
  </r>
  <r>
    <n v="95351"/>
    <s v="CA-8-MOD-105"/>
    <s v="STA_SAC_QUICK"/>
    <x v="5"/>
    <x v="1"/>
    <m/>
    <n v="8.9"/>
    <n v="8.9"/>
  </r>
  <r>
    <n v="95354"/>
    <s v="CA-8-MOD-105"/>
    <s v="STA_SAC_QUICK"/>
    <x v="5"/>
    <x v="1"/>
    <m/>
    <n v="5"/>
    <n v="4.9000000000000004"/>
  </r>
  <r>
    <n v="95355"/>
    <s v="CA-8-MOD-105"/>
    <s v="STA_SAC_QUICK"/>
    <x v="5"/>
    <x v="1"/>
    <m/>
    <n v="14"/>
    <n v="13.9"/>
  </r>
  <r>
    <n v="95357"/>
    <s v="CA-8-MOD-105"/>
    <s v="STA_SAC_QUICK"/>
    <x v="5"/>
    <x v="1"/>
    <m/>
    <n v="1.6"/>
    <n v="1.6"/>
  </r>
  <r>
    <n v="95316"/>
    <s v="CA-8-MOD-105"/>
    <s v="STA_SAC_QUICK"/>
    <x v="5"/>
    <x v="1"/>
    <m/>
    <n v="5"/>
    <n v="0.7"/>
  </r>
  <r>
    <n v="95319"/>
    <s v="CA-8-MOD-105"/>
    <s v="STA_SAC_QUICK"/>
    <x v="5"/>
    <x v="1"/>
    <m/>
    <n v="0.3"/>
    <n v="0.3"/>
  </r>
  <r>
    <n v="95361"/>
    <s v="CA-8-MOD-105"/>
    <s v="STA_SAC_QUICK"/>
    <x v="5"/>
    <x v="1"/>
    <m/>
    <n v="19.7"/>
    <n v="5.7"/>
  </r>
  <r>
    <n v="95386"/>
    <s v="CA-8-MOD-105"/>
    <s v="STA_SAC_QUICK"/>
    <x v="5"/>
    <x v="1"/>
    <m/>
    <n v="7.6"/>
    <n v="2.9"/>
  </r>
  <r>
    <n v="95323"/>
    <s v="CA-8-MOD-105"/>
    <s v="STA_SAC_QUICK"/>
    <x v="5"/>
    <x v="1"/>
    <m/>
    <n v="1.4"/>
    <n v="0"/>
  </r>
  <r>
    <n v="95326"/>
    <s v="CA-8-MOD-105"/>
    <s v="STA_SAC_QUICK"/>
    <x v="5"/>
    <x v="1"/>
    <m/>
    <n v="1.1000000000000001"/>
    <n v="1"/>
  </r>
  <r>
    <n v="95307"/>
    <s v="CA-8-MOD-105"/>
    <s v="STA_SAC_QUICK"/>
    <x v="5"/>
    <x v="1"/>
    <m/>
    <n v="9"/>
    <n v="8.6"/>
  </r>
  <r>
    <n v="95328"/>
    <s v="CA-8-MOD-105"/>
    <s v="STA_SAC_QUICK"/>
    <x v="5"/>
    <x v="1"/>
    <m/>
    <n v="1.1000000000000001"/>
    <n v="1.1000000000000001"/>
  </r>
  <r>
    <n v="95382"/>
    <s v="CA-8-MOD-105"/>
    <s v="STA_SAC_QUICK"/>
    <x v="5"/>
    <x v="1"/>
    <m/>
    <n v="9.1"/>
    <n v="8.9"/>
  </r>
  <r>
    <n v="95380"/>
    <s v="CA-8-MOD-105"/>
    <s v="STA_SAC_QUICK"/>
    <x v="5"/>
    <x v="1"/>
    <m/>
    <n v="7"/>
    <n v="6.7"/>
  </r>
  <r>
    <n v="95360"/>
    <s v="CA-8-MOD-105"/>
    <s v="STA_SAC_QUICK"/>
    <x v="5"/>
    <x v="1"/>
    <m/>
    <n v="6.4"/>
    <n v="2.2999999999999998"/>
  </r>
  <r>
    <n v="95363"/>
    <s v="CA-8-MOD-105"/>
    <s v="STA_SAC_QUICK"/>
    <x v="5"/>
    <x v="1"/>
    <m/>
    <n v="41.7"/>
    <n v="8"/>
  </r>
  <r>
    <n v="91763"/>
    <s v="CA-3-ONT-48"/>
    <s v="STA_LAX_ChinaOcean"/>
    <x v="6"/>
    <x v="0"/>
    <m/>
    <n v="0.3"/>
    <n v="0"/>
  </r>
  <r>
    <n v="91762"/>
    <s v="CA-3-ONT-48"/>
    <s v="STA_LAX_ChinaOcean"/>
    <x v="6"/>
    <x v="0"/>
    <m/>
    <n v="0.7"/>
    <n v="0"/>
  </r>
  <r>
    <n v="91766"/>
    <s v="CA-3-ONT-48"/>
    <s v="STA_LAX_ChinaOcean"/>
    <x v="6"/>
    <x v="0"/>
    <m/>
    <n v="0.7"/>
    <n v="0"/>
  </r>
  <r>
    <n v="91767"/>
    <s v="CA-3-ONT-48"/>
    <s v="STA_LAX_ChinaOcean"/>
    <x v="6"/>
    <x v="0"/>
    <m/>
    <n v="0.4"/>
    <n v="0"/>
  </r>
  <r>
    <n v="91768"/>
    <s v="CA-3-ONT-48"/>
    <s v="STA_LAX_ChinaOcean"/>
    <x v="6"/>
    <x v="0"/>
    <m/>
    <n v="0.7"/>
    <n v="0"/>
  </r>
  <r>
    <n v="91708"/>
    <s v="CA-3-ONT-50"/>
    <s v="STA_LAX_ChinaOcean"/>
    <x v="6"/>
    <x v="0"/>
    <m/>
    <n v="0.1"/>
    <n v="0"/>
  </r>
  <r>
    <n v="91710"/>
    <s v="CA-3-ONT-50"/>
    <s v="STA_LAX_ChinaOcean"/>
    <x v="6"/>
    <x v="0"/>
    <m/>
    <n v="0.4"/>
    <n v="0"/>
  </r>
  <r>
    <n v="91709"/>
    <s v="CA-3-ONT-50"/>
    <s v="STA_LAX_ChinaOcean"/>
    <x v="6"/>
    <x v="0"/>
    <m/>
    <n v="1"/>
    <n v="0"/>
  </r>
  <r>
    <n v="91761"/>
    <s v="CA-3-ONT-52"/>
    <s v="STA_LAX_ChinaOcean"/>
    <x v="6"/>
    <x v="0"/>
    <m/>
    <n v="0.9"/>
    <n v="0"/>
  </r>
  <r>
    <n v="91764"/>
    <s v="CA-3-ONT-52"/>
    <s v="STA_LAX_ChinaOcean"/>
    <x v="6"/>
    <x v="0"/>
    <m/>
    <n v="0.4"/>
    <n v="0"/>
  </r>
  <r>
    <n v="91758"/>
    <s v="CA-3-ONT-52"/>
    <s v="STA_LAX_ChinaOcean"/>
    <x v="6"/>
    <x v="1"/>
    <m/>
    <n v="0"/>
    <n v="0"/>
  </r>
  <r>
    <n v="91730"/>
    <s v="CA-3-ONT-52"/>
    <s v="STA_LAX_ChinaOcean"/>
    <x v="6"/>
    <x v="0"/>
    <m/>
    <n v="1.4"/>
    <n v="0"/>
  </r>
  <r>
    <n v="91737"/>
    <s v="CA-3-ONT-52"/>
    <s v="STA_LAX_ChinaOcean"/>
    <x v="6"/>
    <x v="0"/>
    <m/>
    <n v="0.7"/>
    <n v="0"/>
  </r>
  <r>
    <n v="91701"/>
    <s v="CA-3-ONT-52"/>
    <s v="STA_LAX_ChinaOcean"/>
    <x v="6"/>
    <x v="0"/>
    <m/>
    <n v="0.6"/>
    <n v="0"/>
  </r>
  <r>
    <n v="91784"/>
    <s v="CA-3-ONT-52"/>
    <s v="STA_LAX_ChinaOcean"/>
    <x v="6"/>
    <x v="0"/>
    <m/>
    <n v="0.3"/>
    <n v="0"/>
  </r>
  <r>
    <n v="91786"/>
    <s v="CA-3-ONT-52"/>
    <s v="STA_LAX_ChinaOcean"/>
    <x v="6"/>
    <x v="0"/>
    <m/>
    <n v="0.4"/>
    <n v="0"/>
  </r>
  <r>
    <n v="92878"/>
    <s v="CA-3-ONT-54"/>
    <s v="STA_LAX_LEWINS"/>
    <x v="6"/>
    <x v="1"/>
    <m/>
    <n v="2.4"/>
    <n v="0"/>
  </r>
  <r>
    <n v="92879"/>
    <s v="CA-3-ONT-54"/>
    <s v="STA_LAX_LEWINS"/>
    <x v="6"/>
    <x v="1"/>
    <m/>
    <n v="0.3"/>
    <n v="0"/>
  </r>
  <r>
    <n v="92880"/>
    <s v="CA-3-ONT-54"/>
    <s v="STA_LAX_LEWINS"/>
    <x v="6"/>
    <x v="1"/>
    <m/>
    <n v="0.4"/>
    <n v="0"/>
  </r>
  <r>
    <n v="92881"/>
    <s v="CA-3-ONT-54"/>
    <s v="STA_LAX_LEWINS"/>
    <x v="6"/>
    <x v="1"/>
    <m/>
    <n v="0"/>
    <n v="0"/>
  </r>
  <r>
    <n v="92882"/>
    <s v="CA-3-ONT-54"/>
    <s v="STA_LAX_LEWINS"/>
    <x v="6"/>
    <x v="1"/>
    <m/>
    <n v="0.3"/>
    <n v="0"/>
  </r>
  <r>
    <n v="92883"/>
    <s v="CA-3-ONT-54"/>
    <s v="STA_LAX_LEWINS"/>
    <x v="6"/>
    <x v="1"/>
    <m/>
    <n v="0"/>
    <n v="0"/>
  </r>
  <r>
    <n v="92860"/>
    <s v="CA-3-ONT-54"/>
    <s v="STA_LAX_LEWINS"/>
    <x v="6"/>
    <x v="1"/>
    <m/>
    <n v="0.1"/>
    <n v="0"/>
  </r>
  <r>
    <n v="91739"/>
    <s v="CA-3-ONT-56"/>
    <s v="STA_LAX_ChinaOcean"/>
    <x v="6"/>
    <x v="0"/>
    <m/>
    <n v="0.3"/>
    <n v="0"/>
  </r>
  <r>
    <n v="92376"/>
    <s v="CA-3-ONT-56"/>
    <s v="STA_LAX_ChinaOcean"/>
    <x v="6"/>
    <x v="0"/>
    <m/>
    <n v="0.9"/>
    <n v="0"/>
  </r>
  <r>
    <n v="92377"/>
    <s v="CA-3-ONT-56"/>
    <s v="STA_LAX_ChinaOcean"/>
    <x v="6"/>
    <x v="0"/>
    <m/>
    <n v="0"/>
    <n v="0"/>
  </r>
  <r>
    <n v="92335"/>
    <s v="CA-3-ONT-56"/>
    <s v="STA_LAX_ChinaOcean"/>
    <x v="6"/>
    <x v="0"/>
    <m/>
    <n v="0.7"/>
    <n v="0"/>
  </r>
  <r>
    <n v="92336"/>
    <s v="CA-3-ONT-56"/>
    <s v="STA_LAX_ChinaOcean"/>
    <x v="6"/>
    <x v="0"/>
    <m/>
    <n v="1"/>
    <n v="0"/>
  </r>
  <r>
    <n v="92337"/>
    <s v="CA-3-ONT-56"/>
    <s v="STA_LAX_ChinaOcean"/>
    <x v="6"/>
    <x v="0"/>
    <m/>
    <n v="0.3"/>
    <n v="0"/>
  </r>
  <r>
    <n v="92316"/>
    <s v="CA-3-ONT-56"/>
    <s v="STA_LAX_ChinaOcean"/>
    <x v="6"/>
    <x v="0"/>
    <m/>
    <n v="0.4"/>
    <n v="0"/>
  </r>
  <r>
    <n v="92522"/>
    <s v="CA-3-ONT-58"/>
    <s v="STA_LAX_LEWINS"/>
    <x v="6"/>
    <x v="1"/>
    <m/>
    <n v="0"/>
    <n v="0"/>
  </r>
  <r>
    <n v="92501"/>
    <s v="CA-3-ONT-58"/>
    <s v="STA_LAX_LEWINS"/>
    <x v="6"/>
    <x v="1"/>
    <m/>
    <n v="0.4"/>
    <n v="0"/>
  </r>
  <r>
    <n v="92503"/>
    <s v="CA-3-ONT-58"/>
    <s v="STA_LAX_LEWINS"/>
    <x v="6"/>
    <x v="1"/>
    <m/>
    <n v="1.9"/>
    <n v="0"/>
  </r>
  <r>
    <n v="92504"/>
    <s v="CA-3-ONT-58"/>
    <s v="STA_LAX_LEWINS"/>
    <x v="6"/>
    <x v="1"/>
    <m/>
    <n v="16.7"/>
    <n v="15.7"/>
  </r>
  <r>
    <n v="92505"/>
    <s v="CA-3-ONT-58"/>
    <s v="STA_LAX_LEWINS"/>
    <x v="6"/>
    <x v="1"/>
    <m/>
    <n v="1.1000000000000001"/>
    <n v="0"/>
  </r>
  <r>
    <n v="92506"/>
    <s v="CA-3-ONT-60"/>
    <s v="STA_LAX_LEWINS"/>
    <x v="6"/>
    <x v="1"/>
    <m/>
    <n v="0.7"/>
    <n v="0"/>
  </r>
  <r>
    <n v="92507"/>
    <s v="CA-3-ONT-60"/>
    <s v="STA_LAX_LEWINS"/>
    <x v="6"/>
    <x v="1"/>
    <m/>
    <n v="0.6"/>
    <n v="0.1"/>
  </r>
  <r>
    <n v="92521"/>
    <s v="CA-3-ONT-60"/>
    <s v="STA_LAX_LEWINS"/>
    <x v="6"/>
    <x v="1"/>
    <m/>
    <n v="0"/>
    <n v="0"/>
  </r>
  <r>
    <n v="92508"/>
    <s v="CA-3-ONT-60"/>
    <s v="STA_LAX_LEWINS"/>
    <x v="6"/>
    <x v="1"/>
    <m/>
    <n v="11.7"/>
    <n v="10.4"/>
  </r>
  <r>
    <n v="92509"/>
    <s v="CA-3-ONT-60"/>
    <s v="STA_LAX_LEWINS"/>
    <x v="6"/>
    <x v="1"/>
    <m/>
    <n v="1.9"/>
    <n v="0"/>
  </r>
  <r>
    <n v="91752"/>
    <s v="CA-3-ONT-60"/>
    <s v="STA_LAX_LEWINS"/>
    <x v="6"/>
    <x v="1"/>
    <m/>
    <n v="0"/>
    <n v="0"/>
  </r>
  <r>
    <n v="92518"/>
    <s v="CA-3-ONT-60"/>
    <s v="STA_LAX_LEWINS"/>
    <x v="6"/>
    <x v="0"/>
    <m/>
    <n v="0"/>
    <n v="0"/>
  </r>
  <r>
    <n v="92313"/>
    <s v="CA-3-ONT-62"/>
    <s v="STA_LAX_SDG"/>
    <x v="6"/>
    <x v="0"/>
    <m/>
    <n v="0"/>
    <n v="0"/>
  </r>
  <r>
    <n v="92324"/>
    <s v="CA-3-ONT-62"/>
    <s v="STA_LAX_SDG"/>
    <x v="6"/>
    <x v="0"/>
    <m/>
    <n v="0.4"/>
    <n v="0"/>
  </r>
  <r>
    <n v="92373"/>
    <s v="CA-3-ONT-62"/>
    <s v="STA_LAX_SDG"/>
    <x v="6"/>
    <x v="1"/>
    <m/>
    <n v="3.7"/>
    <n v="0"/>
  </r>
  <r>
    <n v="92318"/>
    <s v="CA-3-ONT-62"/>
    <s v="STA_LAX_SDG"/>
    <x v="6"/>
    <x v="1"/>
    <m/>
    <n v="0"/>
    <n v="0"/>
  </r>
  <r>
    <n v="92374"/>
    <s v="CA-3-ONT-62"/>
    <s v="STA_LAX_SDG"/>
    <x v="6"/>
    <x v="0"/>
    <m/>
    <n v="0.4"/>
    <n v="0"/>
  </r>
  <r>
    <n v="92359"/>
    <s v="CA-3-ONT-62"/>
    <s v="STA_LAX_SDG"/>
    <x v="6"/>
    <x v="1"/>
    <m/>
    <n v="1.4"/>
    <n v="0"/>
  </r>
  <r>
    <n v="92350"/>
    <s v="CA-3-ONT-62"/>
    <s v="STA_LAX_SDG"/>
    <x v="6"/>
    <x v="1"/>
    <s v="邮寄"/>
    <n v="0.1"/>
    <n v="0"/>
  </r>
  <r>
    <n v="92354"/>
    <s v="CA-3-ONT-62"/>
    <s v="STA_LAX_SDG"/>
    <x v="6"/>
    <x v="0"/>
    <m/>
    <n v="0.3"/>
    <n v="0"/>
  </r>
  <r>
    <n v="92357"/>
    <s v="CA-3-ONT-62"/>
    <s v="STA_LAX_SDG"/>
    <x v="6"/>
    <x v="1"/>
    <m/>
    <n v="0"/>
    <n v="0"/>
  </r>
  <r>
    <n v="92403"/>
    <s v="CA-3-ONT-62"/>
    <s v="STA_LAX_SDG"/>
    <x v="6"/>
    <x v="1"/>
    <m/>
    <n v="0"/>
    <n v="0"/>
  </r>
  <r>
    <n v="92404"/>
    <s v="CA-3-ONT-64"/>
    <s v="STA_LAX_ChinaOcean"/>
    <x v="6"/>
    <x v="0"/>
    <m/>
    <n v="0.4"/>
    <n v="0"/>
  </r>
  <r>
    <n v="92405"/>
    <s v="CA-3-ONT-64"/>
    <s v="STA_LAX_ChinaOcean"/>
    <x v="6"/>
    <x v="0"/>
    <m/>
    <n v="0.1"/>
    <n v="0"/>
  </r>
  <r>
    <n v="92415"/>
    <s v="CA-3-ONT-64"/>
    <s v="STA_LAX_ChinaOcean"/>
    <x v="6"/>
    <x v="0"/>
    <m/>
    <n v="0.4"/>
    <n v="0"/>
  </r>
  <r>
    <n v="92346"/>
    <s v="CA-3-ONT-64"/>
    <s v="STA_LAX_ChinaOcean"/>
    <x v="6"/>
    <x v="0"/>
    <m/>
    <n v="0.1"/>
    <n v="0"/>
  </r>
  <r>
    <n v="92401"/>
    <s v="CA-3-ONT-64"/>
    <s v="STA_LAX_ChinaOcean"/>
    <x v="6"/>
    <x v="1"/>
    <s v="邮寄"/>
    <n v="0.4"/>
    <n v="0"/>
  </r>
  <r>
    <n v="92407"/>
    <s v="CA-3-ONT-64"/>
    <s v="STA_LAX_ChinaOcean"/>
    <x v="6"/>
    <x v="2"/>
    <m/>
    <n v="19.600000000000001"/>
    <n v="0"/>
  </r>
  <r>
    <n v="92408"/>
    <s v="CA-3-ONT-64"/>
    <s v="STA_LAX_ChinaOcean"/>
    <x v="6"/>
    <x v="0"/>
    <m/>
    <n v="0"/>
    <n v="0"/>
  </r>
  <r>
    <n v="92410"/>
    <s v="CA-3-ONT-64"/>
    <s v="STA_LAX_ChinaOcean"/>
    <x v="6"/>
    <x v="0"/>
    <m/>
    <n v="0.3"/>
    <n v="0.1"/>
  </r>
  <r>
    <n v="92411"/>
    <s v="CA-3-ONT-64"/>
    <s v="STA_LAX_ChinaOcean"/>
    <x v="6"/>
    <x v="0"/>
    <m/>
    <n v="0.3"/>
    <n v="0"/>
  </r>
  <r>
    <n v="92418"/>
    <s v="CA-3-ONT-64"/>
    <s v="STA_LAX_ChinaOcean"/>
    <x v="6"/>
    <x v="1"/>
    <m/>
    <n v="0"/>
    <n v="0"/>
  </r>
  <r>
    <n v="92344"/>
    <s v="CA-3-ONT-78"/>
    <s v="STA_LAX_SDG"/>
    <x v="6"/>
    <x v="1"/>
    <m/>
    <n v="0"/>
    <n v="0"/>
  </r>
  <r>
    <n v="92345"/>
    <s v="CA-3-ONT-78"/>
    <s v="STA_LAX_SDG"/>
    <x v="6"/>
    <x v="1"/>
    <m/>
    <n v="31.9"/>
    <n v="0"/>
  </r>
  <r>
    <n v="92392"/>
    <s v="CA-3-ONT-78"/>
    <s v="STA_LAX_SDG"/>
    <x v="6"/>
    <x v="1"/>
    <m/>
    <n v="16.7"/>
    <n v="0"/>
  </r>
  <r>
    <n v="92395"/>
    <s v="CA-3-ONT-78"/>
    <s v="STA_LAX_SDG"/>
    <x v="6"/>
    <x v="1"/>
    <m/>
    <n v="0"/>
    <n v="0"/>
  </r>
  <r>
    <n v="92394"/>
    <s v="CA-3-ONT-78"/>
    <s v="STA_LAX_SDG"/>
    <x v="6"/>
    <x v="1"/>
    <m/>
    <n v="0"/>
    <n v="0"/>
  </r>
  <r>
    <n v="92307"/>
    <s v="CA-3-ONT-78"/>
    <s v="STA_LAX_SDG"/>
    <x v="6"/>
    <x v="1"/>
    <m/>
    <n v="0"/>
    <n v="0"/>
  </r>
  <r>
    <n v="92308"/>
    <s v="CA-3-ONT-78"/>
    <s v="STA_LAX_SDG"/>
    <x v="6"/>
    <x v="1"/>
    <m/>
    <n v="0"/>
    <n v="0"/>
  </r>
  <r>
    <n v="92647"/>
    <s v="CA-2-ORG-10"/>
    <s v="STA_LAX_ChinaOcean"/>
    <x v="7"/>
    <x v="0"/>
    <m/>
    <n v="0.3"/>
    <n v="0"/>
  </r>
  <r>
    <n v="92649"/>
    <s v="CA-2-ORG-10"/>
    <s v="STA_LAX_ChinaOcean"/>
    <x v="7"/>
    <x v="0"/>
    <m/>
    <n v="0.4"/>
    <n v="0"/>
  </r>
  <r>
    <n v="90740"/>
    <s v="CA-2-ORG-10"/>
    <s v="STA_LAX_ChinaOcean"/>
    <x v="7"/>
    <x v="0"/>
    <m/>
    <n v="5"/>
    <n v="5"/>
  </r>
  <r>
    <n v="92683"/>
    <s v="CA-2-ORG-10"/>
    <s v="STA_LAX_ChinaOcean"/>
    <x v="7"/>
    <x v="0"/>
    <m/>
    <n v="0.3"/>
    <n v="0"/>
  </r>
  <r>
    <n v="92844"/>
    <s v="CA-2-ORG-10"/>
    <s v="STA_LAX_ChinaOcean"/>
    <x v="7"/>
    <x v="0"/>
    <m/>
    <n v="0.3"/>
    <n v="0"/>
  </r>
  <r>
    <n v="92843"/>
    <s v="CA-2-ORG-10"/>
    <s v="STA_LAX_ChinaOcean"/>
    <x v="7"/>
    <x v="0"/>
    <m/>
    <n v="0.1"/>
    <n v="0"/>
  </r>
  <r>
    <n v="92655"/>
    <s v="CA-2-ORG-10"/>
    <s v="STA_LAX_ChinaOcean"/>
    <x v="7"/>
    <x v="0"/>
    <m/>
    <n v="5.6"/>
    <n v="5.4"/>
  </r>
  <r>
    <n v="92805"/>
    <s v="CA-2-ORG-12"/>
    <s v="STA_LAX_ChinaOcean"/>
    <x v="7"/>
    <x v="0"/>
    <m/>
    <n v="0.6"/>
    <n v="0"/>
  </r>
  <r>
    <n v="92806"/>
    <s v="CA-2-ORG-12"/>
    <s v="STA_LAX_ChinaOcean"/>
    <x v="7"/>
    <x v="0"/>
    <m/>
    <n v="0.3"/>
    <n v="0"/>
  </r>
  <r>
    <n v="92868"/>
    <s v="CA-2-ORG-12"/>
    <s v="STA_LAX_ChinaOcean"/>
    <x v="7"/>
    <x v="0"/>
    <m/>
    <n v="0.3"/>
    <n v="0"/>
  </r>
  <r>
    <n v="92869"/>
    <s v="CA-2-ORG-12"/>
    <s v="STA_LAX_ChinaOcean"/>
    <x v="7"/>
    <x v="0"/>
    <m/>
    <n v="0.4"/>
    <n v="0"/>
  </r>
  <r>
    <n v="92865"/>
    <s v="CA-2-ORG-12"/>
    <s v="STA_LAX_ChinaOcean"/>
    <x v="7"/>
    <x v="0"/>
    <m/>
    <n v="0.1"/>
    <n v="0"/>
  </r>
  <r>
    <n v="92866"/>
    <s v="CA-2-ORG-12"/>
    <s v="STA_LAX_ChinaOcean"/>
    <x v="7"/>
    <x v="0"/>
    <m/>
    <n v="3.4"/>
    <n v="3.3"/>
  </r>
  <r>
    <n v="90621"/>
    <s v="CA-2-ORG-14"/>
    <s v="STA_LAX_ChinaOcean"/>
    <x v="7"/>
    <x v="0"/>
    <m/>
    <n v="0"/>
    <n v="0"/>
  </r>
  <r>
    <n v="90620"/>
    <s v="CA-2-ORG-14"/>
    <s v="STA_LAX_ChinaOcean"/>
    <x v="7"/>
    <x v="0"/>
    <m/>
    <n v="0.1"/>
    <n v="0"/>
  </r>
  <r>
    <n v="90623"/>
    <s v="CA-2-ORG-14"/>
    <s v="STA_LAX_ChinaOcean"/>
    <x v="7"/>
    <x v="0"/>
    <m/>
    <n v="0.1"/>
    <n v="0"/>
  </r>
  <r>
    <n v="92620"/>
    <s v="CA-2-ORG-16"/>
    <s v="STA_LAX_ChinaOcean"/>
    <x v="7"/>
    <x v="0"/>
    <m/>
    <n v="0"/>
    <n v="0"/>
  </r>
  <r>
    <n v="92618"/>
    <s v="CA-2-ORG-16"/>
    <s v="STA_LAX_ChinaOcean"/>
    <x v="7"/>
    <x v="0"/>
    <m/>
    <n v="0.1"/>
    <n v="0"/>
  </r>
  <r>
    <n v="92604"/>
    <s v="CA-2-ORG-18"/>
    <s v="STA_LAX_YXY"/>
    <x v="7"/>
    <x v="0"/>
    <m/>
    <n v="0.1"/>
    <n v="0"/>
  </r>
  <r>
    <n v="92612"/>
    <s v="CA-2-ORG-18"/>
    <s v="STA_LAX_YXY"/>
    <x v="7"/>
    <x v="0"/>
    <m/>
    <n v="0.1"/>
    <n v="0"/>
  </r>
  <r>
    <n v="92614"/>
    <s v="CA-2-ORG-18"/>
    <s v="STA_LAX_YXY"/>
    <x v="7"/>
    <x v="2"/>
    <m/>
    <n v="2.6"/>
    <n v="0"/>
  </r>
  <r>
    <n v="92603"/>
    <s v="CA-2-ORG-18"/>
    <s v="STA_LAX_YXY"/>
    <x v="7"/>
    <x v="2"/>
    <m/>
    <n v="0.7"/>
    <n v="0"/>
  </r>
  <r>
    <n v="92606"/>
    <s v="CA-2-ORG-18"/>
    <s v="STA_LAX_YXY"/>
    <x v="7"/>
    <x v="0"/>
    <m/>
    <n v="0.3"/>
    <n v="0"/>
  </r>
  <r>
    <n v="92617"/>
    <s v="CA-2-ORG-18"/>
    <s v="STA_LAX_YXY"/>
    <x v="7"/>
    <x v="0"/>
    <m/>
    <n v="0.1"/>
    <n v="0"/>
  </r>
  <r>
    <n v="92697"/>
    <s v="CA-2-ORG-18"/>
    <s v="STA_LAX_YXY"/>
    <x v="7"/>
    <x v="1"/>
    <m/>
    <n v="0.1"/>
    <n v="0"/>
  </r>
  <r>
    <n v="92657"/>
    <s v="CA-2-ORG-18"/>
    <s v="STA_LAX_YXY"/>
    <x v="7"/>
    <x v="1"/>
    <m/>
    <n v="1.4"/>
    <n v="0"/>
  </r>
  <r>
    <n v="92625"/>
    <s v="CA-2-ORG-18"/>
    <s v="STA_LAX_YXY"/>
    <x v="7"/>
    <x v="0"/>
    <m/>
    <n v="0.9"/>
    <n v="0"/>
  </r>
  <r>
    <n v="92660"/>
    <s v="CA-2-ORG-18"/>
    <s v="STA_LAX_YXY"/>
    <x v="7"/>
    <x v="0"/>
    <m/>
    <n v="0.1"/>
    <n v="0"/>
  </r>
  <r>
    <n v="92662"/>
    <s v="CA-2-ORG-18"/>
    <s v="STA_LAX_YXY"/>
    <x v="7"/>
    <x v="1"/>
    <m/>
    <n v="0"/>
    <n v="0"/>
  </r>
  <r>
    <n v="92651"/>
    <s v="CA-2-ORG-2"/>
    <s v="STA_LAX_YXY"/>
    <x v="7"/>
    <x v="1"/>
    <m/>
    <n v="1.4"/>
    <n v="0"/>
  </r>
  <r>
    <n v="92630"/>
    <s v="CA-2-ORG-2"/>
    <s v="STA_LAX_YXY"/>
    <x v="7"/>
    <x v="0"/>
    <m/>
    <n v="0.1"/>
    <n v="0"/>
  </r>
  <r>
    <n v="92691"/>
    <s v="CA-2-ORG-2"/>
    <s v="STA_LAX_YXY"/>
    <x v="7"/>
    <x v="0"/>
    <m/>
    <n v="12"/>
    <n v="11.6"/>
  </r>
  <r>
    <n v="92692"/>
    <s v="CA-2-ORG-2"/>
    <s v="STA_LAX_YXY"/>
    <x v="7"/>
    <x v="0"/>
    <m/>
    <n v="0.3"/>
    <n v="0"/>
  </r>
  <r>
    <n v="92610"/>
    <s v="CA-2-ORG-2"/>
    <s v="STA_LAX_YXY"/>
    <x v="7"/>
    <x v="0"/>
    <m/>
    <n v="0.4"/>
    <n v="0"/>
  </r>
  <r>
    <n v="92637"/>
    <s v="CA-2-ORG-2"/>
    <s v="STA_LAX_YXY"/>
    <x v="7"/>
    <x v="0"/>
    <m/>
    <n v="0"/>
    <n v="0"/>
  </r>
  <r>
    <n v="92653"/>
    <s v="CA-2-ORG-2"/>
    <s v="STA_LAX_YXY"/>
    <x v="7"/>
    <x v="0"/>
    <m/>
    <n v="0.1"/>
    <n v="0"/>
  </r>
  <r>
    <n v="92656"/>
    <s v="CA-2-ORG-2"/>
    <s v="STA_LAX_YXY"/>
    <x v="7"/>
    <x v="0"/>
    <m/>
    <n v="0.3"/>
    <n v="0"/>
  </r>
  <r>
    <n v="90631"/>
    <s v="CA-2-ORG-20"/>
    <s v="STA_LAX_ChinaOcean"/>
    <x v="7"/>
    <x v="0"/>
    <m/>
    <n v="0.3"/>
    <n v="0"/>
  </r>
  <r>
    <n v="92821"/>
    <s v="CA-2-ORG-20"/>
    <s v="STA_LAX_ChinaOcean"/>
    <x v="7"/>
    <x v="0"/>
    <m/>
    <n v="16.600000000000001"/>
    <n v="16.399999999999999"/>
  </r>
  <r>
    <n v="92823"/>
    <s v="CA-2-ORG-20"/>
    <s v="STA_LAX_ChinaOcean"/>
    <x v="7"/>
    <x v="0"/>
    <m/>
    <n v="0"/>
    <n v="0"/>
  </r>
  <r>
    <n v="92831"/>
    <s v="CA-2-ORG-20"/>
    <s v="STA_LAX_ChinaOcean"/>
    <x v="7"/>
    <x v="0"/>
    <m/>
    <n v="0.1"/>
    <n v="0"/>
  </r>
  <r>
    <n v="92832"/>
    <s v="CA-2-ORG-20"/>
    <s v="STA_LAX_ChinaOcean"/>
    <x v="7"/>
    <x v="0"/>
    <m/>
    <n v="0.3"/>
    <n v="0"/>
  </r>
  <r>
    <n v="92833"/>
    <s v="CA-2-ORG-20"/>
    <s v="STA_LAX_ChinaOcean"/>
    <x v="7"/>
    <x v="0"/>
    <m/>
    <n v="0.3"/>
    <n v="0"/>
  </r>
  <r>
    <n v="92835"/>
    <s v="CA-2-ORG-20"/>
    <s v="STA_LAX_ChinaOcean"/>
    <x v="7"/>
    <x v="0"/>
    <m/>
    <n v="0.1"/>
    <n v="0"/>
  </r>
  <r>
    <n v="92870"/>
    <s v="CA-2-ORG-20"/>
    <s v="STA_LAX_ChinaOcean"/>
    <x v="7"/>
    <x v="0"/>
    <m/>
    <n v="0.6"/>
    <n v="0"/>
  </r>
  <r>
    <n v="90630"/>
    <s v="CA-2-ORG-22"/>
    <s v="STA_LAX_ChinaOcean"/>
    <x v="7"/>
    <x v="0"/>
    <m/>
    <n v="0.1"/>
    <n v="0"/>
  </r>
  <r>
    <n v="90680"/>
    <s v="CA-2-ORG-22"/>
    <s v="STA_LAX_ChinaOcean"/>
    <x v="7"/>
    <x v="0"/>
    <m/>
    <n v="0.4"/>
    <n v="0.1"/>
  </r>
  <r>
    <n v="92845"/>
    <s v="CA-2-ORG-22"/>
    <s v="STA_LAX_ChinaOcean"/>
    <x v="7"/>
    <x v="0"/>
    <m/>
    <n v="0"/>
    <n v="0"/>
  </r>
  <r>
    <n v="92841"/>
    <s v="CA-2-ORG-22"/>
    <s v="STA_LAX_ChinaOcean"/>
    <x v="7"/>
    <x v="0"/>
    <m/>
    <n v="0.3"/>
    <n v="0"/>
  </r>
  <r>
    <n v="90720"/>
    <s v="CA-2-ORG-22"/>
    <s v="STA_LAX_ChinaOcean"/>
    <x v="7"/>
    <x v="0"/>
    <m/>
    <n v="0.6"/>
    <n v="0"/>
  </r>
  <r>
    <n v="92886"/>
    <s v="CA-2-ORG-24"/>
    <s v="STA_LAX_ChinaOcean"/>
    <x v="7"/>
    <x v="0"/>
    <m/>
    <n v="0.1"/>
    <n v="0"/>
  </r>
  <r>
    <n v="92887"/>
    <s v="CA-2-ORG-24"/>
    <s v="STA_LAX_ChinaOcean"/>
    <x v="7"/>
    <x v="0"/>
    <m/>
    <n v="0.1"/>
    <n v="0"/>
  </r>
  <r>
    <n v="92807"/>
    <s v="CA-2-ORG-24"/>
    <s v="STA_LAX_ChinaOcean"/>
    <x v="7"/>
    <x v="0"/>
    <m/>
    <n v="10.1"/>
    <n v="9.4"/>
  </r>
  <r>
    <n v="92808"/>
    <s v="CA-2-ORG-24"/>
    <s v="STA_LAX_ChinaOcean"/>
    <x v="7"/>
    <x v="0"/>
    <m/>
    <n v="0"/>
    <n v="0"/>
  </r>
  <r>
    <n v="92861"/>
    <s v="CA-2-ORG-24"/>
    <s v="STA_LAX_ChinaOcean"/>
    <x v="7"/>
    <x v="0"/>
    <m/>
    <n v="0.1"/>
    <n v="0"/>
  </r>
  <r>
    <n v="92867"/>
    <s v="CA-2-ORG-24"/>
    <s v="STA_LAX_ChinaOcean"/>
    <x v="7"/>
    <x v="0"/>
    <m/>
    <n v="0.3"/>
    <n v="0"/>
  </r>
  <r>
    <n v="92840"/>
    <s v="CA-2-ORG-26"/>
    <s v="STA_LAX_ChinaOcean"/>
    <x v="7"/>
    <x v="0"/>
    <m/>
    <n v="0.3"/>
    <n v="0"/>
  </r>
  <r>
    <n v="92802"/>
    <s v="CA-2-ORG-26"/>
    <s v="STA_LAX_ChinaOcean"/>
    <x v="7"/>
    <x v="0"/>
    <m/>
    <n v="0"/>
    <n v="0"/>
  </r>
  <r>
    <n v="92804"/>
    <s v="CA-2-ORG-26"/>
    <s v="STA_LAX_ChinaOcean"/>
    <x v="7"/>
    <x v="0"/>
    <m/>
    <n v="0.3"/>
    <n v="0"/>
  </r>
  <r>
    <n v="92801"/>
    <s v="CA-2-ORG-26"/>
    <s v="STA_LAX_ChinaOcean"/>
    <x v="7"/>
    <x v="0"/>
    <m/>
    <n v="0.6"/>
    <n v="0"/>
  </r>
  <r>
    <n v="92677"/>
    <s v="CA-2-ORG-4"/>
    <s v="STA_LAX_YXY"/>
    <x v="7"/>
    <x v="0"/>
    <m/>
    <n v="0.9"/>
    <n v="0"/>
  </r>
  <r>
    <n v="92672"/>
    <s v="CA-2-ORG-4"/>
    <s v="STA_LAX_YXY"/>
    <x v="7"/>
    <x v="1"/>
    <m/>
    <n v="10.7"/>
    <n v="0.6"/>
  </r>
  <r>
    <n v="92688"/>
    <s v="CA-2-ORG-4"/>
    <s v="STA_LAX_YXY"/>
    <x v="7"/>
    <x v="0"/>
    <m/>
    <n v="0.1"/>
    <n v="0"/>
  </r>
  <r>
    <n v="92694"/>
    <s v="CA-2-ORG-4"/>
    <s v="STA_LAX_YXY"/>
    <x v="7"/>
    <x v="0"/>
    <m/>
    <n v="2.1"/>
    <n v="0"/>
  </r>
  <r>
    <n v="92675"/>
    <s v="CA-2-ORG-4"/>
    <s v="STA_LAX_YXY"/>
    <x v="7"/>
    <x v="1"/>
    <m/>
    <n v="4.0999999999999996"/>
    <n v="0"/>
  </r>
  <r>
    <n v="92629"/>
    <s v="CA-2-ORG-4"/>
    <s v="STA_LAX_YXY"/>
    <x v="7"/>
    <x v="2"/>
    <m/>
    <n v="1.1000000000000001"/>
    <n v="0"/>
  </r>
  <r>
    <n v="92673"/>
    <s v="CA-2-ORG-4"/>
    <s v="STA_LAX_YXY"/>
    <x v="7"/>
    <x v="1"/>
    <m/>
    <n v="1.7"/>
    <n v="0"/>
  </r>
  <r>
    <n v="92624"/>
    <s v="CA-2-ORG-4"/>
    <s v="STA_LAX_YXY"/>
    <x v="7"/>
    <x v="1"/>
    <m/>
    <n v="0"/>
    <n v="0"/>
  </r>
  <r>
    <n v="92679"/>
    <s v="CA-2-ORG-4"/>
    <s v="STA_LAX_YXY"/>
    <x v="7"/>
    <x v="1"/>
    <m/>
    <n v="0.6"/>
    <n v="0"/>
  </r>
  <r>
    <n v="92676"/>
    <s v="CA-2-ORG-4"/>
    <s v="STA_LAX_YXY"/>
    <x v="7"/>
    <x v="1"/>
    <m/>
    <n v="1"/>
    <n v="0.9"/>
  </r>
  <r>
    <n v="92678"/>
    <s v="CA-2-ORG-4"/>
    <s v="STA_LAX_YXY"/>
    <x v="7"/>
    <x v="1"/>
    <m/>
    <n v="0"/>
    <n v="0"/>
  </r>
  <r>
    <n v="92704"/>
    <s v="CA-2-ORG-6"/>
    <s v="STA_LAX_ChinaOcean"/>
    <x v="7"/>
    <x v="0"/>
    <m/>
    <n v="0.3"/>
    <n v="0"/>
  </r>
  <r>
    <n v="92705"/>
    <s v="CA-2-ORG-6"/>
    <s v="STA_LAX_ChinaOcean"/>
    <x v="7"/>
    <x v="0"/>
    <m/>
    <n v="0.1"/>
    <n v="0"/>
  </r>
  <r>
    <n v="92707"/>
    <s v="CA-2-ORG-6"/>
    <s v="STA_LAX_ChinaOcean"/>
    <x v="7"/>
    <x v="0"/>
    <m/>
    <n v="0.3"/>
    <n v="0"/>
  </r>
  <r>
    <n v="92703"/>
    <s v="CA-2-ORG-6"/>
    <s v="STA_LAX_ChinaOcean"/>
    <x v="7"/>
    <x v="0"/>
    <m/>
    <n v="0"/>
    <n v="0"/>
  </r>
  <r>
    <n v="92701"/>
    <s v="CA-2-ORG-6"/>
    <s v="STA_LAX_ChinaOcean"/>
    <x v="7"/>
    <x v="0"/>
    <m/>
    <n v="0.4"/>
    <n v="0"/>
  </r>
  <r>
    <n v="92706"/>
    <s v="CA-2-ORG-6"/>
    <s v="STA_LAX_ChinaOcean"/>
    <x v="7"/>
    <x v="0"/>
    <m/>
    <n v="0.1"/>
    <n v="0"/>
  </r>
  <r>
    <n v="92782"/>
    <s v="CA-2-ORG-6"/>
    <s v="STA_LAX_ChinaOcean"/>
    <x v="7"/>
    <x v="0"/>
    <m/>
    <n v="0.3"/>
    <n v="0"/>
  </r>
  <r>
    <n v="92602"/>
    <s v="CA-2-ORG-6"/>
    <s v="STA_LAX_ChinaOcean"/>
    <x v="7"/>
    <x v="0"/>
    <m/>
    <n v="0.7"/>
    <n v="0"/>
  </r>
  <r>
    <n v="92780"/>
    <s v="CA-2-ORG-6"/>
    <s v="STA_LAX_ChinaOcean"/>
    <x v="7"/>
    <x v="0"/>
    <m/>
    <n v="0.1"/>
    <n v="0"/>
  </r>
  <r>
    <n v="92648"/>
    <s v="CA-2-ORG-8"/>
    <s v="STA_LAX_ChinaOcean"/>
    <x v="7"/>
    <x v="0"/>
    <m/>
    <n v="0.4"/>
    <n v="0"/>
  </r>
  <r>
    <n v="92646"/>
    <s v="CA-2-ORG-8"/>
    <s v="STA_LAX_ChinaOcean"/>
    <x v="7"/>
    <x v="0"/>
    <m/>
    <n v="0.3"/>
    <n v="0"/>
  </r>
  <r>
    <n v="92708"/>
    <s v="CA-2-ORG-8"/>
    <s v="STA_LAX_ChinaOcean"/>
    <x v="7"/>
    <x v="0"/>
    <m/>
    <n v="0.4"/>
    <n v="0"/>
  </r>
  <r>
    <n v="92626"/>
    <s v="CA-2-ORG-8"/>
    <s v="STA_LAX_ChinaOcean"/>
    <x v="7"/>
    <x v="0"/>
    <m/>
    <n v="0"/>
    <n v="0"/>
  </r>
  <r>
    <n v="92627"/>
    <s v="CA-2-ORG-8"/>
    <s v="STA_LAX_ChinaOcean"/>
    <x v="7"/>
    <x v="0"/>
    <m/>
    <n v="0"/>
    <n v="0"/>
  </r>
  <r>
    <n v="92663"/>
    <s v="CA-2-ORG-8"/>
    <s v="STA_LAX_ChinaOcean"/>
    <x v="7"/>
    <x v="0"/>
    <m/>
    <n v="0"/>
    <n v="0"/>
  </r>
  <r>
    <n v="92661"/>
    <s v="CA-2-ORG-8"/>
    <s v="STA_LAX_ChinaOcean"/>
    <x v="7"/>
    <x v="2"/>
    <m/>
    <n v="0"/>
    <n v="0"/>
  </r>
  <r>
    <n v="92684"/>
    <s v="CA-4-PO-119"/>
    <e v="#N/A"/>
    <x v="7"/>
    <x v="3"/>
    <m/>
    <n v="0"/>
    <n v="0"/>
  </r>
  <r>
    <n v="92685"/>
    <s v="CA-4-PO-119"/>
    <e v="#N/A"/>
    <x v="7"/>
    <x v="3"/>
    <m/>
    <n v="0"/>
    <n v="0"/>
  </r>
  <r>
    <n v="92862"/>
    <s v="CA-4-PO-119"/>
    <e v="#N/A"/>
    <x v="7"/>
    <x v="3"/>
    <m/>
    <n v="0"/>
    <n v="0"/>
  </r>
  <r>
    <n v="92863"/>
    <s v="CA-4-PO-119"/>
    <e v="#N/A"/>
    <x v="7"/>
    <x v="3"/>
    <m/>
    <n v="0"/>
    <n v="0"/>
  </r>
  <r>
    <n v="92857"/>
    <s v="CA-4-PO-119"/>
    <e v="#N/A"/>
    <x v="7"/>
    <x v="3"/>
    <m/>
    <n v="0"/>
    <n v="0"/>
  </r>
  <r>
    <n v="92856"/>
    <s v="CA-4-PO-119"/>
    <e v="#N/A"/>
    <x v="7"/>
    <x v="3"/>
    <m/>
    <n v="0"/>
    <n v="0"/>
  </r>
  <r>
    <n v="92859"/>
    <s v="CA-4-PO-119"/>
    <e v="#N/A"/>
    <x v="7"/>
    <x v="3"/>
    <m/>
    <n v="0"/>
    <n v="0"/>
  </r>
  <r>
    <n v="90622"/>
    <s v="CA-4-PO-119"/>
    <e v="#N/A"/>
    <x v="7"/>
    <x v="3"/>
    <m/>
    <n v="0"/>
    <n v="0"/>
  </r>
  <r>
    <n v="90624"/>
    <s v="CA-4-PO-119"/>
    <e v="#N/A"/>
    <x v="7"/>
    <x v="3"/>
    <m/>
    <n v="0"/>
    <n v="0"/>
  </r>
  <r>
    <n v="92650"/>
    <s v="CA-4-PO-119"/>
    <e v="#N/A"/>
    <x v="7"/>
    <x v="3"/>
    <m/>
    <n v="0"/>
    <n v="0"/>
  </r>
  <r>
    <n v="92616"/>
    <s v="CA-4-PO-119"/>
    <e v="#N/A"/>
    <x v="7"/>
    <x v="3"/>
    <m/>
    <n v="0"/>
    <n v="0"/>
  </r>
  <r>
    <n v="92619"/>
    <s v="CA-4-PO-119"/>
    <e v="#N/A"/>
    <x v="7"/>
    <x v="3"/>
    <m/>
    <n v="0"/>
    <n v="0"/>
  </r>
  <r>
    <n v="92623"/>
    <s v="CA-4-PO-119"/>
    <e v="#N/A"/>
    <x v="7"/>
    <x v="3"/>
    <m/>
    <n v="0"/>
    <n v="0"/>
  </r>
  <r>
    <n v="92652"/>
    <s v="CA-4-PO-119"/>
    <e v="#N/A"/>
    <x v="7"/>
    <x v="3"/>
    <m/>
    <n v="0"/>
    <n v="0"/>
  </r>
  <r>
    <n v="92609"/>
    <s v="CA-4-PO-119"/>
    <e v="#N/A"/>
    <x v="7"/>
    <x v="3"/>
    <m/>
    <n v="0"/>
    <n v="0"/>
  </r>
  <r>
    <n v="92690"/>
    <s v="CA-4-PO-119"/>
    <e v="#N/A"/>
    <x v="7"/>
    <x v="3"/>
    <m/>
    <n v="0"/>
    <n v="0"/>
  </r>
  <r>
    <n v="92698"/>
    <s v="CA-4-PO-119"/>
    <e v="#N/A"/>
    <x v="7"/>
    <x v="3"/>
    <m/>
    <n v="0"/>
    <n v="0"/>
  </r>
  <r>
    <n v="92654"/>
    <s v="CA-4-PO-119"/>
    <e v="#N/A"/>
    <x v="7"/>
    <x v="3"/>
    <m/>
    <n v="0"/>
    <n v="0"/>
  </r>
  <r>
    <n v="92815"/>
    <s v="CA-4-PO-119"/>
    <e v="#N/A"/>
    <x v="7"/>
    <x v="3"/>
    <m/>
    <n v="0"/>
    <n v="0"/>
  </r>
  <r>
    <n v="92816"/>
    <s v="CA-4-PO-119"/>
    <e v="#N/A"/>
    <x v="7"/>
    <x v="3"/>
    <m/>
    <n v="0"/>
    <n v="0"/>
  </r>
  <r>
    <n v="92817"/>
    <s v="CA-4-PO-119"/>
    <e v="#N/A"/>
    <x v="7"/>
    <x v="3"/>
    <m/>
    <n v="0"/>
    <n v="0"/>
  </r>
  <r>
    <n v="92850"/>
    <s v="CA-4-PO-119"/>
    <e v="#N/A"/>
    <x v="7"/>
    <x v="3"/>
    <m/>
    <n v="0"/>
    <n v="0"/>
  </r>
  <r>
    <n v="92864"/>
    <s v="CA-4-PO-119"/>
    <e v="#N/A"/>
    <x v="7"/>
    <x v="3"/>
    <m/>
    <n v="0"/>
    <n v="0"/>
  </r>
  <r>
    <n v="92825"/>
    <s v="CA-4-PO-119"/>
    <e v="#N/A"/>
    <x v="7"/>
    <x v="3"/>
    <m/>
    <n v="0"/>
    <n v="0"/>
  </r>
  <r>
    <n v="92803"/>
    <s v="CA-4-PO-119"/>
    <e v="#N/A"/>
    <x v="7"/>
    <x v="3"/>
    <m/>
    <n v="0"/>
    <n v="0"/>
  </r>
  <r>
    <n v="92809"/>
    <s v="CA-4-PO-119"/>
    <e v="#N/A"/>
    <x v="7"/>
    <x v="3"/>
    <m/>
    <n v="0"/>
    <n v="0"/>
  </r>
  <r>
    <n v="92811"/>
    <s v="CA-4-PO-119"/>
    <e v="#N/A"/>
    <x v="7"/>
    <x v="3"/>
    <m/>
    <n v="0"/>
    <n v="0"/>
  </r>
  <r>
    <n v="92842"/>
    <s v="CA-4-PO-119"/>
    <e v="#N/A"/>
    <x v="7"/>
    <x v="3"/>
    <m/>
    <n v="0"/>
    <n v="0"/>
  </r>
  <r>
    <n v="92607"/>
    <s v="CA-4-PO-119"/>
    <e v="#N/A"/>
    <x v="7"/>
    <x v="3"/>
    <m/>
    <n v="0"/>
    <n v="0"/>
  </r>
  <r>
    <n v="92693"/>
    <s v="CA-4-PO-119"/>
    <e v="#N/A"/>
    <x v="7"/>
    <x v="3"/>
    <m/>
    <n v="0"/>
    <n v="0"/>
  </r>
  <r>
    <n v="92735"/>
    <s v="CA-4-PO-119"/>
    <e v="#N/A"/>
    <x v="7"/>
    <x v="3"/>
    <m/>
    <n v="0"/>
    <n v="0"/>
  </r>
  <r>
    <n v="92781"/>
    <s v="CA-4-PO-119"/>
    <e v="#N/A"/>
    <x v="7"/>
    <x v="3"/>
    <m/>
    <n v="0"/>
    <n v="0"/>
  </r>
  <r>
    <n v="92799"/>
    <s v="CA-4-PO-119"/>
    <e v="#N/A"/>
    <x v="7"/>
    <x v="3"/>
    <m/>
    <n v="0"/>
    <n v="0"/>
  </r>
  <r>
    <n v="92702"/>
    <s v="CA-4-PO-119"/>
    <e v="#N/A"/>
    <x v="7"/>
    <x v="3"/>
    <m/>
    <n v="0"/>
    <n v="0"/>
  </r>
  <r>
    <n v="92711"/>
    <s v="CA-4-PO-119"/>
    <e v="#N/A"/>
    <x v="7"/>
    <x v="3"/>
    <m/>
    <n v="0"/>
    <n v="0"/>
  </r>
  <r>
    <n v="92712"/>
    <s v="CA-4-PO-119"/>
    <e v="#N/A"/>
    <x v="7"/>
    <x v="3"/>
    <m/>
    <n v="0"/>
    <n v="0"/>
  </r>
  <r>
    <n v="92605"/>
    <s v="CA-4-PO-119"/>
    <e v="#N/A"/>
    <x v="7"/>
    <x v="3"/>
    <m/>
    <n v="0"/>
    <n v="0"/>
  </r>
  <r>
    <n v="92615"/>
    <s v="CA-4-PO-119"/>
    <e v="#N/A"/>
    <x v="7"/>
    <x v="3"/>
    <m/>
    <n v="0"/>
    <n v="0"/>
  </r>
  <r>
    <n v="92628"/>
    <s v="CA-4-PO-119"/>
    <e v="#N/A"/>
    <x v="7"/>
    <x v="3"/>
    <m/>
    <n v="0"/>
    <n v="0"/>
  </r>
  <r>
    <n v="92659"/>
    <s v="CA-4-PO-119"/>
    <e v="#N/A"/>
    <x v="7"/>
    <x v="3"/>
    <m/>
    <n v="0"/>
    <n v="0"/>
  </r>
  <r>
    <n v="92658"/>
    <s v="CA-4-PO-119"/>
    <e v="#N/A"/>
    <x v="7"/>
    <x v="3"/>
    <m/>
    <n v="0"/>
    <n v="0"/>
  </r>
  <r>
    <n v="92871"/>
    <s v="CA-4-PO-119"/>
    <e v="#N/A"/>
    <x v="7"/>
    <x v="3"/>
    <m/>
    <n v="0"/>
    <n v="0"/>
  </r>
  <r>
    <n v="92885"/>
    <s v="CA-4-PO-119"/>
    <e v="#N/A"/>
    <x v="7"/>
    <x v="3"/>
    <m/>
    <n v="0"/>
    <n v="0"/>
  </r>
  <r>
    <n v="92899"/>
    <s v="CA-4-PO-119"/>
    <e v="#N/A"/>
    <x v="7"/>
    <x v="3"/>
    <m/>
    <n v="0"/>
    <n v="0"/>
  </r>
  <r>
    <n v="85212"/>
    <s v="CA-11-PHX-59"/>
    <s v="STA_LAX_ChinaOcean"/>
    <x v="8"/>
    <x v="0"/>
    <m/>
    <n v="14"/>
    <n v="12.9"/>
  </r>
  <r>
    <n v="85224"/>
    <s v="CA-11-PHX-59"/>
    <s v="STA_LAX_ChinaOcean"/>
    <x v="8"/>
    <x v="0"/>
    <m/>
    <n v="9.9"/>
    <n v="9.1"/>
  </r>
  <r>
    <n v="85225"/>
    <s v="CA-11-PHX-59"/>
    <s v="STA_LAX_ChinaOcean"/>
    <x v="8"/>
    <x v="0"/>
    <m/>
    <n v="18.399999999999999"/>
    <n v="17.100000000000001"/>
  </r>
  <r>
    <n v="85286"/>
    <s v="CA-11-PHX-59"/>
    <s v="STA_LAX_ChinaOcean"/>
    <x v="8"/>
    <x v="0"/>
    <m/>
    <n v="14.9"/>
    <n v="14.7"/>
  </r>
  <r>
    <n v="85249"/>
    <s v="CA-11-PHX-59"/>
    <s v="STA_LAX_ChinaOcean"/>
    <x v="8"/>
    <x v="0"/>
    <m/>
    <n v="10.1"/>
    <n v="9.6999999999999993"/>
  </r>
  <r>
    <n v="85233"/>
    <s v="CA-11-PHX-59"/>
    <s v="STA_LAX_ChinaOcean"/>
    <x v="8"/>
    <x v="0"/>
    <m/>
    <n v="9.1"/>
    <n v="8.6999999999999993"/>
  </r>
  <r>
    <n v="85234"/>
    <s v="CA-11-PHX-59"/>
    <s v="STA_LAX_ChinaOcean"/>
    <x v="8"/>
    <x v="0"/>
    <m/>
    <n v="13.7"/>
    <n v="13.3"/>
  </r>
  <r>
    <n v="85296"/>
    <s v="CA-11-PHX-59"/>
    <s v="STA_LAX_ChinaOcean"/>
    <x v="8"/>
    <x v="0"/>
    <m/>
    <n v="12.4"/>
    <n v="11.7"/>
  </r>
  <r>
    <n v="85295"/>
    <s v="CA-11-PHX-59"/>
    <s v="STA_LAX_ChinaOcean"/>
    <x v="8"/>
    <x v="0"/>
    <m/>
    <n v="14.7"/>
    <n v="13.7"/>
  </r>
  <r>
    <n v="85298"/>
    <s v="CA-11-PHX-59"/>
    <s v="STA_LAX_ChinaOcean"/>
    <x v="8"/>
    <x v="0"/>
    <m/>
    <n v="11"/>
    <n v="10.3"/>
  </r>
  <r>
    <n v="85297"/>
    <s v="CA-11-PHX-59"/>
    <s v="STA_LAX_ChinaOcean"/>
    <x v="8"/>
    <x v="0"/>
    <m/>
    <n v="8.3000000000000007"/>
    <n v="7.9"/>
  </r>
  <r>
    <n v="85037"/>
    <s v="CA-11-PHX-61"/>
    <s v="STA_PHX_GOMEZ"/>
    <x v="8"/>
    <x v="1"/>
    <m/>
    <n v="16.3"/>
    <n v="14.6"/>
  </r>
  <r>
    <n v="85392"/>
    <s v="CA-11-PHX-61"/>
    <s v="STA_PHX_GOMEZ"/>
    <x v="8"/>
    <x v="1"/>
    <m/>
    <n v="9.9"/>
    <n v="9.4"/>
  </r>
  <r>
    <n v="85323"/>
    <s v="CA-11-PHX-61"/>
    <s v="STA_PHX_GOMEZ"/>
    <x v="8"/>
    <x v="1"/>
    <m/>
    <n v="12.3"/>
    <n v="11.7"/>
  </r>
  <r>
    <n v="85395"/>
    <s v="CA-11-PHX-61"/>
    <s v="STA_PHX_GOMEZ"/>
    <x v="8"/>
    <x v="1"/>
    <m/>
    <n v="6"/>
    <n v="5.0999999999999996"/>
  </r>
  <r>
    <n v="85009"/>
    <s v="CA-11-PHX-61"/>
    <s v="STA_PHX_GOMEZ"/>
    <x v="8"/>
    <x v="1"/>
    <m/>
    <n v="11"/>
    <n v="10.1"/>
  </r>
  <r>
    <n v="85007"/>
    <s v="CA-11-PHX-61"/>
    <s v="STA_PHX_GOMEZ"/>
    <x v="8"/>
    <x v="1"/>
    <m/>
    <n v="6.3"/>
    <n v="2.6"/>
  </r>
  <r>
    <n v="85338"/>
    <s v="CA-11-PHX-61"/>
    <s v="STA_PHX_GOMEZ"/>
    <x v="8"/>
    <x v="1"/>
    <m/>
    <n v="38.6"/>
    <n v="14.6"/>
  </r>
  <r>
    <n v="85353"/>
    <s v="CA-11-PHX-61"/>
    <s v="STA_PHX_GOMEZ"/>
    <x v="8"/>
    <x v="1"/>
    <m/>
    <n v="16.100000000000001"/>
    <n v="15.1"/>
  </r>
  <r>
    <n v="85031"/>
    <s v="CA-11-PHX-61"/>
    <s v="STA_PHX_GOMEZ"/>
    <x v="8"/>
    <x v="1"/>
    <m/>
    <n v="6.1"/>
    <n v="5.9"/>
  </r>
  <r>
    <n v="85033"/>
    <s v="CA-11-PHX-61"/>
    <s v="STA_PHX_GOMEZ"/>
    <x v="8"/>
    <x v="1"/>
    <m/>
    <n v="12.9"/>
    <n v="11.7"/>
  </r>
  <r>
    <n v="85035"/>
    <s v="CA-11-PHX-61"/>
    <s v="STA_PHX_GOMEZ"/>
    <x v="8"/>
    <x v="1"/>
    <m/>
    <n v="13.7"/>
    <n v="12.6"/>
  </r>
  <r>
    <n v="85043"/>
    <s v="CA-11-PHX-61"/>
    <s v="STA_PHX_GOMEZ"/>
    <x v="8"/>
    <x v="1"/>
    <m/>
    <n v="9"/>
    <n v="7.6"/>
  </r>
  <r>
    <n v="85301"/>
    <s v="CA-11-PHX-61"/>
    <s v="STA_PHX_GOMEZ"/>
    <x v="8"/>
    <x v="1"/>
    <m/>
    <n v="21.7"/>
    <n v="20.7"/>
  </r>
  <r>
    <n v="85303"/>
    <s v="CA-11-PHX-63"/>
    <s v="STA_PHX_TOPCAR"/>
    <x v="8"/>
    <x v="1"/>
    <m/>
    <n v="8.6"/>
    <n v="8.4"/>
  </r>
  <r>
    <n v="85305"/>
    <s v="CA-11-PHX-63"/>
    <s v="STA_PHX_TOPCAR"/>
    <x v="8"/>
    <x v="1"/>
    <m/>
    <n v="6.9"/>
    <n v="6.1"/>
  </r>
  <r>
    <n v="85307"/>
    <s v="CA-11-PHX-63"/>
    <s v="STA_PHX_TOPCAR"/>
    <x v="8"/>
    <x v="1"/>
    <m/>
    <n v="4.4000000000000004"/>
    <n v="4"/>
  </r>
  <r>
    <n v="85340"/>
    <s v="CA-11-PHX-63"/>
    <s v="STA_PHX_TOPCAR"/>
    <x v="8"/>
    <x v="1"/>
    <m/>
    <n v="12.1"/>
    <n v="11.4"/>
  </r>
  <r>
    <n v="85345"/>
    <s v="CA-11-PHX-63"/>
    <s v="STA_PHX_TOPCAR"/>
    <x v="8"/>
    <x v="1"/>
    <m/>
    <n v="13.7"/>
    <n v="13.3"/>
  </r>
  <r>
    <n v="85381"/>
    <s v="CA-11-PHX-63"/>
    <s v="STA_PHX_TOPCAR"/>
    <x v="8"/>
    <x v="1"/>
    <m/>
    <n v="5"/>
    <n v="4.9000000000000004"/>
  </r>
  <r>
    <n v="85302"/>
    <s v="CA-11-PHX-63"/>
    <s v="STA_PHX_TOPCAR"/>
    <x v="8"/>
    <x v="1"/>
    <m/>
    <n v="9.1"/>
    <n v="8.4"/>
  </r>
  <r>
    <n v="85304"/>
    <s v="CA-11-PHX-63"/>
    <s v="STA_PHX_TOPCAR"/>
    <x v="8"/>
    <x v="1"/>
    <m/>
    <n v="8.4"/>
    <n v="8.3000000000000007"/>
  </r>
  <r>
    <n v="85306"/>
    <s v="CA-11-PHX-63"/>
    <s v="STA_PHX_TOPCAR"/>
    <x v="8"/>
    <x v="1"/>
    <m/>
    <n v="4.4000000000000004"/>
    <n v="4"/>
  </r>
  <r>
    <n v="85382"/>
    <s v="CA-11-PHX-63"/>
    <s v="STA_PHX_TOPCAR"/>
    <x v="8"/>
    <x v="1"/>
    <m/>
    <n v="8.3000000000000007"/>
    <n v="8"/>
  </r>
  <r>
    <n v="85373"/>
    <s v="CA-11-PHX-63"/>
    <s v="STA_PHX_TOPCAR"/>
    <x v="8"/>
    <x v="1"/>
    <m/>
    <n v="3.7"/>
    <n v="3.7"/>
  </r>
  <r>
    <n v="85351"/>
    <s v="CA-11-PHX-63"/>
    <s v="STA_PHX_TOPCAR"/>
    <x v="8"/>
    <x v="1"/>
    <m/>
    <n v="6.1"/>
    <n v="6"/>
  </r>
  <r>
    <n v="85355"/>
    <s v="CA-11-PHX-63"/>
    <s v="STA_PHX_TOPCAR"/>
    <x v="8"/>
    <x v="1"/>
    <m/>
    <n v="9.9"/>
    <n v="3.1"/>
  </r>
  <r>
    <n v="85375"/>
    <s v="CA-11-PHX-63"/>
    <s v="STA_PHX_TOPCAR"/>
    <x v="8"/>
    <x v="1"/>
    <m/>
    <n v="1.9"/>
    <n v="1.9"/>
  </r>
  <r>
    <n v="85374"/>
    <s v="CA-11-PHX-63"/>
    <s v="STA_PHX_TOPCAR"/>
    <x v="8"/>
    <x v="1"/>
    <m/>
    <n v="7.3"/>
    <n v="6.6"/>
  </r>
  <r>
    <n v="85388"/>
    <s v="CA-11-PHX-63"/>
    <s v="STA_PHX_TOPCAR"/>
    <x v="8"/>
    <x v="1"/>
    <m/>
    <n v="17.600000000000001"/>
    <n v="6.4"/>
  </r>
  <r>
    <n v="85379"/>
    <s v="CA-11-PHX-63"/>
    <s v="STA_PHX_TOPCAR"/>
    <x v="8"/>
    <x v="1"/>
    <m/>
    <n v="10.7"/>
    <n v="9.9"/>
  </r>
  <r>
    <n v="85335"/>
    <s v="CA-11-PHX-63"/>
    <s v="STA_PHX_TOPCAR"/>
    <x v="8"/>
    <x v="1"/>
    <m/>
    <n v="7.9"/>
    <n v="7.6"/>
  </r>
  <r>
    <n v="85363"/>
    <s v="CA-11-PHX-63"/>
    <s v="STA_PHX_TOPCAR"/>
    <x v="8"/>
    <x v="1"/>
    <m/>
    <n v="1.1000000000000001"/>
    <n v="1.1000000000000001"/>
  </r>
  <r>
    <n v="85040"/>
    <s v="CA-11-PHX-65"/>
    <s v="STA_PHX_GOMEZ"/>
    <x v="8"/>
    <x v="1"/>
    <m/>
    <n v="9.1"/>
    <n v="8.9"/>
  </r>
  <r>
    <n v="85042"/>
    <s v="CA-11-PHX-65"/>
    <s v="STA_PHX_GOMEZ"/>
    <x v="8"/>
    <x v="1"/>
    <m/>
    <n v="12.3"/>
    <n v="11.3"/>
  </r>
  <r>
    <n v="85041"/>
    <s v="CA-11-PHX-65"/>
    <s v="STA_PHX_GOMEZ"/>
    <x v="8"/>
    <x v="1"/>
    <m/>
    <n v="21.3"/>
    <n v="18.7"/>
  </r>
  <r>
    <n v="85045"/>
    <s v="CA-11-PHX-65"/>
    <s v="STA_PHX_GOMEZ"/>
    <x v="8"/>
    <x v="0"/>
    <m/>
    <n v="3.9"/>
    <n v="3.6"/>
  </r>
  <r>
    <n v="85048"/>
    <s v="CA-11-PHX-65"/>
    <s v="STA_PHX_GOMEZ"/>
    <x v="8"/>
    <x v="1"/>
    <m/>
    <n v="9.3000000000000007"/>
    <n v="9"/>
  </r>
  <r>
    <n v="85044"/>
    <s v="CA-11-PHX-65"/>
    <s v="STA_PHX_GOMEZ"/>
    <x v="8"/>
    <x v="1"/>
    <m/>
    <n v="7.7"/>
    <n v="7.6"/>
  </r>
  <r>
    <n v="85226"/>
    <s v="CA-11-PHX-65"/>
    <s v="STA_PHX_GOMEZ"/>
    <x v="8"/>
    <x v="1"/>
    <m/>
    <n v="14.4"/>
    <n v="14.3"/>
  </r>
  <r>
    <n v="85248"/>
    <s v="CA-11-PHX-59"/>
    <s v="STA_LAX_ChinaOcean"/>
    <x v="8"/>
    <x v="0"/>
    <m/>
    <n v="4.3"/>
    <n v="4"/>
  </r>
  <r>
    <n v="85281"/>
    <s v="CA-11-PHX-65"/>
    <s v="STA_PHX_GOMEZ"/>
    <x v="8"/>
    <x v="1"/>
    <m/>
    <n v="12.4"/>
    <n v="11.6"/>
  </r>
  <r>
    <n v="85284"/>
    <s v="CA-11-PHX-65"/>
    <s v="STA_PHX_GOMEZ"/>
    <x v="8"/>
    <x v="1"/>
    <m/>
    <n v="2.9"/>
    <n v="2.9"/>
  </r>
  <r>
    <n v="85283"/>
    <s v="CA-11-PHX-65"/>
    <s v="STA_PHX_GOMEZ"/>
    <x v="8"/>
    <x v="1"/>
    <m/>
    <n v="9.6999999999999993"/>
    <n v="9"/>
  </r>
  <r>
    <n v="85282"/>
    <s v="CA-11-PHX-65"/>
    <s v="STA_PHX_GOMEZ"/>
    <x v="8"/>
    <x v="1"/>
    <m/>
    <n v="13"/>
    <n v="12.9"/>
  </r>
  <r>
    <n v="85053"/>
    <s v="CA-11-PHX-67"/>
    <s v="STA_PHX_TOPCAR"/>
    <x v="8"/>
    <x v="1"/>
    <m/>
    <n v="10"/>
    <n v="8.6999999999999993"/>
  </r>
  <r>
    <n v="85308"/>
    <s v="CA-11-PHX-67"/>
    <s v="STA_PHX_TOPCAR"/>
    <x v="8"/>
    <x v="1"/>
    <m/>
    <n v="13.4"/>
    <n v="12.4"/>
  </r>
  <r>
    <n v="85310"/>
    <s v="CA-11-PHX-67"/>
    <s v="STA_PHX_TOPCAR"/>
    <x v="8"/>
    <x v="1"/>
    <m/>
    <n v="4.9000000000000004"/>
    <n v="4.4000000000000004"/>
  </r>
  <r>
    <n v="85083"/>
    <s v="CA-11-PHX-67"/>
    <s v="STA_PHX_TOPCAR"/>
    <x v="8"/>
    <x v="0"/>
    <m/>
    <n v="3.1"/>
    <n v="3.1"/>
  </r>
  <r>
    <n v="85023"/>
    <s v="CA-11-PHX-67"/>
    <s v="STA_PHX_TOPCAR"/>
    <x v="8"/>
    <x v="1"/>
    <m/>
    <n v="9.9"/>
    <n v="9.4"/>
  </r>
  <r>
    <n v="85022"/>
    <s v="CA-11-PHX-67"/>
    <s v="STA_PHX_TOPCAR"/>
    <x v="8"/>
    <x v="1"/>
    <m/>
    <n v="10.6"/>
    <n v="10"/>
  </r>
  <r>
    <n v="85027"/>
    <s v="CA-11-PHX-67"/>
    <s v="STA_PHX_TOPCAR"/>
    <x v="8"/>
    <x v="0"/>
    <m/>
    <n v="9"/>
    <n v="8.4"/>
  </r>
  <r>
    <n v="85024"/>
    <s v="CA-11-PHX-67"/>
    <s v="STA_PHX_TOPCAR"/>
    <x v="8"/>
    <x v="0"/>
    <m/>
    <n v="7"/>
    <n v="6.4"/>
  </r>
  <r>
    <n v="85028"/>
    <s v="CA-11-PHX-67"/>
    <s v="STA_PHX_TOPCAR"/>
    <x v="8"/>
    <x v="1"/>
    <m/>
    <n v="3.7"/>
    <n v="3.6"/>
  </r>
  <r>
    <n v="85029"/>
    <s v="CA-11-PHX-67"/>
    <s v="STA_PHX_TOPCAR"/>
    <x v="8"/>
    <x v="1"/>
    <m/>
    <n v="10.7"/>
    <n v="10"/>
  </r>
  <r>
    <n v="85051"/>
    <s v="CA-11-PHX-67"/>
    <s v="STA_PHX_TOPCAR"/>
    <x v="8"/>
    <x v="1"/>
    <m/>
    <n v="13.6"/>
    <n v="13.1"/>
  </r>
  <r>
    <n v="85021"/>
    <s v="CA-11-PHX-67"/>
    <s v="STA_PHX_TOPCAR"/>
    <x v="8"/>
    <x v="1"/>
    <m/>
    <n v="9.3000000000000007"/>
    <n v="9.1"/>
  </r>
  <r>
    <n v="85020"/>
    <s v="CA-11-PHX-67"/>
    <s v="STA_PHX_TOPCAR"/>
    <x v="8"/>
    <x v="1"/>
    <m/>
    <n v="5.3"/>
    <n v="5.3"/>
  </r>
  <r>
    <n v="85019"/>
    <s v="CA-11-PHX-67"/>
    <s v="STA_PHX_TOPCAR"/>
    <x v="8"/>
    <x v="0"/>
    <m/>
    <n v="5"/>
    <n v="4.5999999999999996"/>
  </r>
  <r>
    <n v="85017"/>
    <s v="CA-11-PHX-67"/>
    <s v="STA_PHX_TOPCAR"/>
    <x v="8"/>
    <x v="1"/>
    <m/>
    <n v="10.3"/>
    <n v="9.1"/>
  </r>
  <r>
    <n v="85015"/>
    <s v="CA-11-PHX-67"/>
    <s v="STA_PHX_TOPCAR"/>
    <x v="8"/>
    <x v="1"/>
    <m/>
    <n v="10.3"/>
    <n v="10.1"/>
  </r>
  <r>
    <n v="85013"/>
    <s v="CA-11-PHX-67"/>
    <s v="STA_PHX_TOPCAR"/>
    <x v="8"/>
    <x v="1"/>
    <m/>
    <n v="6.1"/>
    <n v="5.7"/>
  </r>
  <r>
    <n v="85012"/>
    <s v="CA-11-PHX-67"/>
    <s v="STA_PHX_TOPCAR"/>
    <x v="8"/>
    <x v="0"/>
    <m/>
    <n v="2"/>
    <n v="1.9"/>
  </r>
  <r>
    <n v="85014"/>
    <s v="CA-11-PHX-69"/>
    <s v="STA_PHX_C&amp;R"/>
    <x v="8"/>
    <x v="1"/>
    <m/>
    <n v="6"/>
    <n v="5.7"/>
  </r>
  <r>
    <n v="85006"/>
    <s v="CA-11-PHX-69"/>
    <s v="STA_PHX_C&amp;R"/>
    <x v="8"/>
    <x v="1"/>
    <m/>
    <n v="6.9"/>
    <n v="6.6"/>
  </r>
  <r>
    <n v="85016"/>
    <s v="CA-11-PHX-69"/>
    <s v="STA_PHX_C&amp;R"/>
    <x v="8"/>
    <x v="1"/>
    <m/>
    <n v="4.7"/>
    <n v="4.5999999999999996"/>
  </r>
  <r>
    <n v="85008"/>
    <s v="CA-11-PHX-69"/>
    <s v="STA_PHX_C&amp;R"/>
    <x v="8"/>
    <x v="1"/>
    <m/>
    <n v="13.3"/>
    <n v="12.6"/>
  </r>
  <r>
    <n v="85018"/>
    <s v="CA-11-PHX-69"/>
    <s v="STA_PHX_C&amp;R"/>
    <x v="8"/>
    <x v="1"/>
    <m/>
    <n v="5.9"/>
    <n v="5.6"/>
  </r>
  <r>
    <n v="85032"/>
    <s v="CA-11-PHX-69"/>
    <s v="STA_PHX_C&amp;R"/>
    <x v="8"/>
    <x v="1"/>
    <m/>
    <n v="14.6"/>
    <n v="13.7"/>
  </r>
  <r>
    <n v="85050"/>
    <s v="CA-11-PHX-69"/>
    <s v="STA_PHX_C&amp;R"/>
    <x v="8"/>
    <x v="0"/>
    <m/>
    <n v="6.3"/>
    <n v="6.1"/>
  </r>
  <r>
    <n v="85054"/>
    <s v="CA-11-PHX-69"/>
    <s v="STA_PHX_C&amp;R"/>
    <x v="8"/>
    <x v="0"/>
    <m/>
    <n v="2"/>
    <n v="1.6"/>
  </r>
  <r>
    <n v="85253"/>
    <s v="CA-11-PHX-69"/>
    <s v="STA_PHX_C&amp;R"/>
    <x v="8"/>
    <x v="0"/>
    <m/>
    <n v="2.7"/>
    <n v="2.7"/>
  </r>
  <r>
    <n v="85250"/>
    <s v="CA-11-PHX-69"/>
    <s v="STA_PHX_C&amp;R"/>
    <x v="8"/>
    <x v="0"/>
    <m/>
    <n v="3.3"/>
    <n v="3.1"/>
  </r>
  <r>
    <n v="85258"/>
    <s v="CA-11-PHX-69"/>
    <s v="STA_PHX_C&amp;R"/>
    <x v="8"/>
    <x v="0"/>
    <m/>
    <n v="3"/>
    <n v="2.6"/>
  </r>
  <r>
    <n v="85260"/>
    <s v="CA-11-PHX-69"/>
    <s v="STA_PHX_C&amp;R"/>
    <x v="8"/>
    <x v="0"/>
    <m/>
    <n v="7.6"/>
    <n v="7.1"/>
  </r>
  <r>
    <n v="85254"/>
    <s v="CA-11-PHX-69"/>
    <s v="STA_PHX_C&amp;R"/>
    <x v="8"/>
    <x v="0"/>
    <m/>
    <n v="8.6"/>
    <n v="7.9"/>
  </r>
  <r>
    <n v="85251"/>
    <s v="CA-11-PHX-69"/>
    <s v="STA_PHX_C&amp;R"/>
    <x v="8"/>
    <x v="0"/>
    <m/>
    <n v="7.7"/>
    <n v="7.7"/>
  </r>
  <r>
    <n v="85257"/>
    <s v="CA-11-PHX-69"/>
    <s v="STA_PHX_C&amp;R"/>
    <x v="8"/>
    <x v="0"/>
    <m/>
    <n v="6.1"/>
    <n v="5.7"/>
  </r>
  <r>
    <n v="85256"/>
    <s v="CA-11-PHX-69"/>
    <s v="STA_PHX_C&amp;R"/>
    <x v="8"/>
    <x v="1"/>
    <m/>
    <n v="3.1"/>
    <n v="1.1000000000000001"/>
  </r>
  <r>
    <n v="85201"/>
    <s v="CA-11-PHX-71"/>
    <s v="STA_PHX_GOMEZ"/>
    <x v="8"/>
    <x v="1"/>
    <m/>
    <n v="11"/>
    <n v="10.6"/>
  </r>
  <r>
    <n v="85203"/>
    <s v="CA-11-PHX-71"/>
    <s v="STA_PHX_GOMEZ"/>
    <x v="8"/>
    <x v="1"/>
    <m/>
    <n v="10.4"/>
    <n v="9.6999999999999993"/>
  </r>
  <r>
    <n v="85213"/>
    <s v="CA-11-PHX-71"/>
    <s v="STA_PHX_GOMEZ"/>
    <x v="8"/>
    <x v="1"/>
    <m/>
    <n v="5.6"/>
    <n v="5.0999999999999996"/>
  </r>
  <r>
    <n v="85204"/>
    <s v="CA-11-PHX-71"/>
    <s v="STA_PHX_GOMEZ"/>
    <x v="8"/>
    <x v="1"/>
    <m/>
    <n v="12.9"/>
    <n v="12"/>
  </r>
  <r>
    <n v="85210"/>
    <s v="CA-11-PHX-71"/>
    <s v="STA_PHX_GOMEZ"/>
    <x v="8"/>
    <x v="1"/>
    <m/>
    <n v="8.3000000000000007"/>
    <n v="8.1"/>
  </r>
  <r>
    <n v="85202"/>
    <s v="CA-11-PHX-71"/>
    <s v="STA_PHX_GOMEZ"/>
    <x v="8"/>
    <x v="1"/>
    <m/>
    <n v="10.6"/>
    <n v="10.3"/>
  </r>
  <r>
    <n v="85205"/>
    <s v="CA-11-PHX-71"/>
    <s v="STA_PHX_GOMEZ"/>
    <x v="8"/>
    <x v="1"/>
    <m/>
    <n v="7.4"/>
    <n v="7"/>
  </r>
  <r>
    <n v="85207"/>
    <s v="CA-11-PHX-71"/>
    <s v="STA_PHX_GOMEZ"/>
    <x v="8"/>
    <x v="1"/>
    <m/>
    <n v="10.4"/>
    <n v="9.6999999999999993"/>
  </r>
  <r>
    <n v="85215"/>
    <s v="CA-11-PHX-71"/>
    <s v="STA_PHX_GOMEZ"/>
    <x v="8"/>
    <x v="0"/>
    <m/>
    <n v="2.9"/>
    <n v="2.4"/>
  </r>
  <r>
    <n v="85208"/>
    <s v="CA-11-PHX-71"/>
    <s v="STA_PHX_GOMEZ"/>
    <x v="8"/>
    <x v="1"/>
    <m/>
    <n v="6"/>
    <n v="5.4"/>
  </r>
  <r>
    <n v="85209"/>
    <s v="CA-11-PHX-71"/>
    <s v="STA_PHX_GOMEZ"/>
    <x v="8"/>
    <x v="1"/>
    <m/>
    <n v="9.6999999999999993"/>
    <n v="9.4"/>
  </r>
  <r>
    <n v="85206"/>
    <s v="CA-11-PHX-71"/>
    <s v="STA_PHX_GOMEZ"/>
    <x v="8"/>
    <x v="1"/>
    <m/>
    <n v="8.6999999999999993"/>
    <n v="7.6"/>
  </r>
  <r>
    <n v="92590"/>
    <s v="CA-3-PRS-66"/>
    <s v="STA_LAX_ChinaOcean"/>
    <x v="9"/>
    <x v="0"/>
    <m/>
    <n v="0"/>
    <n v="0"/>
  </r>
  <r>
    <n v="92591"/>
    <s v="CA-3-PRS-66"/>
    <s v="STA_LAX_ChinaOcean"/>
    <x v="9"/>
    <x v="0"/>
    <m/>
    <n v="0.7"/>
    <n v="0"/>
  </r>
  <r>
    <n v="92592"/>
    <s v="CA-3-PRS-66"/>
    <s v="STA_LAX_ChinaOcean"/>
    <x v="9"/>
    <x v="0"/>
    <m/>
    <n v="1.7"/>
    <n v="0"/>
  </r>
  <r>
    <n v="92555"/>
    <s v="CA-3-PRS-68"/>
    <s v="STA_LAX_J J"/>
    <x v="9"/>
    <x v="1"/>
    <m/>
    <n v="37.4"/>
    <n v="0"/>
  </r>
  <r>
    <n v="92553"/>
    <s v="CA-3-PRS-68"/>
    <s v="STA_LAX_J J"/>
    <x v="9"/>
    <x v="0"/>
    <m/>
    <n v="1.9"/>
    <n v="0"/>
  </r>
  <r>
    <n v="92551"/>
    <s v="CA-3-PRS-68"/>
    <s v="STA_LAX_J J"/>
    <x v="9"/>
    <x v="0"/>
    <m/>
    <n v="0.7"/>
    <n v="0"/>
  </r>
  <r>
    <n v="92557"/>
    <s v="CA-3-PRS-68"/>
    <s v="STA_LAX_J J"/>
    <x v="9"/>
    <x v="0"/>
    <m/>
    <n v="1.1000000000000001"/>
    <n v="0"/>
  </r>
  <r>
    <n v="92571"/>
    <s v="CA-3-PRS-68"/>
    <s v="STA_LAX_J J"/>
    <x v="9"/>
    <x v="0"/>
    <m/>
    <n v="1.3"/>
    <n v="0"/>
  </r>
  <r>
    <n v="92599"/>
    <s v="CA-3-PRS-68"/>
    <s v="STA_LAX_J J"/>
    <x v="9"/>
    <x v="1"/>
    <m/>
    <n v="0"/>
    <n v="0"/>
  </r>
  <r>
    <n v="92563"/>
    <s v="CA-3-PRS-70"/>
    <s v="STA_LAX_J J"/>
    <x v="9"/>
    <x v="0"/>
    <m/>
    <n v="1.3"/>
    <n v="0"/>
  </r>
  <r>
    <n v="92584"/>
    <s v="CA-3-PRS-70"/>
    <s v="STA_LAX_J J"/>
    <x v="9"/>
    <x v="0"/>
    <m/>
    <n v="1.4"/>
    <n v="0"/>
  </r>
  <r>
    <n v="92585"/>
    <s v="CA-3-PRS-70"/>
    <s v="STA_LAX_J J"/>
    <x v="9"/>
    <x v="1"/>
    <m/>
    <n v="10.3"/>
    <n v="9.9"/>
  </r>
  <r>
    <n v="92586"/>
    <s v="CA-3-PRS-70"/>
    <s v="STA_LAX_J J"/>
    <x v="9"/>
    <x v="1"/>
    <m/>
    <n v="3.4"/>
    <n v="3.3"/>
  </r>
  <r>
    <n v="92595"/>
    <s v="CA-3-PRS-70"/>
    <s v="STA_LAX_J J"/>
    <x v="9"/>
    <x v="0"/>
    <m/>
    <n v="0.3"/>
    <n v="0"/>
  </r>
  <r>
    <n v="92596"/>
    <s v="CA-3-PRS-70"/>
    <s v="STA_LAX_J J"/>
    <x v="9"/>
    <x v="0"/>
    <m/>
    <n v="1.7"/>
    <n v="0"/>
  </r>
  <r>
    <n v="92587"/>
    <s v="CA-3-PRS-70"/>
    <s v="STA_LAX_J J"/>
    <x v="9"/>
    <x v="0"/>
    <m/>
    <n v="0.4"/>
    <n v="0"/>
  </r>
  <r>
    <n v="92562"/>
    <s v="CA-3-PRS-70"/>
    <s v="STA_LAX_J J"/>
    <x v="9"/>
    <x v="0"/>
    <m/>
    <n v="0.6"/>
    <n v="0"/>
  </r>
  <r>
    <n v="92570"/>
    <s v="CA-3-PRS-72"/>
    <s v="STA_LAX_ChinaOcean"/>
    <x v="9"/>
    <x v="0"/>
    <m/>
    <n v="1.9"/>
    <n v="0"/>
  </r>
  <r>
    <n v="92530"/>
    <s v="CA-3-PRS-72"/>
    <s v="STA_LAX_ChinaOcean"/>
    <x v="9"/>
    <x v="0"/>
    <m/>
    <n v="21.3"/>
    <n v="19.100000000000001"/>
  </r>
  <r>
    <n v="92532"/>
    <s v="CA-3-PRS-72"/>
    <s v="STA_LAX_ChinaOcean"/>
    <x v="9"/>
    <x v="0"/>
    <m/>
    <n v="0.6"/>
    <n v="0"/>
  </r>
  <r>
    <n v="92543"/>
    <s v="CA-3-PRS-74"/>
    <s v="STA_LAX_J J"/>
    <x v="9"/>
    <x v="0"/>
    <m/>
    <n v="0.9"/>
    <n v="0"/>
  </r>
  <r>
    <n v="92544"/>
    <s v="CA-3-PRS-74"/>
    <s v="STA_LAX_J J"/>
    <x v="9"/>
    <x v="1"/>
    <m/>
    <n v="19"/>
    <n v="0"/>
  </r>
  <r>
    <n v="92545"/>
    <s v="CA-3-PRS-74"/>
    <s v="STA_LAX_J J"/>
    <x v="9"/>
    <x v="0"/>
    <m/>
    <n v="1.1000000000000001"/>
    <n v="0"/>
  </r>
  <r>
    <n v="92582"/>
    <s v="CA-3-PRS-74"/>
    <s v="STA_LAX_J J"/>
    <x v="9"/>
    <x v="1"/>
    <m/>
    <n v="20"/>
    <n v="0"/>
  </r>
  <r>
    <n v="92583"/>
    <s v="CA-3-PRS-74"/>
    <s v="STA_LAX_J J"/>
    <x v="9"/>
    <x v="1"/>
    <m/>
    <n v="25.4"/>
    <n v="0"/>
  </r>
  <r>
    <n v="92548"/>
    <s v="CA-3-PRS-74"/>
    <s v="STA_LAX_J J"/>
    <x v="9"/>
    <x v="0"/>
    <m/>
    <n v="2.7"/>
    <n v="2.2999999999999998"/>
  </r>
  <r>
    <n v="92567"/>
    <s v="CA-3-PRS-74"/>
    <s v="STA_LAX_J J"/>
    <x v="9"/>
    <x v="1"/>
    <m/>
    <n v="9.6999999999999993"/>
    <n v="0"/>
  </r>
  <r>
    <n v="92223"/>
    <s v="CA-3-PRS-76"/>
    <s v="STA_LAX_J J"/>
    <x v="9"/>
    <x v="1"/>
    <m/>
    <n v="44.9"/>
    <n v="0.1"/>
  </r>
  <r>
    <n v="92220"/>
    <s v="CA-3-PRS-76"/>
    <s v="STA_LAX_J J"/>
    <x v="9"/>
    <x v="1"/>
    <m/>
    <n v="23"/>
    <n v="0"/>
  </r>
  <r>
    <n v="92230"/>
    <s v="CA-3-PRS-76"/>
    <s v="STA_LAX_J J"/>
    <x v="9"/>
    <x v="1"/>
    <m/>
    <n v="2.7"/>
    <n v="0.6"/>
  </r>
  <r>
    <n v="92320"/>
    <s v="CA-3-PRS-76"/>
    <s v="STA_LAX_J J"/>
    <x v="9"/>
    <x v="1"/>
    <m/>
    <n v="2.9"/>
    <n v="0"/>
  </r>
  <r>
    <n v="92399"/>
    <s v="CA-3-PRS-76"/>
    <s v="STA_LAX_J J"/>
    <x v="9"/>
    <x v="1"/>
    <m/>
    <n v="10.7"/>
    <n v="0"/>
  </r>
  <r>
    <n v="95838"/>
    <s v="CA-8-SAC-89"/>
    <s v="STA_SAC_FCA"/>
    <x v="10"/>
    <x v="1"/>
    <m/>
    <n v="0.6"/>
    <n v="0.1"/>
  </r>
  <r>
    <n v="95652"/>
    <s v="CA-8-SAC-89"/>
    <s v="STA_SAC_FCA"/>
    <x v="10"/>
    <x v="1"/>
    <m/>
    <n v="0.1"/>
    <n v="0.1"/>
  </r>
  <r>
    <n v="95660"/>
    <s v="CA-8-SAC-89"/>
    <s v="STA_SAC_FCA"/>
    <x v="10"/>
    <x v="1"/>
    <m/>
    <n v="0.1"/>
    <n v="0"/>
  </r>
  <r>
    <n v="95842"/>
    <s v="CA-8-SAC-89"/>
    <s v="STA_SAC_FCA"/>
    <x v="10"/>
    <x v="1"/>
    <m/>
    <n v="1"/>
    <n v="0.3"/>
  </r>
  <r>
    <n v="95843"/>
    <s v="CA-8-SAC-89"/>
    <s v="STA_SAC_FCA"/>
    <x v="10"/>
    <x v="1"/>
    <m/>
    <n v="0.6"/>
    <n v="0.1"/>
  </r>
  <r>
    <n v="95673"/>
    <s v="CA-8-SAC-89"/>
    <s v="STA_SAC_FCA"/>
    <x v="10"/>
    <x v="1"/>
    <m/>
    <n v="0.3"/>
    <n v="0"/>
  </r>
  <r>
    <n v="95626"/>
    <s v="CA-8-SAC-89"/>
    <s v="STA_SAC_FCA"/>
    <x v="10"/>
    <x v="1"/>
    <m/>
    <n v="0.1"/>
    <n v="0"/>
  </r>
  <r>
    <n v="95747"/>
    <s v="CA-8-SAC-89"/>
    <s v="STA_SAC_FCA"/>
    <x v="10"/>
    <x v="1"/>
    <m/>
    <n v="1.7"/>
    <n v="0.1"/>
  </r>
  <r>
    <n v="95678"/>
    <s v="CA-8-SAC-89"/>
    <s v="STA_SAC_FCA"/>
    <x v="10"/>
    <x v="1"/>
    <m/>
    <n v="1.4"/>
    <n v="0.3"/>
  </r>
  <r>
    <n v="95661"/>
    <s v="CA-8-SAC-89"/>
    <s v="STA_SAC_FCA"/>
    <x v="10"/>
    <x v="1"/>
    <m/>
    <n v="0.1"/>
    <n v="0"/>
  </r>
  <r>
    <n v="95746"/>
    <s v="CA-8-SAC-89"/>
    <s v="STA_SAC_FCA"/>
    <x v="10"/>
    <x v="1"/>
    <m/>
    <n v="0"/>
    <n v="0"/>
  </r>
  <r>
    <n v="95677"/>
    <s v="CA-8-SAC-89"/>
    <s v="STA_SAC_FCA"/>
    <x v="10"/>
    <x v="1"/>
    <m/>
    <n v="0.7"/>
    <n v="0"/>
  </r>
  <r>
    <n v="95650"/>
    <s v="CA-8-SAC-89"/>
    <s v="STA_SAC_FCA"/>
    <x v="10"/>
    <x v="1"/>
    <m/>
    <n v="0.6"/>
    <n v="0.1"/>
  </r>
  <r>
    <n v="95765"/>
    <s v="CA-8-SAC-89"/>
    <s v="STA_SAC_FCA"/>
    <x v="10"/>
    <x v="1"/>
    <m/>
    <n v="0.6"/>
    <n v="0"/>
  </r>
  <r>
    <n v="95648"/>
    <s v="CA-8-SAC-89"/>
    <s v="STA_SAC_FCA"/>
    <x v="10"/>
    <x v="1"/>
    <m/>
    <n v="1.9"/>
    <n v="0.7"/>
  </r>
  <r>
    <n v="95703"/>
    <s v="CA-8-SAC-89"/>
    <s v="STA_SAC_FCA"/>
    <x v="10"/>
    <x v="1"/>
    <m/>
    <n v="1.4"/>
    <n v="0.3"/>
  </r>
  <r>
    <n v="95603"/>
    <s v="CA-8-SAC-89"/>
    <s v="STA_SAC_FCA"/>
    <x v="10"/>
    <x v="1"/>
    <m/>
    <n v="5.9"/>
    <n v="0"/>
  </r>
  <r>
    <n v="95602"/>
    <s v="CA-8-SAC-89"/>
    <s v="STA_SAC_FCA"/>
    <x v="10"/>
    <x v="1"/>
    <m/>
    <n v="19.399999999999999"/>
    <n v="4"/>
  </r>
  <r>
    <n v="95722"/>
    <s v="CA-8-SAC-89"/>
    <s v="STA_SAC_FCA"/>
    <x v="10"/>
    <x v="1"/>
    <m/>
    <n v="6"/>
    <n v="0.7"/>
  </r>
  <r>
    <n v="95991"/>
    <s v="CA-8-SAC-89"/>
    <s v="STA_SAC_FCA"/>
    <x v="10"/>
    <x v="1"/>
    <m/>
    <n v="10.1"/>
    <n v="0"/>
  </r>
  <r>
    <n v="95961"/>
    <s v="CA-8-SAC-89"/>
    <s v="STA_SAC_FCA"/>
    <x v="10"/>
    <x v="1"/>
    <m/>
    <n v="12.7"/>
    <n v="0"/>
  </r>
  <r>
    <n v="95993"/>
    <s v="CA-8-SAC-89"/>
    <s v="STA_SAC_FCA"/>
    <x v="10"/>
    <x v="1"/>
    <m/>
    <n v="10.4"/>
    <n v="0"/>
  </r>
  <r>
    <n v="95901"/>
    <s v="CA-8-SAC-89"/>
    <s v="STA_SAC_FCA"/>
    <x v="10"/>
    <x v="1"/>
    <m/>
    <n v="9.3000000000000007"/>
    <n v="0"/>
  </r>
  <r>
    <n v="95815"/>
    <s v="CA-8-SAC-101"/>
    <s v="STA_SAC_MCA"/>
    <x v="10"/>
    <x v="1"/>
    <m/>
    <n v="0.4"/>
    <n v="0"/>
  </r>
  <r>
    <n v="95825"/>
    <s v="CA-8-SAC-101"/>
    <s v="STA_SAC_MCA"/>
    <x v="10"/>
    <x v="1"/>
    <m/>
    <n v="0.1"/>
    <n v="0"/>
  </r>
  <r>
    <n v="95821"/>
    <s v="CA-8-SAC-101"/>
    <s v="STA_SAC_MCA"/>
    <x v="10"/>
    <x v="1"/>
    <m/>
    <n v="0.6"/>
    <n v="0.1"/>
  </r>
  <r>
    <n v="95864"/>
    <s v="CA-8-SAC-101"/>
    <s v="STA_SAC_MCA"/>
    <x v="10"/>
    <x v="0"/>
    <m/>
    <n v="0.1"/>
    <n v="0"/>
  </r>
  <r>
    <n v="95608"/>
    <s v="CA-8-SAC-101"/>
    <s v="STA_SAC_MCA"/>
    <x v="10"/>
    <x v="1"/>
    <m/>
    <n v="0.9"/>
    <n v="0.3"/>
  </r>
  <r>
    <n v="95841"/>
    <s v="CA-8-SAC-101"/>
    <s v="STA_SAC_MCA"/>
    <x v="10"/>
    <x v="1"/>
    <m/>
    <n v="0.4"/>
    <n v="0"/>
  </r>
  <r>
    <n v="95628"/>
    <s v="CA-8-SAC-101"/>
    <s v="STA_SAC_MCA"/>
    <x v="10"/>
    <x v="1"/>
    <m/>
    <n v="1"/>
    <n v="0.6"/>
  </r>
  <r>
    <n v="95621"/>
    <s v="CA-8-SAC-101"/>
    <s v="STA_SAC_MCA"/>
    <x v="10"/>
    <x v="1"/>
    <m/>
    <n v="0.4"/>
    <n v="0"/>
  </r>
  <r>
    <n v="95610"/>
    <s v="CA-8-SAC-101"/>
    <s v="STA_SAC_MCA"/>
    <x v="10"/>
    <x v="1"/>
    <m/>
    <n v="1.1000000000000001"/>
    <n v="0"/>
  </r>
  <r>
    <n v="95662"/>
    <s v="CA-8-SAC-101"/>
    <s v="STA_SAC_MCA"/>
    <x v="10"/>
    <x v="1"/>
    <m/>
    <n v="0.4"/>
    <n v="0"/>
  </r>
  <r>
    <n v="95618"/>
    <s v="CA-8-SAC-101"/>
    <s v="STA_SAC_MCA"/>
    <x v="10"/>
    <x v="1"/>
    <m/>
    <n v="0.4"/>
    <n v="0.1"/>
  </r>
  <r>
    <n v="95616"/>
    <s v="CA-8-SAC-101"/>
    <s v="STA_SAC_MCA"/>
    <x v="10"/>
    <x v="1"/>
    <m/>
    <n v="9.6999999999999993"/>
    <n v="9.6"/>
  </r>
  <r>
    <n v="95776"/>
    <s v="CA-8-SAC-101"/>
    <s v="STA_SAC_MCA"/>
    <x v="10"/>
    <x v="1"/>
    <m/>
    <n v="6.7"/>
    <n v="0.1"/>
  </r>
  <r>
    <n v="95695"/>
    <s v="CA-8-SAC-101"/>
    <s v="STA_SAC_MCA"/>
    <x v="10"/>
    <x v="1"/>
    <m/>
    <n v="9.9"/>
    <n v="0"/>
  </r>
  <r>
    <n v="95811"/>
    <s v="CA-8-SAC-93"/>
    <s v="STA_SAC_MCA"/>
    <x v="10"/>
    <x v="0"/>
    <m/>
    <n v="0.1"/>
    <n v="0"/>
  </r>
  <r>
    <n v="95814"/>
    <s v="CA-8-SAC-93"/>
    <s v="STA_SAC_MCA"/>
    <x v="10"/>
    <x v="1"/>
    <m/>
    <n v="0.1"/>
    <n v="0"/>
  </r>
  <r>
    <n v="95816"/>
    <s v="CA-8-SAC-93"/>
    <s v="STA_SAC_MCA"/>
    <x v="10"/>
    <x v="1"/>
    <m/>
    <n v="0"/>
    <n v="0"/>
  </r>
  <r>
    <n v="95817"/>
    <s v="CA-8-SAC-93"/>
    <s v="STA_SAC_MCA"/>
    <x v="10"/>
    <x v="1"/>
    <m/>
    <n v="0.1"/>
    <n v="0"/>
  </r>
  <r>
    <n v="95818"/>
    <s v="CA-8-SAC-93"/>
    <s v="STA_SAC_MCA"/>
    <x v="10"/>
    <x v="1"/>
    <m/>
    <n v="0.1"/>
    <n v="0"/>
  </r>
  <r>
    <n v="95819"/>
    <s v="CA-8-SAC-93"/>
    <s v="STA_SAC_MCA"/>
    <x v="10"/>
    <x v="0"/>
    <m/>
    <n v="0.3"/>
    <n v="0.1"/>
  </r>
  <r>
    <n v="95824"/>
    <s v="CA-8-SAC-93"/>
    <s v="STA_SAC_MCA"/>
    <x v="10"/>
    <x v="1"/>
    <m/>
    <n v="0.3"/>
    <n v="0.1"/>
  </r>
  <r>
    <n v="95820"/>
    <s v="CA-8-SAC-93"/>
    <s v="STA_SAC_MCA"/>
    <x v="10"/>
    <x v="1"/>
    <m/>
    <n v="0.6"/>
    <n v="0"/>
  </r>
  <r>
    <n v="95826"/>
    <s v="CA-8-SAC-93"/>
    <s v="STA_SAC_MCA"/>
    <x v="10"/>
    <x v="1"/>
    <m/>
    <n v="0.1"/>
    <n v="0"/>
  </r>
  <r>
    <n v="95827"/>
    <s v="CA-8-SAC-93"/>
    <s v="STA_SAC_MCA"/>
    <x v="10"/>
    <x v="1"/>
    <m/>
    <n v="0.1"/>
    <n v="0"/>
  </r>
  <r>
    <n v="95828"/>
    <s v="CA-8-SAC-93"/>
    <s v="STA_SAC_MCA"/>
    <x v="10"/>
    <x v="1"/>
    <m/>
    <n v="2.2999999999999998"/>
    <n v="0.3"/>
  </r>
  <r>
    <n v="95829"/>
    <s v="CA-8-SAC-93"/>
    <s v="STA_SAC_MCA"/>
    <x v="10"/>
    <x v="1"/>
    <m/>
    <n v="1.6"/>
    <n v="0.4"/>
  </r>
  <r>
    <n v="95670"/>
    <s v="CA-8-SAC-93"/>
    <s v="STA_SAC_MCA"/>
    <x v="10"/>
    <x v="1"/>
    <m/>
    <n v="0.3"/>
    <n v="0"/>
  </r>
  <r>
    <n v="95655"/>
    <s v="CA-8-SAC-93"/>
    <s v="STA_SAC_MCA"/>
    <x v="10"/>
    <x v="1"/>
    <m/>
    <n v="0"/>
    <n v="0"/>
  </r>
  <r>
    <n v="95742"/>
    <s v="CA-8-SAC-93"/>
    <s v="STA_SAC_MCA"/>
    <x v="10"/>
    <x v="1"/>
    <m/>
    <n v="0.7"/>
    <n v="0.1"/>
  </r>
  <r>
    <n v="95630"/>
    <s v="CA-8-SAC-93"/>
    <s v="STA_SAC_MCA"/>
    <x v="10"/>
    <x v="0"/>
    <m/>
    <n v="1.1000000000000001"/>
    <n v="0.3"/>
  </r>
  <r>
    <n v="95831"/>
    <s v="CA-8-SAC-95"/>
    <s v="STA_SAC_FCA"/>
    <x v="10"/>
    <x v="1"/>
    <m/>
    <n v="0.1"/>
    <n v="0"/>
  </r>
  <r>
    <n v="95822"/>
    <s v="CA-8-SAC-95"/>
    <s v="STA_SAC_FCA"/>
    <x v="10"/>
    <x v="1"/>
    <m/>
    <n v="0.6"/>
    <n v="0.1"/>
  </r>
  <r>
    <n v="95832"/>
    <s v="CA-8-SAC-95"/>
    <s v="STA_SAC_FCA"/>
    <x v="10"/>
    <x v="1"/>
    <m/>
    <n v="0.3"/>
    <n v="0"/>
  </r>
  <r>
    <n v="95823"/>
    <s v="CA-8-SAC-95"/>
    <s v="STA_SAC_FCA"/>
    <x v="10"/>
    <x v="1"/>
    <m/>
    <n v="1.7"/>
    <n v="0"/>
  </r>
  <r>
    <n v="95758"/>
    <s v="CA-8-SAC-95"/>
    <s v="STA_SAC_FCA"/>
    <x v="10"/>
    <x v="1"/>
    <m/>
    <n v="1.1000000000000001"/>
    <n v="0.1"/>
  </r>
  <r>
    <n v="95639"/>
    <s v="CA-8-SAC-95"/>
    <s v="STA_SAC_FCA"/>
    <x v="10"/>
    <x v="1"/>
    <m/>
    <n v="0"/>
    <n v="0"/>
  </r>
  <r>
    <n v="95757"/>
    <s v="CA-8-SAC-95"/>
    <s v="STA_SAC_FCA"/>
    <x v="10"/>
    <x v="1"/>
    <m/>
    <n v="1.1000000000000001"/>
    <n v="0"/>
  </r>
  <r>
    <n v="95624"/>
    <s v="CA-8-SAC-95"/>
    <s v="STA_SAC_FCA"/>
    <x v="10"/>
    <x v="1"/>
    <m/>
    <n v="1.4"/>
    <n v="0"/>
  </r>
  <r>
    <n v="95691"/>
    <s v="CA-8-SAC-95"/>
    <s v="STA_SAC_FCA"/>
    <x v="10"/>
    <x v="1"/>
    <m/>
    <n v="0.3"/>
    <n v="0"/>
  </r>
  <r>
    <n v="95605"/>
    <s v="CA-8-SAC-95"/>
    <s v="STA_SAC_FCA"/>
    <x v="10"/>
    <x v="1"/>
    <m/>
    <n v="0.7"/>
    <n v="0"/>
  </r>
  <r>
    <n v="95834"/>
    <s v="CA-8-SAC-95"/>
    <s v="STA_SAC_FCA"/>
    <x v="10"/>
    <x v="1"/>
    <m/>
    <n v="0.9"/>
    <n v="0.1"/>
  </r>
  <r>
    <n v="95835"/>
    <s v="CA-8-SAC-95"/>
    <s v="STA_SAC_FCA"/>
    <x v="10"/>
    <x v="1"/>
    <m/>
    <n v="0.7"/>
    <n v="0.1"/>
  </r>
  <r>
    <n v="95837"/>
    <s v="CA-8-SAC-95"/>
    <s v="STA_SAC_FCA"/>
    <x v="10"/>
    <x v="1"/>
    <m/>
    <n v="1.3"/>
    <n v="0"/>
  </r>
  <r>
    <n v="95833"/>
    <s v="CA-8-SAC-95"/>
    <s v="STA_SAC_FCA"/>
    <x v="10"/>
    <x v="1"/>
    <m/>
    <n v="0.7"/>
    <n v="0.3"/>
  </r>
  <r>
    <n v="92154"/>
    <s v="CA-6-SD-131"/>
    <s v="STA_LAX_ChinaOcean"/>
    <x v="11"/>
    <x v="0"/>
    <m/>
    <n v="1.3"/>
    <n v="0"/>
  </r>
  <r>
    <n v="91932"/>
    <s v="CA-6-SD-131"/>
    <s v="STA_LAX_ChinaOcean"/>
    <x v="11"/>
    <x v="0"/>
    <m/>
    <n v="0.3"/>
    <n v="0"/>
  </r>
  <r>
    <n v="92173"/>
    <s v="CA-6-SD-131"/>
    <s v="STA_LAX_ChinaOcean"/>
    <x v="11"/>
    <x v="0"/>
    <m/>
    <n v="0.6"/>
    <n v="0"/>
  </r>
  <r>
    <n v="91913"/>
    <s v="CA-6-SD-133"/>
    <s v="STA_LAX_ChinaOcean"/>
    <x v="11"/>
    <x v="0"/>
    <m/>
    <n v="0.7"/>
    <n v="0"/>
  </r>
  <r>
    <n v="91911"/>
    <s v="CA-6-SD-133"/>
    <s v="STA_LAX_ChinaOcean"/>
    <x v="11"/>
    <x v="0"/>
    <m/>
    <n v="0.7"/>
    <n v="0"/>
  </r>
  <r>
    <n v="91915"/>
    <s v="CA-6-SD-133"/>
    <s v="STA_LAX_ChinaOcean"/>
    <x v="11"/>
    <x v="0"/>
    <m/>
    <n v="0.3"/>
    <n v="0"/>
  </r>
  <r>
    <n v="92135"/>
    <s v="CA-6-SD-135"/>
    <s v="STA_SD_FastShip"/>
    <x v="11"/>
    <x v="1"/>
    <m/>
    <n v="0"/>
    <n v="0"/>
  </r>
  <r>
    <n v="92118"/>
    <s v="CA-6-SD-135"/>
    <s v="STA_SD_FastShip"/>
    <x v="11"/>
    <x v="1"/>
    <m/>
    <n v="28.9"/>
    <n v="3.3"/>
  </r>
  <r>
    <n v="91950"/>
    <s v="CA-6-SD-135"/>
    <s v="STA_SD_FastShip"/>
    <x v="11"/>
    <x v="0"/>
    <m/>
    <n v="0"/>
    <n v="0"/>
  </r>
  <r>
    <n v="92139"/>
    <s v="CA-6-SD-135"/>
    <s v="STA_SD_FastShip"/>
    <x v="11"/>
    <x v="0"/>
    <m/>
    <n v="0.1"/>
    <n v="0"/>
  </r>
  <r>
    <n v="92102"/>
    <s v="CA-6-SD-135"/>
    <s v="STA_SD_FastShip"/>
    <x v="11"/>
    <x v="0"/>
    <m/>
    <n v="0.6"/>
    <n v="0"/>
  </r>
  <r>
    <n v="92113"/>
    <s v="CA-6-SD-135"/>
    <s v="STA_SD_FastShip"/>
    <x v="11"/>
    <x v="0"/>
    <m/>
    <n v="0.7"/>
    <n v="0"/>
  </r>
  <r>
    <n v="92114"/>
    <s v="CA-6-SD-135"/>
    <s v="STA_SD_FastShip"/>
    <x v="11"/>
    <x v="0"/>
    <m/>
    <n v="0.4"/>
    <n v="0"/>
  </r>
  <r>
    <n v="91914"/>
    <s v="CA-6-SD-135"/>
    <s v="STA_SD_FastShip"/>
    <x v="11"/>
    <x v="0"/>
    <m/>
    <n v="0.4"/>
    <n v="0"/>
  </r>
  <r>
    <n v="91902"/>
    <s v="CA-6-SD-135"/>
    <s v="STA_SD_FastShip"/>
    <x v="11"/>
    <x v="0"/>
    <m/>
    <n v="0.3"/>
    <n v="0"/>
  </r>
  <r>
    <n v="91910"/>
    <s v="CA-6-SD-135"/>
    <s v="STA_SD_FastShip"/>
    <x v="11"/>
    <x v="0"/>
    <m/>
    <n v="0.6"/>
    <n v="0"/>
  </r>
  <r>
    <n v="92024"/>
    <s v="CA-6-SD-137"/>
    <s v="STA_SD_FastShip"/>
    <x v="11"/>
    <x v="0"/>
    <m/>
    <n v="0.4"/>
    <n v="0"/>
  </r>
  <r>
    <n v="92007"/>
    <s v="CA-6-SD-137"/>
    <s v="STA_SD_FastShip"/>
    <x v="11"/>
    <x v="0"/>
    <m/>
    <n v="0"/>
    <n v="0"/>
  </r>
  <r>
    <n v="92008"/>
    <s v="CA-6-SD-137"/>
    <s v="STA_SD_FastShip"/>
    <x v="11"/>
    <x v="0"/>
    <m/>
    <n v="0.1"/>
    <n v="0"/>
  </r>
  <r>
    <n v="92009"/>
    <s v="CA-6-SD-137"/>
    <s v="STA_SD_FastShip"/>
    <x v="11"/>
    <x v="0"/>
    <m/>
    <n v="0.6"/>
    <n v="0"/>
  </r>
  <r>
    <n v="92010"/>
    <s v="CA-6-SD-137"/>
    <s v="STA_SD_FastShip"/>
    <x v="11"/>
    <x v="0"/>
    <m/>
    <n v="5.7"/>
    <n v="5.6"/>
  </r>
  <r>
    <n v="92011"/>
    <s v="CA-6-SD-137"/>
    <s v="STA_SD_FastShip"/>
    <x v="11"/>
    <x v="0"/>
    <m/>
    <n v="0.3"/>
    <n v="0"/>
  </r>
  <r>
    <n v="92069"/>
    <s v="CA-6-SD-137"/>
    <s v="STA_SD_FastShip"/>
    <x v="11"/>
    <x v="0"/>
    <m/>
    <n v="0.3"/>
    <n v="0"/>
  </r>
  <r>
    <n v="92078"/>
    <s v="CA-6-SD-137"/>
    <s v="STA_SD_FastShip"/>
    <x v="11"/>
    <x v="0"/>
    <m/>
    <n v="0.4"/>
    <n v="0"/>
  </r>
  <r>
    <n v="92096"/>
    <s v="CA-6-SD-137"/>
    <s v="STA_SD_FastShip"/>
    <x v="11"/>
    <x v="0"/>
    <m/>
    <n v="0"/>
    <n v="0"/>
  </r>
  <r>
    <n v="92110"/>
    <s v="CA-6-SD-139"/>
    <s v="STA_LAX_FDE"/>
    <x v="11"/>
    <x v="0"/>
    <m/>
    <n v="0.4"/>
    <n v="0"/>
  </r>
  <r>
    <n v="92132"/>
    <s v="CA-6-SD-139"/>
    <s v="STA_LAX_FDE"/>
    <x v="11"/>
    <x v="1"/>
    <s v="邮寄"/>
    <n v="0"/>
    <n v="0"/>
  </r>
  <r>
    <n v="92108"/>
    <s v="CA-6-SD-139"/>
    <s v="STA_LAX_FDE"/>
    <x v="11"/>
    <x v="2"/>
    <m/>
    <n v="0.3"/>
    <n v="0"/>
  </r>
  <r>
    <n v="92101"/>
    <s v="CA-6-SD-139"/>
    <s v="STA_LAX_FDE"/>
    <x v="11"/>
    <x v="0"/>
    <m/>
    <n v="0.6"/>
    <n v="0"/>
  </r>
  <r>
    <n v="92134"/>
    <s v="CA-6-SD-139"/>
    <s v="STA_LAX_FDE"/>
    <x v="11"/>
    <x v="1"/>
    <s v="邮寄"/>
    <n v="0"/>
    <n v="0"/>
  </r>
  <r>
    <n v="92140"/>
    <s v="CA-6-SD-139"/>
    <s v="STA_LAX_FDE"/>
    <x v="11"/>
    <x v="0"/>
    <m/>
    <n v="0"/>
    <n v="0"/>
  </r>
  <r>
    <n v="92103"/>
    <s v="CA-6-SD-139"/>
    <s v="STA_LAX_FDE"/>
    <x v="11"/>
    <x v="0"/>
    <m/>
    <n v="0.3"/>
    <n v="0"/>
  </r>
  <r>
    <n v="92104"/>
    <s v="CA-6-SD-139"/>
    <s v="STA_LAX_FDE"/>
    <x v="11"/>
    <x v="0"/>
    <m/>
    <n v="0.4"/>
    <n v="0"/>
  </r>
  <r>
    <n v="92116"/>
    <s v="CA-6-SD-139"/>
    <s v="STA_LAX_FDE"/>
    <x v="11"/>
    <x v="0"/>
    <m/>
    <n v="0.3"/>
    <n v="0"/>
  </r>
  <r>
    <n v="92105"/>
    <s v="CA-6-SD-139"/>
    <s v="STA_LAX_FDE"/>
    <x v="11"/>
    <x v="0"/>
    <m/>
    <n v="0.7"/>
    <n v="0"/>
  </r>
  <r>
    <n v="92115"/>
    <s v="CA-6-SD-139"/>
    <s v="STA_LAX_FDE"/>
    <x v="11"/>
    <x v="0"/>
    <m/>
    <n v="0.9"/>
    <n v="0"/>
  </r>
  <r>
    <n v="92107"/>
    <s v="CA-6-SD-147"/>
    <s v="STA_SD_FastShip"/>
    <x v="11"/>
    <x v="0"/>
    <m/>
    <n v="0"/>
    <n v="0"/>
  </r>
  <r>
    <n v="92147"/>
    <s v="CA-6-SD-147"/>
    <s v="STA_SD_FastShip"/>
    <x v="11"/>
    <x v="1"/>
    <s v="邮寄"/>
    <n v="0"/>
    <n v="0"/>
  </r>
  <r>
    <n v="92106"/>
    <s v="CA-6-SD-147"/>
    <s v="STA_SD_FastShip"/>
    <x v="11"/>
    <x v="0"/>
    <m/>
    <n v="0.6"/>
    <n v="0"/>
  </r>
  <r>
    <n v="92111"/>
    <s v="CA-6-SD-147"/>
    <s v="STA_SD_FastShip"/>
    <x v="11"/>
    <x v="0"/>
    <m/>
    <n v="0.3"/>
    <n v="0"/>
  </r>
  <r>
    <n v="92117"/>
    <s v="CA-6-SD-147"/>
    <s v="STA_SD_FastShip"/>
    <x v="11"/>
    <x v="0"/>
    <m/>
    <n v="0.4"/>
    <n v="0"/>
  </r>
  <r>
    <n v="92037"/>
    <s v="CA-6-SD-149"/>
    <s v="STA_LAX_ChinaOcean"/>
    <x v="11"/>
    <x v="0"/>
    <m/>
    <n v="0.3"/>
    <n v="0"/>
  </r>
  <r>
    <n v="92109"/>
    <s v="CA-6-SD-149"/>
    <s v="STA_LAX_ChinaOcean"/>
    <x v="11"/>
    <x v="0"/>
    <m/>
    <n v="0.3"/>
    <n v="0"/>
  </r>
  <r>
    <n v="92121"/>
    <s v="CA-6-SD-149"/>
    <s v="STA_LAX_ChinaOcean"/>
    <x v="11"/>
    <x v="0"/>
    <m/>
    <n v="0.4"/>
    <n v="0"/>
  </r>
  <r>
    <n v="92122"/>
    <s v="CA-6-SD-149"/>
    <s v="STA_LAX_ChinaOcean"/>
    <x v="11"/>
    <x v="0"/>
    <m/>
    <n v="0.1"/>
    <n v="0"/>
  </r>
  <r>
    <n v="92092"/>
    <s v="CA-6-SD-149"/>
    <s v="STA_LAX_ChinaOcean"/>
    <x v="11"/>
    <x v="0"/>
    <m/>
    <n v="1.3"/>
    <n v="1.3"/>
  </r>
  <r>
    <n v="92093"/>
    <s v="CA-6-SD-149"/>
    <s v="STA_LAX_ChinaOcean"/>
    <x v="11"/>
    <x v="0"/>
    <m/>
    <n v="0.1"/>
    <n v="0.1"/>
  </r>
  <r>
    <n v="92126"/>
    <s v="CA-6-SD-151"/>
    <s v="STA_LAX_FDE"/>
    <x v="11"/>
    <x v="1"/>
    <m/>
    <n v="0.9"/>
    <n v="0"/>
  </r>
  <r>
    <n v="92129"/>
    <s v="CA-6-SD-151"/>
    <s v="STA_LAX_FDE"/>
    <x v="11"/>
    <x v="1"/>
    <m/>
    <n v="0.4"/>
    <n v="0"/>
  </r>
  <r>
    <n v="92131"/>
    <s v="CA-6-SD-151"/>
    <s v="STA_LAX_FDE"/>
    <x v="11"/>
    <x v="1"/>
    <m/>
    <n v="0"/>
    <n v="0"/>
  </r>
  <r>
    <n v="92130"/>
    <s v="CA-6-SD-151"/>
    <s v="STA_LAX_FDE"/>
    <x v="11"/>
    <x v="1"/>
    <m/>
    <n v="1.3"/>
    <n v="0"/>
  </r>
  <r>
    <n v="92014"/>
    <s v="CA-6-SD-151"/>
    <s v="STA_LAX_FDE"/>
    <x v="11"/>
    <x v="0"/>
    <m/>
    <n v="0.1"/>
    <n v="0"/>
  </r>
  <r>
    <n v="92075"/>
    <s v="CA-6-SD-151"/>
    <s v="STA_LAX_FDE"/>
    <x v="11"/>
    <x v="0"/>
    <m/>
    <n v="0.3"/>
    <n v="0"/>
  </r>
  <r>
    <n v="92067"/>
    <s v="CA-6-SD-151"/>
    <s v="STA_LAX_FDE"/>
    <x v="11"/>
    <x v="0"/>
    <m/>
    <n v="0"/>
    <n v="0"/>
  </r>
  <r>
    <n v="92091"/>
    <s v="CA-6-SD-151"/>
    <s v="STA_LAX_FDE"/>
    <x v="11"/>
    <x v="0"/>
    <m/>
    <n v="0"/>
    <n v="0"/>
  </r>
  <r>
    <n v="92025"/>
    <s v="CA-6-SD-153"/>
    <s v="STA_LAX_FDE"/>
    <x v="11"/>
    <x v="0"/>
    <m/>
    <n v="1"/>
    <n v="0"/>
  </r>
  <r>
    <n v="92026"/>
    <s v="CA-6-SD-153"/>
    <s v="STA_LAX_FDE"/>
    <x v="11"/>
    <x v="1"/>
    <m/>
    <n v="10.9"/>
    <n v="0"/>
  </r>
  <r>
    <n v="92027"/>
    <s v="CA-6-SD-153"/>
    <s v="STA_LAX_FDE"/>
    <x v="11"/>
    <x v="0"/>
    <m/>
    <n v="0.7"/>
    <n v="0"/>
  </r>
  <r>
    <n v="92029"/>
    <s v="CA-6-SD-153"/>
    <s v="STA_LAX_FDE"/>
    <x v="11"/>
    <x v="0"/>
    <m/>
    <n v="0.3"/>
    <n v="0"/>
  </r>
  <r>
    <n v="92127"/>
    <s v="CA-6-SD-153"/>
    <s v="STA_LAX_FDE"/>
    <x v="11"/>
    <x v="0"/>
    <m/>
    <n v="0.4"/>
    <n v="0"/>
  </r>
  <r>
    <n v="92128"/>
    <s v="CA-6-SD-153"/>
    <s v="STA_LAX_FDE"/>
    <x v="11"/>
    <x v="0"/>
    <m/>
    <n v="0.3"/>
    <n v="0"/>
  </r>
  <r>
    <n v="92064"/>
    <s v="CA-6-SD-153"/>
    <s v="STA_LAX_FDE"/>
    <x v="11"/>
    <x v="0"/>
    <m/>
    <n v="0.3"/>
    <n v="0"/>
  </r>
  <r>
    <n v="92056"/>
    <s v="CA-6-SD-155"/>
    <s v="STA_LAX_ChinaOcean"/>
    <x v="11"/>
    <x v="0"/>
    <m/>
    <n v="0.6"/>
    <n v="0"/>
  </r>
  <r>
    <n v="92054"/>
    <s v="CA-6-SD-155"/>
    <s v="STA_LAX_ChinaOcean"/>
    <x v="11"/>
    <x v="0"/>
    <m/>
    <n v="0.3"/>
    <n v="0"/>
  </r>
  <r>
    <n v="92057"/>
    <s v="CA-6-SD-155"/>
    <s v="STA_LAX_ChinaOcean"/>
    <x v="11"/>
    <x v="0"/>
    <m/>
    <n v="0.1"/>
    <n v="0"/>
  </r>
  <r>
    <n v="92083"/>
    <s v="CA-6-SD-155"/>
    <s v="STA_LAX_ChinaOcean"/>
    <x v="11"/>
    <x v="0"/>
    <m/>
    <n v="0"/>
    <n v="0"/>
  </r>
  <r>
    <n v="92084"/>
    <s v="CA-6-SD-155"/>
    <s v="STA_LAX_ChinaOcean"/>
    <x v="11"/>
    <x v="0"/>
    <m/>
    <n v="0.1"/>
    <n v="0"/>
  </r>
  <r>
    <n v="92081"/>
    <s v="CA-6-SD-155"/>
    <s v="STA_LAX_ChinaOcean"/>
    <x v="11"/>
    <x v="0"/>
    <m/>
    <n v="0.3"/>
    <n v="0"/>
  </r>
  <r>
    <n v="91977"/>
    <s v="CA-6-SD-141"/>
    <s v="STA_LAX_ChinaOcean"/>
    <x v="12"/>
    <x v="0"/>
    <m/>
    <n v="0.7"/>
    <n v="0"/>
  </r>
  <r>
    <n v="91978"/>
    <s v="CA-6-SD-141"/>
    <s v="STA_LAX_ChinaOcean"/>
    <x v="12"/>
    <x v="0"/>
    <m/>
    <n v="0.1"/>
    <n v="0"/>
  </r>
  <r>
    <n v="91941"/>
    <s v="CA-6-SD-141"/>
    <s v="STA_LAX_ChinaOcean"/>
    <x v="12"/>
    <x v="0"/>
    <m/>
    <n v="0.4"/>
    <n v="0"/>
  </r>
  <r>
    <n v="91945"/>
    <s v="CA-6-SD-141"/>
    <s v="STA_LAX_ChinaOcean"/>
    <x v="12"/>
    <x v="0"/>
    <m/>
    <n v="7.9"/>
    <n v="7.7"/>
  </r>
  <r>
    <n v="91942"/>
    <s v="CA-6-SD-141"/>
    <s v="STA_LAX_ChinaOcean"/>
    <x v="12"/>
    <x v="0"/>
    <m/>
    <n v="0.6"/>
    <n v="0"/>
  </r>
  <r>
    <n v="92119"/>
    <s v="CA-6-SD-143"/>
    <s v="STA_SD_K. King"/>
    <x v="12"/>
    <x v="1"/>
    <m/>
    <n v="5.9"/>
    <n v="5.6"/>
  </r>
  <r>
    <n v="92020"/>
    <s v="CA-6-SD-143"/>
    <s v="STA_SD_K. King"/>
    <x v="12"/>
    <x v="0"/>
    <m/>
    <n v="0.9"/>
    <n v="0"/>
  </r>
  <r>
    <n v="92040"/>
    <s v="CA-6-SD-143"/>
    <s v="STA_SD_K. King"/>
    <x v="12"/>
    <x v="1"/>
    <m/>
    <n v="21"/>
    <n v="0"/>
  </r>
  <r>
    <n v="92071"/>
    <s v="CA-6-SD-143"/>
    <s v="STA_SD_K. King"/>
    <x v="12"/>
    <x v="1"/>
    <m/>
    <n v="0.9"/>
    <n v="0"/>
  </r>
  <r>
    <n v="92021"/>
    <s v="CA-6-SD-143"/>
    <s v="STA_SD_K. King"/>
    <x v="12"/>
    <x v="0"/>
    <m/>
    <n v="0.6"/>
    <n v="0"/>
  </r>
  <r>
    <n v="92019"/>
    <s v="CA-6-SD-143"/>
    <s v="STA_SD_K. King"/>
    <x v="12"/>
    <x v="0"/>
    <m/>
    <n v="0.3"/>
    <n v="0"/>
  </r>
  <r>
    <n v="92123"/>
    <s v="CA-6-SD-145"/>
    <s v="STA_SD_K. King"/>
    <x v="12"/>
    <x v="0"/>
    <m/>
    <n v="0.4"/>
    <n v="0"/>
  </r>
  <r>
    <n v="92124"/>
    <s v="CA-6-SD-145"/>
    <s v="STA_SD_K. King"/>
    <x v="12"/>
    <x v="0"/>
    <m/>
    <n v="0.4"/>
    <n v="0"/>
  </r>
  <r>
    <n v="92120"/>
    <s v="CA-6-SD-145"/>
    <s v="STA_SD_K. King"/>
    <x v="12"/>
    <x v="1"/>
    <m/>
    <n v="0.1"/>
    <n v="0"/>
  </r>
  <r>
    <n v="94016"/>
    <s v="CA-4-PO-119"/>
    <e v="#N/A"/>
    <x v="13"/>
    <x v="0"/>
    <m/>
    <n v="0"/>
    <n v="0"/>
  </r>
  <r>
    <n v="94017"/>
    <s v="CA-4-PO-119"/>
    <e v="#N/A"/>
    <x v="13"/>
    <x v="0"/>
    <m/>
    <n v="0"/>
    <n v="0"/>
  </r>
  <r>
    <n v="94083"/>
    <s v="CA-4-PO-119"/>
    <e v="#N/A"/>
    <x v="13"/>
    <x v="0"/>
    <m/>
    <n v="0"/>
    <n v="0"/>
  </r>
  <r>
    <n v="94302"/>
    <s v="CA-4-PO-119"/>
    <e v="#N/A"/>
    <x v="13"/>
    <x v="3"/>
    <m/>
    <n v="0"/>
    <n v="0"/>
  </r>
  <r>
    <n v="94121"/>
    <s v="CA-9-SFO-1"/>
    <s v="STA_SFO_RR"/>
    <x v="13"/>
    <x v="1"/>
    <m/>
    <n v="16"/>
    <n v="15.4"/>
  </r>
  <r>
    <n v="94118"/>
    <s v="CA-9-SFO-1"/>
    <s v="STA_SFO_RR"/>
    <x v="13"/>
    <x v="1"/>
    <m/>
    <n v="12.4"/>
    <n v="12.1"/>
  </r>
  <r>
    <n v="94129"/>
    <s v="CA-9-SFO-1"/>
    <s v="STA_SFO_RR"/>
    <x v="13"/>
    <x v="1"/>
    <m/>
    <n v="0.9"/>
    <n v="0.9"/>
  </r>
  <r>
    <n v="94123"/>
    <s v="CA-9-SFO-1"/>
    <s v="STA_SFO_RR"/>
    <x v="13"/>
    <x v="1"/>
    <m/>
    <n v="4.0999999999999996"/>
    <n v="4.0999999999999996"/>
  </r>
  <r>
    <n v="94115"/>
    <s v="CA-9-SFO-1"/>
    <s v="STA_SFO_RR"/>
    <x v="13"/>
    <x v="1"/>
    <m/>
    <n v="8.4"/>
    <n v="7.9"/>
  </r>
  <r>
    <n v="94117"/>
    <s v="CA-9-SFO-1"/>
    <s v="STA_SFO_RR"/>
    <x v="13"/>
    <x v="1"/>
    <m/>
    <n v="10.3"/>
    <n v="9.6"/>
  </r>
  <r>
    <n v="94127"/>
    <s v="CA-9-SFO-1"/>
    <s v="STA_SFO_RR"/>
    <x v="13"/>
    <x v="1"/>
    <m/>
    <n v="6.3"/>
    <n v="6"/>
  </r>
  <r>
    <n v="94122"/>
    <s v="CA-9-SFO-1"/>
    <s v="STA_SFO_RR"/>
    <x v="13"/>
    <x v="1"/>
    <m/>
    <n v="19.399999999999999"/>
    <n v="19"/>
  </r>
  <r>
    <n v="94116"/>
    <s v="CA-9-SFO-1"/>
    <s v="STA_SFO_RR"/>
    <x v="13"/>
    <x v="1"/>
    <m/>
    <n v="16.600000000000001"/>
    <n v="16.399999999999999"/>
  </r>
  <r>
    <n v="94132"/>
    <s v="CA-9-SFO-1"/>
    <s v="STA_SFO_RR"/>
    <x v="13"/>
    <x v="1"/>
    <m/>
    <n v="9.4"/>
    <n v="9"/>
  </r>
  <r>
    <n v="94030"/>
    <s v="CA-9-SFO-11"/>
    <s v="STA_LAX_ChinaOcean"/>
    <x v="13"/>
    <x v="0"/>
    <m/>
    <n v="7.3"/>
    <n v="6.7"/>
  </r>
  <r>
    <n v="94010"/>
    <s v="CA-9-SFO-11"/>
    <s v="STA_LAX_ChinaOcean"/>
    <x v="13"/>
    <x v="0"/>
    <m/>
    <n v="12"/>
    <n v="11.6"/>
  </r>
  <r>
    <n v="94401"/>
    <s v="CA-9-SFO-11"/>
    <s v="STA_LAX_ChinaOcean"/>
    <x v="13"/>
    <x v="0"/>
    <m/>
    <n v="7.1"/>
    <n v="7"/>
  </r>
  <r>
    <n v="94402"/>
    <s v="CA-9-SFO-11"/>
    <s v="STA_LAX_ChinaOcean"/>
    <x v="13"/>
    <x v="0"/>
    <m/>
    <n v="4.7"/>
    <n v="4.3"/>
  </r>
  <r>
    <n v="94403"/>
    <s v="CA-9-SFO-11"/>
    <s v="STA_LAX_ChinaOcean"/>
    <x v="13"/>
    <x v="0"/>
    <m/>
    <n v="10.7"/>
    <n v="10.7"/>
  </r>
  <r>
    <n v="94404"/>
    <s v="CA-9-SFO-11"/>
    <s v="STA_LAX_ChinaOcean"/>
    <x v="13"/>
    <x v="0"/>
    <m/>
    <n v="7.6"/>
    <n v="7.3"/>
  </r>
  <r>
    <n v="94304"/>
    <s v="CA-9-SFO-13"/>
    <s v="STA_SFO_RR"/>
    <x v="13"/>
    <x v="0"/>
    <m/>
    <n v="0.9"/>
    <n v="0.9"/>
  </r>
  <r>
    <n v="94306"/>
    <s v="CA-9-SFO-13"/>
    <s v="STA_SFO_RR"/>
    <x v="13"/>
    <x v="0"/>
    <m/>
    <n v="7"/>
    <n v="6.7"/>
  </r>
  <r>
    <n v="94305"/>
    <s v="CA-9-SFO-13"/>
    <s v="STA_SFO_RR"/>
    <x v="13"/>
    <x v="0"/>
    <m/>
    <n v="1.9"/>
    <n v="1.9"/>
  </r>
  <r>
    <n v="94301"/>
    <s v="CA-9-SFO-13"/>
    <s v="STA_SFO_RR"/>
    <x v="13"/>
    <x v="0"/>
    <m/>
    <n v="3.6"/>
    <n v="3.4"/>
  </r>
  <r>
    <n v="94028"/>
    <s v="CA-9-SFO-13"/>
    <s v="STA_SFO_RR"/>
    <x v="13"/>
    <x v="1"/>
    <m/>
    <n v="0.7"/>
    <n v="0.7"/>
  </r>
  <r>
    <n v="94303"/>
    <s v="CA-9-SFO-13"/>
    <s v="STA_SFO_RR"/>
    <x v="13"/>
    <x v="0"/>
    <m/>
    <n v="8.6"/>
    <n v="8.4"/>
  </r>
  <r>
    <n v="94027"/>
    <s v="CA-9-SFO-13"/>
    <s v="STA_SFO_RR"/>
    <x v="13"/>
    <x v="0"/>
    <m/>
    <n v="0.9"/>
    <n v="0.9"/>
  </r>
  <r>
    <n v="94025"/>
    <s v="CA-9-SFO-13"/>
    <s v="STA_SFO_RR"/>
    <x v="13"/>
    <x v="0"/>
    <m/>
    <n v="9"/>
    <n v="8.6"/>
  </r>
  <r>
    <n v="94124"/>
    <s v="CA-9-SFO-3"/>
    <s v="STA_SFO_RR"/>
    <x v="13"/>
    <x v="1"/>
    <m/>
    <n v="18.3"/>
    <n v="17.100000000000001"/>
  </r>
  <r>
    <n v="94114"/>
    <s v="CA-9-SFO-3"/>
    <s v="STA_SFO_RR"/>
    <x v="13"/>
    <x v="1"/>
    <m/>
    <n v="7.3"/>
    <n v="6.9"/>
  </r>
  <r>
    <n v="94131"/>
    <s v="CA-9-SFO-3"/>
    <s v="STA_SFO_RR"/>
    <x v="13"/>
    <x v="1"/>
    <m/>
    <n v="6.1"/>
    <n v="6"/>
  </r>
  <r>
    <n v="94112"/>
    <s v="CA-9-SFO-3"/>
    <s v="STA_SFO_RR"/>
    <x v="13"/>
    <x v="1"/>
    <m/>
    <n v="27.6"/>
    <n v="27"/>
  </r>
  <r>
    <n v="94134"/>
    <s v="CA-9-SFO-3"/>
    <s v="STA_SFO_RR"/>
    <x v="13"/>
    <x v="1"/>
    <m/>
    <n v="12.1"/>
    <n v="11.6"/>
  </r>
  <r>
    <n v="94062"/>
    <s v="CA-9-SFO-5"/>
    <s v="STA_SFO_RR"/>
    <x v="13"/>
    <x v="1"/>
    <m/>
    <n v="6"/>
    <n v="6"/>
  </r>
  <r>
    <n v="94061"/>
    <s v="CA-9-SFO-5"/>
    <s v="STA_SFO_RR"/>
    <x v="13"/>
    <x v="0"/>
    <m/>
    <n v="8.4"/>
    <n v="8.3000000000000007"/>
  </r>
  <r>
    <n v="94063"/>
    <s v="CA-9-SFO-5"/>
    <s v="STA_SFO_RR"/>
    <x v="13"/>
    <x v="0"/>
    <m/>
    <n v="7.3"/>
    <n v="7"/>
  </r>
  <r>
    <n v="94070"/>
    <s v="CA-9-SFO-5"/>
    <s v="STA_SFO_RR"/>
    <x v="13"/>
    <x v="0"/>
    <m/>
    <n v="6.7"/>
    <n v="6.1"/>
  </r>
  <r>
    <n v="94065"/>
    <s v="CA-9-SFO-5"/>
    <s v="STA_SFO_RR"/>
    <x v="13"/>
    <x v="0"/>
    <m/>
    <n v="3.6"/>
    <n v="3.4"/>
  </r>
  <r>
    <n v="94002"/>
    <s v="CA-9-SFO-5"/>
    <s v="STA_SFO_RR"/>
    <x v="13"/>
    <x v="0"/>
    <m/>
    <n v="12.7"/>
    <n v="12.4"/>
  </r>
  <r>
    <n v="94044"/>
    <s v="CA-9-SFO-7"/>
    <s v="STA_SFO_RR"/>
    <x v="13"/>
    <x v="1"/>
    <m/>
    <n v="16.7"/>
    <n v="10.7"/>
  </r>
  <r>
    <n v="94015"/>
    <s v="CA-9-SFO-7"/>
    <s v="STA_SFO_RR"/>
    <x v="13"/>
    <x v="1"/>
    <m/>
    <n v="29"/>
    <n v="28.4"/>
  </r>
  <r>
    <n v="94066"/>
    <s v="CA-9-SFO-7"/>
    <s v="STA_SFO_RR"/>
    <x v="13"/>
    <x v="1"/>
    <m/>
    <n v="15.3"/>
    <n v="14.3"/>
  </r>
  <r>
    <n v="94128"/>
    <s v="CA-9-SFO-7"/>
    <s v="STA_SFO_RR"/>
    <x v="13"/>
    <x v="1"/>
    <m/>
    <n v="0"/>
    <n v="0"/>
  </r>
  <r>
    <n v="94014"/>
    <s v="CA-9-SFO-7"/>
    <s v="STA_SFO_RR"/>
    <x v="13"/>
    <x v="1"/>
    <m/>
    <n v="19"/>
    <n v="18"/>
  </r>
  <r>
    <n v="94005"/>
    <s v="CA-9-SFO-7"/>
    <s v="STA_SFO_RR"/>
    <x v="13"/>
    <x v="1"/>
    <m/>
    <n v="2"/>
    <n v="2"/>
  </r>
  <r>
    <n v="94080"/>
    <s v="CA-9-SFO-7"/>
    <s v="STA_SFO_RR"/>
    <x v="13"/>
    <x v="1"/>
    <m/>
    <n v="25.4"/>
    <n v="24.4"/>
  </r>
  <r>
    <n v="94130"/>
    <s v="CA-9-SFO-9"/>
    <s v="STA_SFO_FES FAST"/>
    <x v="13"/>
    <x v="1"/>
    <m/>
    <n v="3.1"/>
    <n v="0.9"/>
  </r>
  <r>
    <n v="94133"/>
    <s v="CA-9-SFO-9"/>
    <s v="STA_SFO_FES FAST"/>
    <x v="13"/>
    <x v="1"/>
    <m/>
    <n v="25.7"/>
    <n v="8.1"/>
  </r>
  <r>
    <n v="94111"/>
    <s v="CA-9-SFO-9"/>
    <s v="STA_SFO_FES FAST"/>
    <x v="13"/>
    <x v="1"/>
    <m/>
    <n v="6.9"/>
    <n v="1.7"/>
  </r>
  <r>
    <n v="94104"/>
    <s v="CA-9-SFO-9"/>
    <s v="STA_SFO_FES FAST"/>
    <x v="13"/>
    <x v="1"/>
    <m/>
    <n v="1"/>
    <n v="0"/>
  </r>
  <r>
    <n v="94105"/>
    <s v="CA-9-SFO-9"/>
    <s v="STA_SFO_FES FAST"/>
    <x v="13"/>
    <x v="1"/>
    <m/>
    <n v="22.6"/>
    <n v="6.7"/>
  </r>
  <r>
    <n v="94108"/>
    <s v="CA-9-SFO-9"/>
    <s v="STA_SFO_FES FAST"/>
    <x v="13"/>
    <x v="1"/>
    <m/>
    <n v="10.4"/>
    <n v="5.4"/>
  </r>
  <r>
    <n v="94109"/>
    <s v="CA-9-SFO-9"/>
    <s v="STA_SFO_FES FAST"/>
    <x v="13"/>
    <x v="1"/>
    <m/>
    <n v="70.900000000000006"/>
    <n v="18"/>
  </r>
  <r>
    <n v="94102"/>
    <s v="CA-9-SFO-9"/>
    <s v="STA_SFO_FES FAST"/>
    <x v="13"/>
    <x v="1"/>
    <m/>
    <n v="39.6"/>
    <n v="9.6999999999999993"/>
  </r>
  <r>
    <n v="94103"/>
    <s v="CA-9-SFO-9"/>
    <s v="STA_SFO_FES FAST"/>
    <x v="13"/>
    <x v="1"/>
    <m/>
    <n v="43.7"/>
    <n v="16.899999999999999"/>
  </r>
  <r>
    <n v="94158"/>
    <s v="CA-9-SFO-9"/>
    <s v="STA_SFO_FES FAST"/>
    <x v="13"/>
    <x v="1"/>
    <m/>
    <n v="3.6"/>
    <n v="3.6"/>
  </r>
  <r>
    <n v="94107"/>
    <s v="CA-9-SFO-9"/>
    <s v="STA_SFO_FES FAST"/>
    <x v="13"/>
    <x v="1"/>
    <m/>
    <n v="18.7"/>
    <n v="17.3"/>
  </r>
  <r>
    <n v="94110"/>
    <s v="CA-9-SFO-9"/>
    <s v="STA_SFO_FES FAST"/>
    <x v="13"/>
    <x v="1"/>
    <m/>
    <n v="18.899999999999999"/>
    <n v="18"/>
  </r>
  <r>
    <n v="94947"/>
    <s v="CA-9-SFO-51"/>
    <s v="STA_SFO_RR"/>
    <x v="13"/>
    <x v="1"/>
    <m/>
    <n v="9.6"/>
    <n v="4.5999999999999996"/>
  </r>
  <r>
    <n v="94945"/>
    <s v="CA-9-SFO-51"/>
    <s v="STA_SFO_RR"/>
    <x v="13"/>
    <x v="1"/>
    <m/>
    <n v="6.7"/>
    <n v="3.9"/>
  </r>
  <r>
    <n v="94949"/>
    <s v="CA-9-SFO-51"/>
    <s v="STA_SFO_RR"/>
    <x v="13"/>
    <x v="1"/>
    <m/>
    <n v="3.4"/>
    <n v="1.9"/>
  </r>
  <r>
    <n v="94903"/>
    <s v="CA-9-SFO-51"/>
    <s v="STA_SFO_RR"/>
    <x v="13"/>
    <x v="1"/>
    <m/>
    <n v="11"/>
    <n v="7.4"/>
  </r>
  <r>
    <n v="94930"/>
    <s v="CA-9-SFO-51"/>
    <s v="STA_SFO_RR"/>
    <x v="13"/>
    <x v="1"/>
    <m/>
    <n v="1.6"/>
    <n v="1.1000000000000001"/>
  </r>
  <r>
    <n v="94960"/>
    <s v="CA-9-SFO-51"/>
    <s v="STA_SFO_RR"/>
    <x v="13"/>
    <x v="1"/>
    <m/>
    <n v="3.4"/>
    <n v="2.1"/>
  </r>
  <r>
    <n v="94957"/>
    <s v="CA-9-SFO-51"/>
    <s v="STA_SFO_RR"/>
    <x v="13"/>
    <x v="1"/>
    <m/>
    <n v="0.3"/>
    <n v="0"/>
  </r>
  <r>
    <n v="94901"/>
    <s v="CA-9-SFO-51"/>
    <s v="STA_SFO_RR"/>
    <x v="13"/>
    <x v="1"/>
    <m/>
    <n v="13.4"/>
    <n v="8.6999999999999993"/>
  </r>
  <r>
    <n v="94904"/>
    <s v="CA-9-SFO-51"/>
    <s v="STA_SFO_RR"/>
    <x v="13"/>
    <x v="1"/>
    <m/>
    <n v="4.3"/>
    <n v="3"/>
  </r>
  <r>
    <n v="94964"/>
    <s v="CA-9-SFO-51"/>
    <s v="STA_SFO_RR"/>
    <x v="13"/>
    <x v="1"/>
    <m/>
    <n v="0"/>
    <n v="0"/>
  </r>
  <r>
    <n v="94965"/>
    <s v="CA-9-SFO-51"/>
    <s v="STA_SFO_RR"/>
    <x v="13"/>
    <x v="1"/>
    <m/>
    <n v="3"/>
    <n v="2.4"/>
  </r>
  <r>
    <n v="94941"/>
    <s v="CA-9-SFO-51"/>
    <s v="STA_SFO_RR"/>
    <x v="13"/>
    <x v="1"/>
    <m/>
    <n v="10.6"/>
    <n v="7.4"/>
  </r>
  <r>
    <n v="94920"/>
    <s v="CA-9-SFO-51"/>
    <s v="STA_SFO_RR"/>
    <x v="13"/>
    <x v="1"/>
    <m/>
    <n v="2"/>
    <n v="0.9"/>
  </r>
  <r>
    <n v="94925"/>
    <s v="CA-9-SFO-51"/>
    <s v="STA_SFO_RR"/>
    <x v="13"/>
    <x v="1"/>
    <m/>
    <n v="3.1"/>
    <n v="1.9"/>
  </r>
  <r>
    <n v="94939"/>
    <s v="CA-9-SFO-51"/>
    <s v="STA_SFO_RR"/>
    <x v="13"/>
    <x v="1"/>
    <m/>
    <n v="2.7"/>
    <n v="1.7"/>
  </r>
  <r>
    <n v="95201"/>
    <s v="CA-4-PO-119"/>
    <e v="#N/A"/>
    <x v="14"/>
    <x v="3"/>
    <m/>
    <n v="0"/>
    <n v="0"/>
  </r>
  <r>
    <n v="95208"/>
    <s v="CA-4-PO-119"/>
    <e v="#N/A"/>
    <x v="14"/>
    <x v="3"/>
    <m/>
    <n v="0"/>
    <n v="0"/>
  </r>
  <r>
    <n v="95234"/>
    <s v="CA-4-PO-119"/>
    <e v="#N/A"/>
    <x v="14"/>
    <x v="3"/>
    <m/>
    <n v="0"/>
    <n v="0"/>
  </r>
  <r>
    <n v="95241"/>
    <s v="CA-4-PO-119"/>
    <e v="#N/A"/>
    <x v="14"/>
    <x v="3"/>
    <m/>
    <n v="0"/>
    <n v="0"/>
  </r>
  <r>
    <n v="95267"/>
    <s v="CA-4-PO-119"/>
    <e v="#N/A"/>
    <x v="14"/>
    <x v="3"/>
    <m/>
    <n v="0"/>
    <n v="0"/>
  </r>
  <r>
    <n v="95269"/>
    <s v="CA-4-PO-119"/>
    <e v="#N/A"/>
    <x v="14"/>
    <x v="3"/>
    <m/>
    <n v="0"/>
    <n v="0"/>
  </r>
  <r>
    <n v="95296"/>
    <s v="CA-4-PO-119"/>
    <e v="#N/A"/>
    <x v="14"/>
    <x v="3"/>
    <m/>
    <n v="0"/>
    <n v="0"/>
  </r>
  <r>
    <n v="95378"/>
    <s v="CA-4-PO-119"/>
    <e v="#N/A"/>
    <x v="14"/>
    <x v="3"/>
    <m/>
    <n v="0"/>
    <n v="0"/>
  </r>
  <r>
    <n v="95686"/>
    <s v="CA-8-STK-85"/>
    <s v="STA_SAC_FCA"/>
    <x v="14"/>
    <x v="1"/>
    <m/>
    <n v="0.4"/>
    <n v="0.1"/>
  </r>
  <r>
    <n v="95242"/>
    <s v="CA-8-STK-85"/>
    <s v="STA_SAC_FCA"/>
    <x v="14"/>
    <x v="1"/>
    <m/>
    <n v="10.4"/>
    <n v="3.3"/>
  </r>
  <r>
    <n v="95258"/>
    <s v="CA-8-STK-85"/>
    <s v="STA_SAC_FCA"/>
    <x v="14"/>
    <x v="1"/>
    <m/>
    <n v="0.6"/>
    <n v="0.3"/>
  </r>
  <r>
    <n v="95220"/>
    <s v="CA-8-STK-85"/>
    <s v="STA_SAC_FCA"/>
    <x v="14"/>
    <x v="1"/>
    <m/>
    <n v="3.1"/>
    <n v="0.9"/>
  </r>
  <r>
    <n v="95237"/>
    <s v="CA-8-STK-85"/>
    <s v="STA_SAC_FCA"/>
    <x v="14"/>
    <x v="1"/>
    <m/>
    <n v="0.1"/>
    <n v="0"/>
  </r>
  <r>
    <n v="95240"/>
    <s v="CA-8-STK-85"/>
    <s v="STA_SAC_FCA"/>
    <x v="14"/>
    <x v="1"/>
    <m/>
    <n v="19.600000000000001"/>
    <n v="9.3000000000000007"/>
  </r>
  <r>
    <n v="95253"/>
    <s v="CA-8-STK-85"/>
    <s v="STA_SAC_FCA"/>
    <x v="14"/>
    <x v="1"/>
    <m/>
    <n v="0"/>
    <n v="0"/>
  </r>
  <r>
    <n v="95219"/>
    <s v="CA-8-STK-85"/>
    <s v="STA_SAC_FCA"/>
    <x v="14"/>
    <x v="1"/>
    <m/>
    <n v="13.1"/>
    <n v="5.6"/>
  </r>
  <r>
    <n v="95632"/>
    <s v="CA-8-STK-85"/>
    <s v="STA_SAC_FCA"/>
    <x v="14"/>
    <x v="1"/>
    <m/>
    <n v="1.1000000000000001"/>
    <n v="0"/>
  </r>
  <r>
    <n v="95209"/>
    <s v="CA-8-STK-85"/>
    <s v="STA_SAC_FCA"/>
    <x v="14"/>
    <x v="1"/>
    <m/>
    <n v="9"/>
    <n v="7.7"/>
  </r>
  <r>
    <n v="95210"/>
    <s v="CA-8-STK-85"/>
    <s v="STA_SAC_FCA"/>
    <x v="14"/>
    <x v="1"/>
    <m/>
    <n v="8"/>
    <n v="7.7"/>
  </r>
  <r>
    <n v="95212"/>
    <s v="CA-8-STK-85"/>
    <s v="STA_SAC_FCA"/>
    <x v="14"/>
    <x v="1"/>
    <m/>
    <n v="10.1"/>
    <n v="9.1"/>
  </r>
  <r>
    <n v="95236"/>
    <s v="CA-8-STK-85"/>
    <s v="STA_SAC_FCA"/>
    <x v="14"/>
    <x v="1"/>
    <m/>
    <n v="0.9"/>
    <n v="0.4"/>
  </r>
  <r>
    <n v="95207"/>
    <s v="CA-8-STK-85"/>
    <s v="STA_SAC_FCA"/>
    <x v="14"/>
    <x v="1"/>
    <m/>
    <n v="11.1"/>
    <n v="11"/>
  </r>
  <r>
    <n v="95211"/>
    <s v="CA-8-STK-85"/>
    <s v="STA_SAC_FCA"/>
    <x v="14"/>
    <x v="1"/>
    <m/>
    <n v="0.3"/>
    <n v="0"/>
  </r>
  <r>
    <n v="95204"/>
    <s v="CA-8-STK-85"/>
    <s v="STA_SAC_FCA"/>
    <x v="14"/>
    <x v="1"/>
    <m/>
    <n v="5.9"/>
    <n v="5"/>
  </r>
  <r>
    <n v="95205"/>
    <s v="CA-8-STK-85"/>
    <s v="STA_SAC_FCA"/>
    <x v="14"/>
    <x v="1"/>
    <m/>
    <n v="10.7"/>
    <n v="10"/>
  </r>
  <r>
    <n v="95202"/>
    <s v="CA-8-STK-85"/>
    <s v="STA_SAC_FCA"/>
    <x v="14"/>
    <x v="1"/>
    <m/>
    <n v="0.6"/>
    <n v="0.6"/>
  </r>
  <r>
    <n v="95297"/>
    <s v="CA-8-STK-85"/>
    <s v="STA_SAC_FCA"/>
    <x v="14"/>
    <x v="1"/>
    <m/>
    <n v="0"/>
    <n v="0"/>
  </r>
  <r>
    <n v="95203"/>
    <s v="CA-8-STK-85"/>
    <s v="STA_SAC_FCA"/>
    <x v="14"/>
    <x v="1"/>
    <m/>
    <n v="2.9"/>
    <n v="2.6"/>
  </r>
  <r>
    <n v="95206"/>
    <s v="CA-8-STK-85"/>
    <s v="STA_SAC_FCA"/>
    <x v="14"/>
    <x v="1"/>
    <m/>
    <n v="17.899999999999999"/>
    <n v="16.3"/>
  </r>
  <r>
    <n v="95215"/>
    <s v="CA-8-STK-85"/>
    <s v="STA_SAC_FCA"/>
    <x v="14"/>
    <x v="1"/>
    <m/>
    <n v="4.5999999999999996"/>
    <n v="3.9"/>
  </r>
  <r>
    <n v="95230"/>
    <s v="CA-8-STK-85"/>
    <s v="STA_SAC_FCA"/>
    <x v="14"/>
    <x v="1"/>
    <m/>
    <n v="1"/>
    <n v="0"/>
  </r>
  <r>
    <n v="95304"/>
    <s v="CA-8-STK-85"/>
    <s v="STA_SAC_FCA"/>
    <x v="14"/>
    <x v="1"/>
    <m/>
    <n v="1.9"/>
    <n v="1.9"/>
  </r>
  <r>
    <n v="95376"/>
    <s v="CA-8-STK-85"/>
    <s v="STA_SAC_FCA"/>
    <x v="14"/>
    <x v="1"/>
    <m/>
    <n v="11.4"/>
    <n v="11.3"/>
  </r>
  <r>
    <n v="95377"/>
    <s v="CA-8-STK-85"/>
    <s v="STA_SAC_FCA"/>
    <x v="14"/>
    <x v="1"/>
    <m/>
    <n v="21.3"/>
    <n v="9.6"/>
  </r>
  <r>
    <n v="95391"/>
    <s v="CA-8-STK-85"/>
    <s v="STA_SAC_FCA"/>
    <x v="14"/>
    <x v="1"/>
    <m/>
    <n v="8"/>
    <n v="7.4"/>
  </r>
  <r>
    <n v="95336"/>
    <s v="CA-8-STK-85"/>
    <s v="STA_SAC_FCA"/>
    <x v="14"/>
    <x v="1"/>
    <m/>
    <n v="10.1"/>
    <n v="9.6"/>
  </r>
  <r>
    <n v="95337"/>
    <s v="CA-8-STK-85"/>
    <s v="STA_SAC_FCA"/>
    <x v="14"/>
    <x v="1"/>
    <m/>
    <n v="10.6"/>
    <n v="10.4"/>
  </r>
  <r>
    <n v="95366"/>
    <s v="CA-8-STK-85"/>
    <s v="STA_SAC_FCA"/>
    <x v="14"/>
    <x v="1"/>
    <m/>
    <n v="2.2999999999999998"/>
    <n v="2.2999999999999998"/>
  </r>
  <r>
    <n v="95320"/>
    <s v="CA-8-STK-85"/>
    <s v="STA_SAC_FCA"/>
    <x v="14"/>
    <x v="1"/>
    <m/>
    <n v="1.4"/>
    <n v="1.4"/>
  </r>
  <r>
    <n v="95330"/>
    <s v="CA-8-STK-85"/>
    <s v="STA_SAC_FCA"/>
    <x v="14"/>
    <x v="1"/>
    <m/>
    <n v="8.6"/>
    <n v="8.6"/>
  </r>
  <r>
    <n v="94088"/>
    <s v="CA-4-PO-119"/>
    <e v="#N/A"/>
    <x v="15"/>
    <x v="3"/>
    <m/>
    <n v="0"/>
    <n v="0"/>
  </r>
  <r>
    <n v="94537"/>
    <s v="CA-4-PO-119"/>
    <e v="#N/A"/>
    <x v="15"/>
    <x v="3"/>
    <m/>
    <n v="0"/>
    <n v="0"/>
  </r>
  <r>
    <n v="94540"/>
    <s v="CA-4-PO-119"/>
    <e v="#N/A"/>
    <x v="15"/>
    <x v="3"/>
    <m/>
    <n v="0"/>
    <n v="0"/>
  </r>
  <r>
    <n v="94557"/>
    <s v="CA-4-PO-119"/>
    <e v="#N/A"/>
    <x v="15"/>
    <x v="3"/>
    <m/>
    <n v="0"/>
    <n v="0"/>
  </r>
  <r>
    <n v="94604"/>
    <s v="CA-4-PO-119"/>
    <e v="#N/A"/>
    <x v="15"/>
    <x v="3"/>
    <m/>
    <n v="0"/>
    <n v="0"/>
  </r>
  <r>
    <n v="94614"/>
    <s v="CA-4-PO-119"/>
    <e v="#N/A"/>
    <x v="15"/>
    <x v="3"/>
    <m/>
    <n v="0"/>
    <n v="0"/>
  </r>
  <r>
    <n v="94617"/>
    <s v="CA-4-PO-119"/>
    <e v="#N/A"/>
    <x v="15"/>
    <x v="3"/>
    <m/>
    <n v="0"/>
    <n v="0"/>
  </r>
  <r>
    <n v="94701"/>
    <s v="CA-4-PO-119"/>
    <e v="#N/A"/>
    <x v="15"/>
    <x v="3"/>
    <m/>
    <n v="0"/>
    <n v="0"/>
  </r>
  <r>
    <n v="94712"/>
    <s v="CA-4-PO-119"/>
    <e v="#N/A"/>
    <x v="15"/>
    <x v="3"/>
    <m/>
    <n v="0"/>
    <n v="0"/>
  </r>
  <r>
    <n v="94802"/>
    <s v="CA-4-PO-119"/>
    <e v="#N/A"/>
    <x v="15"/>
    <x v="3"/>
    <m/>
    <n v="0"/>
    <n v="0"/>
  </r>
  <r>
    <n v="94807"/>
    <s v="CA-4-PO-119"/>
    <e v="#N/A"/>
    <x v="15"/>
    <x v="3"/>
    <m/>
    <n v="0"/>
    <n v="0"/>
  </r>
  <r>
    <n v="94808"/>
    <s v="CA-4-PO-119"/>
    <e v="#N/A"/>
    <x v="15"/>
    <x v="3"/>
    <m/>
    <n v="0"/>
    <n v="0"/>
  </r>
  <r>
    <n v="94850"/>
    <s v="CA-4-PO-119"/>
    <e v="#N/A"/>
    <x v="15"/>
    <x v="3"/>
    <m/>
    <n v="0"/>
    <n v="0"/>
  </r>
  <r>
    <n v="95015"/>
    <s v="CA-4-PO-119"/>
    <e v="#N/A"/>
    <x v="15"/>
    <x v="0"/>
    <m/>
    <n v="0"/>
    <n v="0"/>
  </r>
  <r>
    <n v="95036"/>
    <s v="CA-4-PO-119"/>
    <e v="#N/A"/>
    <x v="15"/>
    <x v="3"/>
    <m/>
    <n v="0"/>
    <n v="0"/>
  </r>
  <r>
    <n v="95055"/>
    <s v="CA-4-PO-119"/>
    <e v="#N/A"/>
    <x v="15"/>
    <x v="3"/>
    <m/>
    <n v="0"/>
    <n v="0"/>
  </r>
  <r>
    <n v="95056"/>
    <s v="CA-4-PO-119"/>
    <e v="#N/A"/>
    <x v="15"/>
    <x v="3"/>
    <m/>
    <n v="0"/>
    <n v="0"/>
  </r>
  <r>
    <n v="94521"/>
    <s v="CA-9-UIC-15"/>
    <s v="STA_LAX_ChinaOcean"/>
    <x v="15"/>
    <x v="0"/>
    <m/>
    <n v="9.3000000000000007"/>
    <n v="8.6999999999999993"/>
  </r>
  <r>
    <n v="94518"/>
    <s v="CA-9-UIC-15"/>
    <s v="STA_LAX_ChinaOcean"/>
    <x v="15"/>
    <x v="0"/>
    <m/>
    <n v="11.6"/>
    <n v="7.3"/>
  </r>
  <r>
    <n v="94519"/>
    <s v="CA-9-UIC-15"/>
    <s v="STA_LAX_ChinaOcean"/>
    <x v="15"/>
    <x v="0"/>
    <m/>
    <n v="4.7"/>
    <n v="4.3"/>
  </r>
  <r>
    <n v="94520"/>
    <s v="CA-9-UIC-15"/>
    <s v="STA_LAX_ChinaOcean"/>
    <x v="15"/>
    <x v="0"/>
    <m/>
    <n v="8.6"/>
    <n v="7.6"/>
  </r>
  <r>
    <n v="94523"/>
    <s v="CA-9-UIC-15"/>
    <s v="STA_LAX_ChinaOcean"/>
    <x v="15"/>
    <x v="0"/>
    <m/>
    <n v="10.3"/>
    <n v="9.6"/>
  </r>
  <r>
    <n v="94553"/>
    <s v="CA-9-UIC-15"/>
    <s v="STA_LAX_ChinaOcean"/>
    <x v="15"/>
    <x v="0"/>
    <m/>
    <n v="8.6"/>
    <n v="7.1"/>
  </r>
  <r>
    <n v="94517"/>
    <s v="CA-9-UIC-15"/>
    <s v="STA_LAX_ChinaOcean"/>
    <x v="15"/>
    <x v="0"/>
    <m/>
    <n v="1.7"/>
    <n v="1.6"/>
  </r>
  <r>
    <n v="94806"/>
    <s v="CA-9-UIC-17"/>
    <s v="STA_SFO_SDG"/>
    <x v="15"/>
    <x v="1"/>
    <m/>
    <n v="15.4"/>
    <n v="14.4"/>
  </r>
  <r>
    <n v="94801"/>
    <s v="CA-9-UIC-17"/>
    <s v="STA_SFO_SDG"/>
    <x v="15"/>
    <x v="1"/>
    <m/>
    <n v="7.6"/>
    <n v="7.3"/>
  </r>
  <r>
    <n v="94805"/>
    <s v="CA-9-UIC-17"/>
    <s v="STA_SFO_SDG"/>
    <x v="15"/>
    <x v="1"/>
    <m/>
    <n v="7"/>
    <n v="7"/>
  </r>
  <r>
    <n v="94804"/>
    <s v="CA-9-UIC-17"/>
    <s v="STA_SFO_SDG"/>
    <x v="15"/>
    <x v="1"/>
    <m/>
    <n v="9.6"/>
    <n v="8.6999999999999993"/>
  </r>
  <r>
    <n v="94531"/>
    <s v="CA-9-UIC-25"/>
    <s v="STA_SFO_SDG"/>
    <x v="15"/>
    <x v="1"/>
    <m/>
    <n v="13.1"/>
    <n v="12.1"/>
  </r>
  <r>
    <n v="94509"/>
    <s v="CA-9-UIC-25"/>
    <s v="STA_SFO_SDG"/>
    <x v="15"/>
    <x v="1"/>
    <m/>
    <n v="16"/>
    <n v="15.6"/>
  </r>
  <r>
    <n v="94565"/>
    <s v="CA-9-UIC-25"/>
    <s v="STA_SFO_SDG"/>
    <x v="15"/>
    <x v="1"/>
    <m/>
    <n v="24.1"/>
    <n v="22.4"/>
  </r>
  <r>
    <n v="94022"/>
    <s v="CA-9-UIC-27"/>
    <s v="STA_SFO_MYS"/>
    <x v="15"/>
    <x v="0"/>
    <m/>
    <n v="4.5999999999999996"/>
    <n v="4.4000000000000004"/>
  </r>
  <r>
    <n v="94024"/>
    <s v="CA-9-UIC-27"/>
    <s v="STA_SFO_MYS"/>
    <x v="15"/>
    <x v="1"/>
    <m/>
    <n v="6.1"/>
    <n v="6"/>
  </r>
  <r>
    <n v="94040"/>
    <s v="CA-9-UIC-27"/>
    <s v="STA_SFO_MYS"/>
    <x v="15"/>
    <x v="1"/>
    <m/>
    <n v="11"/>
    <n v="10.9"/>
  </r>
  <r>
    <n v="94041"/>
    <s v="CA-9-UIC-27"/>
    <s v="STA_SFO_MYS"/>
    <x v="15"/>
    <x v="1"/>
    <m/>
    <n v="5.3"/>
    <n v="5"/>
  </r>
  <r>
    <n v="94043"/>
    <s v="CA-9-UIC-27"/>
    <s v="STA_SFO_MYS"/>
    <x v="15"/>
    <x v="1"/>
    <m/>
    <n v="11"/>
    <n v="10.3"/>
  </r>
  <r>
    <n v="95014"/>
    <s v="CA-9-UIC-27"/>
    <s v="STA_SFO_MYS"/>
    <x v="15"/>
    <x v="1"/>
    <m/>
    <n v="18"/>
    <n v="18"/>
  </r>
  <r>
    <n v="94087"/>
    <s v="CA-9-UIC-27"/>
    <s v="STA_SFO_MYS"/>
    <x v="15"/>
    <x v="1"/>
    <m/>
    <n v="13.3"/>
    <n v="13.1"/>
  </r>
  <r>
    <n v="94086"/>
    <s v="CA-9-UIC-27"/>
    <s v="STA_SFO_MYS"/>
    <x v="15"/>
    <x v="1"/>
    <m/>
    <n v="13.9"/>
    <n v="13.7"/>
  </r>
  <r>
    <n v="94085"/>
    <s v="CA-9-UIC-27"/>
    <s v="STA_SFO_MYS"/>
    <x v="15"/>
    <x v="1"/>
    <m/>
    <n v="7.6"/>
    <n v="7.4"/>
  </r>
  <r>
    <n v="94089"/>
    <s v="CA-9-UIC-27"/>
    <s v="STA_SFO_MYS"/>
    <x v="15"/>
    <x v="1"/>
    <m/>
    <n v="8.3000000000000007"/>
    <n v="8.1"/>
  </r>
  <r>
    <n v="94505"/>
    <s v="CA-9-UIC-29"/>
    <s v="STA_SFO_SDG"/>
    <x v="15"/>
    <x v="0"/>
    <m/>
    <n v="3.4"/>
    <n v="2.9"/>
  </r>
  <r>
    <n v="94561"/>
    <s v="CA-9-UIC-29"/>
    <s v="STA_SFO_SDG"/>
    <x v="15"/>
    <x v="1"/>
    <m/>
    <n v="37.299999999999997"/>
    <n v="9"/>
  </r>
  <r>
    <n v="94548"/>
    <s v="CA-9-UIC-29"/>
    <s v="STA_SFO_SDG"/>
    <x v="15"/>
    <x v="0"/>
    <m/>
    <n v="0.1"/>
    <n v="0"/>
  </r>
  <r>
    <n v="94514"/>
    <s v="CA-9-UIC-29"/>
    <s v="STA_SFO_SDG"/>
    <x v="15"/>
    <x v="0"/>
    <m/>
    <n v="1"/>
    <n v="0"/>
  </r>
  <r>
    <n v="94513"/>
    <s v="CA-9-UIC-29"/>
    <s v="STA_SFO_SDG"/>
    <x v="15"/>
    <x v="1"/>
    <m/>
    <n v="14.1"/>
    <n v="13.6"/>
  </r>
  <r>
    <n v="95111"/>
    <s v="CA-9-UIC-31"/>
    <s v="STA_SFO_MYS"/>
    <x v="15"/>
    <x v="1"/>
    <m/>
    <n v="22.1"/>
    <n v="21.4"/>
  </r>
  <r>
    <n v="95139"/>
    <s v="CA-9-UIC-31"/>
    <s v="STA_SFO_MYS"/>
    <x v="15"/>
    <x v="1"/>
    <m/>
    <n v="2.1"/>
    <n v="2"/>
  </r>
  <r>
    <n v="95119"/>
    <s v="CA-9-UIC-31"/>
    <s v="STA_SFO_MYS"/>
    <x v="15"/>
    <x v="1"/>
    <m/>
    <n v="3.6"/>
    <n v="3.6"/>
  </r>
  <r>
    <n v="95123"/>
    <s v="CA-9-UIC-31"/>
    <s v="STA_SFO_MYS"/>
    <x v="15"/>
    <x v="1"/>
    <m/>
    <n v="16.7"/>
    <n v="15.9"/>
  </r>
  <r>
    <n v="95136"/>
    <s v="CA-9-UIC-31"/>
    <s v="STA_SFO_MYS"/>
    <x v="15"/>
    <x v="1"/>
    <m/>
    <n v="15.1"/>
    <n v="14.9"/>
  </r>
  <r>
    <n v="95035"/>
    <s v="CA-9-UIC-31"/>
    <s v="STA_SFO_MYS"/>
    <x v="15"/>
    <x v="1"/>
    <m/>
    <n v="30.6"/>
    <n v="29.7"/>
  </r>
  <r>
    <n v="94538"/>
    <s v="CA-9-UIC-31"/>
    <s v="STA_SFO_MYS"/>
    <x v="15"/>
    <x v="1"/>
    <m/>
    <n v="20.3"/>
    <n v="19.600000000000001"/>
  </r>
  <r>
    <n v="94539"/>
    <s v="CA-9-UIC-31"/>
    <s v="STA_SFO_MYS"/>
    <x v="15"/>
    <x v="1"/>
    <m/>
    <n v="16.7"/>
    <n v="16.100000000000001"/>
  </r>
  <r>
    <n v="95192"/>
    <s v="CA-9-UIC-33"/>
    <s v="STA_SFO_MYS"/>
    <x v="15"/>
    <x v="1"/>
    <m/>
    <n v="0"/>
    <n v="0"/>
  </r>
  <r>
    <n v="95125"/>
    <s v="CA-9-UIC-33"/>
    <s v="STA_SFO_MYS"/>
    <x v="15"/>
    <x v="1"/>
    <m/>
    <n v="12.7"/>
    <n v="11.9"/>
  </r>
  <r>
    <n v="95128"/>
    <s v="CA-9-UIC-33"/>
    <s v="STA_SFO_MYS"/>
    <x v="15"/>
    <x v="1"/>
    <m/>
    <n v="9.1"/>
    <n v="9"/>
  </r>
  <r>
    <n v="95126"/>
    <s v="CA-9-UIC-33"/>
    <s v="STA_SFO_MYS"/>
    <x v="15"/>
    <x v="1"/>
    <m/>
    <n v="9.4"/>
    <n v="9.1"/>
  </r>
  <r>
    <n v="95110"/>
    <s v="CA-9-UIC-33"/>
    <s v="STA_SFO_MYS"/>
    <x v="15"/>
    <x v="1"/>
    <m/>
    <n v="5.0999999999999996"/>
    <n v="4.7"/>
  </r>
  <r>
    <n v="95113"/>
    <s v="CA-9-UIC-33"/>
    <s v="STA_SFO_MYS"/>
    <x v="15"/>
    <x v="1"/>
    <m/>
    <n v="1.1000000000000001"/>
    <n v="1.1000000000000001"/>
  </r>
  <r>
    <n v="95112"/>
    <s v="CA-9-UIC-33"/>
    <s v="STA_SFO_MYS"/>
    <x v="15"/>
    <x v="1"/>
    <m/>
    <n v="17.600000000000001"/>
    <n v="17.100000000000001"/>
  </r>
  <r>
    <n v="95138"/>
    <s v="CA-9-UIC-33"/>
    <s v="STA_SFO_MYS"/>
    <x v="15"/>
    <x v="1"/>
    <m/>
    <n v="7.3"/>
    <n v="7"/>
  </r>
  <r>
    <n v="95135"/>
    <s v="CA-9-UIC-33"/>
    <s v="STA_SFO_MYS"/>
    <x v="15"/>
    <x v="1"/>
    <m/>
    <n v="3.9"/>
    <n v="3.6"/>
  </r>
  <r>
    <n v="95148"/>
    <s v="CA-9-UIC-35"/>
    <s v="STA_SFO_MYS"/>
    <x v="15"/>
    <x v="1"/>
    <m/>
    <n v="18.7"/>
    <n v="18"/>
  </r>
  <r>
    <n v="95121"/>
    <s v="CA-9-UIC-35"/>
    <s v="STA_SFO_MYS"/>
    <x v="15"/>
    <x v="1"/>
    <m/>
    <n v="17.399999999999999"/>
    <n v="17"/>
  </r>
  <r>
    <n v="95122"/>
    <s v="CA-9-UIC-35"/>
    <s v="STA_SFO_MYS"/>
    <x v="15"/>
    <x v="1"/>
    <m/>
    <n v="18.899999999999999"/>
    <n v="17.600000000000001"/>
  </r>
  <r>
    <n v="95140"/>
    <s v="CA-9-UIC-35"/>
    <s v="STA_SFO_MYS"/>
    <x v="15"/>
    <x v="1"/>
    <m/>
    <n v="0.3"/>
    <n v="0"/>
  </r>
  <r>
    <n v="95127"/>
    <s v="CA-9-UIC-35"/>
    <s v="STA_SFO_MYS"/>
    <x v="15"/>
    <x v="1"/>
    <m/>
    <n v="20"/>
    <n v="19"/>
  </r>
  <r>
    <n v="95116"/>
    <s v="CA-9-UIC-35"/>
    <s v="STA_SFO_MYS"/>
    <x v="15"/>
    <x v="1"/>
    <m/>
    <n v="13.9"/>
    <n v="13.4"/>
  </r>
  <r>
    <n v="95133"/>
    <s v="CA-9-UIC-35"/>
    <s v="STA_SFO_MYS"/>
    <x v="15"/>
    <x v="1"/>
    <m/>
    <n v="9"/>
    <n v="8.6"/>
  </r>
  <r>
    <n v="95131"/>
    <s v="CA-9-UIC-35"/>
    <s v="STA_SFO_MYS"/>
    <x v="15"/>
    <x v="1"/>
    <m/>
    <n v="14.6"/>
    <n v="14.1"/>
  </r>
  <r>
    <n v="95132"/>
    <s v="CA-9-UIC-35"/>
    <s v="STA_SFO_MYS"/>
    <x v="15"/>
    <x v="1"/>
    <m/>
    <n v="14.9"/>
    <n v="14.9"/>
  </r>
  <r>
    <n v="95134"/>
    <s v="CA-9-UIC-35"/>
    <s v="STA_SFO_MYS"/>
    <x v="15"/>
    <x v="1"/>
    <m/>
    <n v="8.6"/>
    <n v="8.6"/>
  </r>
  <r>
    <n v="94619"/>
    <s v="CA-9-UIC-37"/>
    <s v="STA_SFO_SDG"/>
    <x v="15"/>
    <x v="1"/>
    <m/>
    <n v="7.4"/>
    <n v="7.4"/>
  </r>
  <r>
    <n v="94608"/>
    <s v="CA-9-UIC-37"/>
    <s v="STA_SFO_SDG"/>
    <x v="15"/>
    <x v="1"/>
    <m/>
    <n v="11.4"/>
    <n v="11.1"/>
  </r>
  <r>
    <n v="94609"/>
    <s v="CA-9-UIC-37"/>
    <s v="STA_SFO_SDG"/>
    <x v="15"/>
    <x v="1"/>
    <m/>
    <n v="6.6"/>
    <n v="6"/>
  </r>
  <r>
    <n v="94611"/>
    <s v="CA-9-UIC-37"/>
    <s v="STA_SFO_SDG"/>
    <x v="15"/>
    <x v="1"/>
    <m/>
    <n v="9.4"/>
    <n v="8.6999999999999993"/>
  </r>
  <r>
    <n v="94618"/>
    <s v="CA-9-UIC-37"/>
    <s v="STA_SFO_SDG"/>
    <x v="15"/>
    <x v="1"/>
    <m/>
    <n v="4.0999999999999996"/>
    <n v="4"/>
  </r>
  <r>
    <n v="94613"/>
    <s v="CA-9-UIC-37"/>
    <s v="STA_SFO_SDG"/>
    <x v="15"/>
    <x v="0"/>
    <m/>
    <n v="0"/>
    <n v="0"/>
  </r>
  <r>
    <n v="94621"/>
    <s v="CA-9-UIC-37"/>
    <s v="STA_SFO_SDG"/>
    <x v="15"/>
    <x v="1"/>
    <m/>
    <n v="5.9"/>
    <n v="5.3"/>
  </r>
  <r>
    <n v="94603"/>
    <s v="CA-9-UIC-37"/>
    <s v="STA_SFO_SDG"/>
    <x v="15"/>
    <x v="1"/>
    <m/>
    <n v="5.3"/>
    <n v="4.9000000000000004"/>
  </r>
  <r>
    <n v="94605"/>
    <s v="CA-9-UIC-37"/>
    <s v="STA_SFO_SDG"/>
    <x v="15"/>
    <x v="1"/>
    <m/>
    <n v="9.9"/>
    <n v="9.3000000000000007"/>
  </r>
  <r>
    <n v="94601"/>
    <s v="CA-9-UIC-37"/>
    <s v="STA_SFO_SDG"/>
    <x v="15"/>
    <x v="1"/>
    <m/>
    <n v="9.6"/>
    <n v="9"/>
  </r>
  <r>
    <n v="94602"/>
    <s v="CA-9-UIC-37"/>
    <s v="STA_SFO_SDG"/>
    <x v="15"/>
    <x v="1"/>
    <m/>
    <n v="5.9"/>
    <n v="5.6"/>
  </r>
  <r>
    <n v="94502"/>
    <s v="CA-9-UIC-37"/>
    <s v="STA_SFO_SDG"/>
    <x v="15"/>
    <x v="1"/>
    <m/>
    <n v="5.4"/>
    <n v="3.9"/>
  </r>
  <r>
    <n v="94501"/>
    <s v="CA-9-UIC-37"/>
    <s v="STA_SFO_SDG"/>
    <x v="15"/>
    <x v="1"/>
    <m/>
    <n v="23"/>
    <n v="18.7"/>
  </r>
  <r>
    <n v="94606"/>
    <s v="CA-9-UIC-37"/>
    <s v="STA_SFO_SDG"/>
    <x v="15"/>
    <x v="1"/>
    <m/>
    <n v="11.3"/>
    <n v="11"/>
  </r>
  <r>
    <n v="94610"/>
    <s v="CA-9-UIC-37"/>
    <s v="STA_SFO_SDG"/>
    <x v="15"/>
    <x v="1"/>
    <m/>
    <n v="6.7"/>
    <n v="6.4"/>
  </r>
  <r>
    <n v="94612"/>
    <s v="CA-9-UIC-37"/>
    <s v="STA_SFO_SDG"/>
    <x v="15"/>
    <x v="1"/>
    <m/>
    <n v="14.6"/>
    <n v="7.7"/>
  </r>
  <r>
    <n v="94607"/>
    <s v="CA-9-UIC-37"/>
    <s v="STA_SFO_SDG"/>
    <x v="15"/>
    <x v="1"/>
    <m/>
    <n v="10.1"/>
    <n v="9.9"/>
  </r>
  <r>
    <n v="94568"/>
    <s v="CA-9-UIC-39"/>
    <s v="STA_SFO_MYS"/>
    <x v="15"/>
    <x v="1"/>
    <m/>
    <n v="17.600000000000001"/>
    <n v="16.100000000000001"/>
  </r>
  <r>
    <n v="94582"/>
    <s v="CA-9-UIC-39"/>
    <s v="STA_SFO_MYS"/>
    <x v="15"/>
    <x v="1"/>
    <m/>
    <n v="11.4"/>
    <n v="11"/>
  </r>
  <r>
    <n v="94583"/>
    <s v="CA-9-UIC-39"/>
    <s v="STA_SFO_MYS"/>
    <x v="15"/>
    <x v="1"/>
    <m/>
    <n v="9.3000000000000007"/>
    <n v="9.1"/>
  </r>
  <r>
    <n v="94566"/>
    <s v="CA-9-UIC-39"/>
    <s v="STA_SFO_MYS"/>
    <x v="15"/>
    <x v="1"/>
    <m/>
    <n v="8.6"/>
    <n v="8.3000000000000007"/>
  </r>
  <r>
    <n v="94588"/>
    <s v="CA-9-UIC-39"/>
    <s v="STA_SFO_MYS"/>
    <x v="15"/>
    <x v="1"/>
    <m/>
    <n v="6.9"/>
    <n v="6.7"/>
  </r>
  <r>
    <n v="94550"/>
    <s v="CA-9-UIC-39"/>
    <s v="STA_SFO_MYS"/>
    <x v="15"/>
    <x v="1"/>
    <m/>
    <n v="12.1"/>
    <n v="11.9"/>
  </r>
  <r>
    <n v="94551"/>
    <s v="CA-9-UIC-39"/>
    <s v="STA_SFO_MYS"/>
    <x v="15"/>
    <x v="1"/>
    <m/>
    <n v="7.1"/>
    <n v="6.4"/>
  </r>
  <r>
    <n v="94577"/>
    <s v="CA-9-UIC-41"/>
    <s v="STA_SFO_SDG"/>
    <x v="15"/>
    <x v="1"/>
    <m/>
    <n v="12.3"/>
    <n v="11.1"/>
  </r>
  <r>
    <n v="94578"/>
    <s v="CA-9-UIC-41"/>
    <s v="STA_SFO_SDG"/>
    <x v="15"/>
    <x v="1"/>
    <m/>
    <n v="11.6"/>
    <n v="11.4"/>
  </r>
  <r>
    <n v="94579"/>
    <s v="CA-9-UIC-41"/>
    <s v="STA_SFO_SDG"/>
    <x v="15"/>
    <x v="1"/>
    <m/>
    <n v="9.3000000000000007"/>
    <n v="9"/>
  </r>
  <r>
    <n v="94580"/>
    <s v="CA-9-UIC-41"/>
    <s v="STA_SFO_SDG"/>
    <x v="15"/>
    <x v="1"/>
    <m/>
    <n v="12.3"/>
    <n v="11.6"/>
  </r>
  <r>
    <n v="94546"/>
    <s v="CA-9-UIC-41"/>
    <s v="STA_SFO_SDG"/>
    <x v="15"/>
    <x v="1"/>
    <m/>
    <n v="15.3"/>
    <n v="14.9"/>
  </r>
  <r>
    <n v="94552"/>
    <s v="CA-9-UIC-41"/>
    <s v="STA_SFO_SDG"/>
    <x v="15"/>
    <x v="0"/>
    <m/>
    <n v="4.0999999999999996"/>
    <n v="4"/>
  </r>
  <r>
    <n v="95066"/>
    <s v="CA-9-UIC-43"/>
    <s v="STA_SFO_RR"/>
    <x v="15"/>
    <x v="1"/>
    <m/>
    <n v="10.7"/>
    <n v="3"/>
  </r>
  <r>
    <n v="95018"/>
    <s v="CA-9-UIC-43"/>
    <s v="STA_SFO_RR"/>
    <x v="15"/>
    <x v="1"/>
    <m/>
    <n v="2.4"/>
    <n v="1.4"/>
  </r>
  <r>
    <n v="95005"/>
    <s v="CA-9-UIC-43"/>
    <s v="STA_SFO_RR"/>
    <x v="15"/>
    <x v="1"/>
    <m/>
    <n v="3.7"/>
    <n v="2.1"/>
  </r>
  <r>
    <n v="95065"/>
    <s v="CA-9-UIC-43"/>
    <s v="STA_SFO_RR"/>
    <x v="15"/>
    <x v="1"/>
    <m/>
    <n v="3.1"/>
    <n v="2.2999999999999998"/>
  </r>
  <r>
    <n v="95064"/>
    <s v="CA-9-UIC-43"/>
    <s v="STA_SFO_RR"/>
    <x v="15"/>
    <x v="1"/>
    <m/>
    <n v="1"/>
    <n v="0.3"/>
  </r>
  <r>
    <n v="95062"/>
    <s v="CA-9-UIC-43"/>
    <s v="STA_SFO_RR"/>
    <x v="15"/>
    <x v="1"/>
    <m/>
    <n v="10.1"/>
    <n v="6.9"/>
  </r>
  <r>
    <n v="95060"/>
    <s v="CA-9-UIC-43"/>
    <s v="STA_SFO_RR"/>
    <x v="15"/>
    <x v="1"/>
    <m/>
    <n v="30.3"/>
    <n v="11.6"/>
  </r>
  <r>
    <n v="95010"/>
    <s v="CA-9-UIC-43"/>
    <s v="STA_SFO_RR"/>
    <x v="15"/>
    <x v="1"/>
    <m/>
    <n v="2.9"/>
    <n v="2.6"/>
  </r>
  <r>
    <n v="95003"/>
    <s v="CA-9-UIC-43"/>
    <s v="STA_SFO_RR"/>
    <x v="15"/>
    <x v="1"/>
    <m/>
    <n v="8.6"/>
    <n v="4.4000000000000004"/>
  </r>
  <r>
    <n v="95002"/>
    <s v="CA-9-UIC-45"/>
    <s v="STA_SFO_RR"/>
    <x v="15"/>
    <x v="0"/>
    <m/>
    <n v="0.1"/>
    <n v="0.1"/>
  </r>
  <r>
    <n v="95051"/>
    <s v="CA-9-UIC-45"/>
    <s v="STA_SFO_RR"/>
    <x v="15"/>
    <x v="1"/>
    <m/>
    <n v="14.3"/>
    <n v="13.7"/>
  </r>
  <r>
    <n v="95053"/>
    <s v="CA-9-UIC-45"/>
    <s v="STA_SFO_RR"/>
    <x v="15"/>
    <x v="2"/>
    <m/>
    <n v="0"/>
    <n v="0"/>
  </r>
  <r>
    <n v="95050"/>
    <s v="CA-9-UIC-45"/>
    <s v="STA_SFO_RR"/>
    <x v="15"/>
    <x v="1"/>
    <m/>
    <n v="11.6"/>
    <n v="11.6"/>
  </r>
  <r>
    <n v="95054"/>
    <s v="CA-9-UIC-45"/>
    <s v="STA_SFO_RR"/>
    <x v="15"/>
    <x v="1"/>
    <m/>
    <n v="11.4"/>
    <n v="11"/>
  </r>
  <r>
    <n v="95070"/>
    <s v="CA-9-UIC-45"/>
    <s v="STA_SFO_RR"/>
    <x v="15"/>
    <x v="1"/>
    <m/>
    <n v="10.7"/>
    <n v="10.6"/>
  </r>
  <r>
    <n v="95129"/>
    <s v="CA-9-UIC-45"/>
    <s v="STA_SFO_RR"/>
    <x v="15"/>
    <x v="1"/>
    <m/>
    <n v="14.7"/>
    <n v="14.7"/>
  </r>
  <r>
    <n v="95008"/>
    <s v="CA-9-UIC-45"/>
    <s v="STA_SFO_RR"/>
    <x v="15"/>
    <x v="1"/>
    <m/>
    <n v="15.6"/>
    <n v="15.6"/>
  </r>
  <r>
    <n v="95130"/>
    <s v="CA-9-UIC-45"/>
    <s v="STA_SFO_RR"/>
    <x v="15"/>
    <x v="1"/>
    <m/>
    <n v="4.4000000000000004"/>
    <n v="4.4000000000000004"/>
  </r>
  <r>
    <n v="95117"/>
    <s v="CA-9-UIC-45"/>
    <s v="STA_SFO_RR"/>
    <x v="15"/>
    <x v="1"/>
    <m/>
    <n v="8"/>
    <n v="7.7"/>
  </r>
  <r>
    <n v="95030"/>
    <s v="CA-9-UIC-45"/>
    <s v="STA_SFO_RR"/>
    <x v="15"/>
    <x v="1"/>
    <m/>
    <n v="1.6"/>
    <n v="1.6"/>
  </r>
  <r>
    <n v="95032"/>
    <s v="CA-9-UIC-45"/>
    <s v="STA_SFO_RR"/>
    <x v="15"/>
    <x v="1"/>
    <m/>
    <n v="7.9"/>
    <n v="7.9"/>
  </r>
  <r>
    <n v="95124"/>
    <s v="CA-9-UIC-45"/>
    <s v="STA_SFO_RR"/>
    <x v="15"/>
    <x v="1"/>
    <m/>
    <n v="10.6"/>
    <n v="10.3"/>
  </r>
  <r>
    <n v="95120"/>
    <s v="CA-9-UIC-45"/>
    <s v="STA_SFO_RR"/>
    <x v="15"/>
    <x v="1"/>
    <m/>
    <n v="11"/>
    <n v="10.4"/>
  </r>
  <r>
    <n v="95118"/>
    <s v="CA-9-UIC-45"/>
    <s v="STA_SFO_RR"/>
    <x v="15"/>
    <x v="1"/>
    <m/>
    <n v="8.1"/>
    <n v="7.9"/>
  </r>
  <r>
    <n v="95039"/>
    <s v="CA-9-UIC-47"/>
    <s v="STA_SFO_RR"/>
    <x v="15"/>
    <x v="1"/>
    <m/>
    <n v="1.7"/>
    <n v="0.4"/>
  </r>
  <r>
    <n v="95019"/>
    <s v="CA-9-UIC-47"/>
    <s v="STA_SFO_RR"/>
    <x v="15"/>
    <x v="1"/>
    <m/>
    <n v="3.7"/>
    <n v="1.6"/>
  </r>
  <r>
    <n v="95012"/>
    <s v="CA-9-UIC-47"/>
    <s v="STA_SFO_RR"/>
    <x v="15"/>
    <x v="1"/>
    <m/>
    <n v="9"/>
    <n v="1.9"/>
  </r>
  <r>
    <n v="93955"/>
    <s v="CA-9-UIC-47"/>
    <s v="STA_SFO_RR"/>
    <x v="15"/>
    <x v="1"/>
    <m/>
    <n v="18.100000000000001"/>
    <n v="7"/>
  </r>
  <r>
    <n v="93953"/>
    <s v="CA-9-UIC-47"/>
    <s v="STA_SFO_RR"/>
    <x v="15"/>
    <x v="1"/>
    <m/>
    <n v="4.9000000000000004"/>
    <n v="1"/>
  </r>
  <r>
    <n v="93950"/>
    <s v="CA-9-UIC-47"/>
    <s v="STA_SFO_RR"/>
    <x v="15"/>
    <x v="1"/>
    <m/>
    <n v="12.6"/>
    <n v="2.7"/>
  </r>
  <r>
    <n v="93943"/>
    <s v="CA-9-UIC-47"/>
    <s v="STA_SFO_RR"/>
    <x v="15"/>
    <x v="1"/>
    <m/>
    <n v="0"/>
    <n v="0"/>
  </r>
  <r>
    <n v="93940"/>
    <s v="CA-9-UIC-47"/>
    <s v="STA_SFO_RR"/>
    <x v="15"/>
    <x v="1"/>
    <m/>
    <n v="19"/>
    <n v="4.9000000000000004"/>
  </r>
  <r>
    <n v="93933"/>
    <s v="CA-9-UIC-47"/>
    <s v="STA_SFO_RR"/>
    <x v="15"/>
    <x v="1"/>
    <m/>
    <n v="18.899999999999999"/>
    <n v="6.6"/>
  </r>
  <r>
    <n v="93923"/>
    <s v="CA-9-UIC-47"/>
    <s v="STA_SFO_RR"/>
    <x v="15"/>
    <x v="1"/>
    <m/>
    <n v="20.100000000000001"/>
    <n v="3.7"/>
  </r>
  <r>
    <n v="93921"/>
    <s v="CA-9-UIC-47"/>
    <s v="STA_SFO_RR"/>
    <x v="15"/>
    <x v="1"/>
    <m/>
    <n v="1"/>
    <n v="0.3"/>
  </r>
  <r>
    <n v="93907"/>
    <s v="CA-9-UIC-47"/>
    <s v="STA_SFO_RR"/>
    <x v="15"/>
    <x v="1"/>
    <m/>
    <n v="10.9"/>
    <n v="2.6"/>
  </r>
  <r>
    <n v="93906"/>
    <s v="CA-9-UIC-47"/>
    <s v="STA_SFO_RR"/>
    <x v="15"/>
    <x v="1"/>
    <m/>
    <n v="33.1"/>
    <n v="14"/>
  </r>
  <r>
    <n v="93905"/>
    <s v="CA-9-UIC-47"/>
    <s v="STA_SFO_RR"/>
    <x v="15"/>
    <x v="1"/>
    <m/>
    <n v="31.3"/>
    <n v="13.3"/>
  </r>
  <r>
    <n v="93901"/>
    <s v="CA-9-UIC-47"/>
    <s v="STA_SFO_RR"/>
    <x v="15"/>
    <x v="1"/>
    <m/>
    <n v="16.100000000000001"/>
    <n v="3.3"/>
  </r>
  <r>
    <n v="95076"/>
    <s v="CA-9-UIC-47"/>
    <s v="STA_SFO_RR"/>
    <x v="15"/>
    <x v="1"/>
    <m/>
    <n v="41.9"/>
    <n v="16.100000000000001"/>
  </r>
  <r>
    <n v="94587"/>
    <s v="CA-9-UIC-49"/>
    <s v="STA_SFO_RR"/>
    <x v="15"/>
    <x v="1"/>
    <m/>
    <n v="24.3"/>
    <n v="23.4"/>
  </r>
  <r>
    <n v="94536"/>
    <s v="CA-9-UIC-49"/>
    <s v="STA_SFO_RR"/>
    <x v="15"/>
    <x v="1"/>
    <m/>
    <n v="18.3"/>
    <n v="17.899999999999999"/>
  </r>
  <r>
    <n v="94555"/>
    <s v="CA-9-UIC-49"/>
    <s v="STA_SFO_RR"/>
    <x v="15"/>
    <x v="1"/>
    <m/>
    <n v="10.9"/>
    <n v="10.3"/>
  </r>
  <r>
    <n v="94560"/>
    <s v="CA-9-UIC-49"/>
    <s v="STA_SFO_RR"/>
    <x v="15"/>
    <x v="1"/>
    <m/>
    <n v="16"/>
    <n v="15"/>
  </r>
  <r>
    <n v="94541"/>
    <s v="CA-9-UIC-49"/>
    <s v="STA_SFO_RR"/>
    <x v="15"/>
    <x v="1"/>
    <m/>
    <n v="15"/>
    <n v="14"/>
  </r>
  <r>
    <n v="94542"/>
    <s v="CA-9-UIC-49"/>
    <s v="STA_SFO_RR"/>
    <x v="15"/>
    <x v="1"/>
    <m/>
    <n v="4.4000000000000004"/>
    <n v="4.3"/>
  </r>
  <r>
    <n v="94544"/>
    <s v="CA-9-UIC-49"/>
    <s v="STA_SFO_RR"/>
    <x v="15"/>
    <x v="1"/>
    <m/>
    <n v="24.4"/>
    <n v="23.3"/>
  </r>
  <r>
    <n v="94545"/>
    <s v="CA-9-UIC-49"/>
    <s v="STA_SFO_RR"/>
    <x v="15"/>
    <x v="1"/>
    <m/>
    <n v="10.1"/>
    <n v="9.6"/>
  </r>
  <r>
    <n v="94503"/>
    <s v="CA-9-UIC-53"/>
    <s v="STA_SFO_SDG"/>
    <x v="15"/>
    <x v="1"/>
    <m/>
    <n v="11"/>
    <n v="5.3"/>
  </r>
  <r>
    <n v="94589"/>
    <s v="CA-9-UIC-53"/>
    <s v="STA_SFO_SDG"/>
    <x v="15"/>
    <x v="1"/>
    <m/>
    <n v="21.1"/>
    <n v="8.6999999999999993"/>
  </r>
  <r>
    <n v="94592"/>
    <s v="CA-9-UIC-53"/>
    <s v="STA_SFO_SDG"/>
    <x v="15"/>
    <x v="1"/>
    <m/>
    <n v="0.3"/>
    <n v="0.1"/>
  </r>
  <r>
    <n v="94590"/>
    <s v="CA-9-UIC-53"/>
    <s v="STA_SFO_SDG"/>
    <x v="15"/>
    <x v="1"/>
    <m/>
    <n v="21.4"/>
    <n v="7.4"/>
  </r>
  <r>
    <n v="94591"/>
    <s v="CA-9-UIC-53"/>
    <s v="STA_SFO_SDG"/>
    <x v="15"/>
    <x v="1"/>
    <m/>
    <n v="26.1"/>
    <n v="11.4"/>
  </r>
  <r>
    <n v="94510"/>
    <s v="CA-9-UIC-53"/>
    <s v="STA_SFO_SDG"/>
    <x v="15"/>
    <x v="1"/>
    <m/>
    <n v="10.3"/>
    <n v="6.3"/>
  </r>
  <r>
    <n v="94706"/>
    <s v="CA-9-UIC-55"/>
    <s v="STA_UIC_UDS"/>
    <x v="15"/>
    <x v="0"/>
    <m/>
    <n v="4.7"/>
    <n v="4.7"/>
  </r>
  <r>
    <n v="94710"/>
    <s v="CA-9-UIC-55"/>
    <s v="STA_UIC_UDS"/>
    <x v="15"/>
    <x v="0"/>
    <m/>
    <n v="2.4"/>
    <n v="2.4"/>
  </r>
  <r>
    <n v="94702"/>
    <s v="CA-9-UIC-55"/>
    <s v="STA_UIC_UDS"/>
    <x v="15"/>
    <x v="0"/>
    <m/>
    <n v="3.6"/>
    <n v="3.4"/>
  </r>
  <r>
    <n v="94703"/>
    <s v="CA-9-UIC-55"/>
    <s v="STA_UIC_UDS"/>
    <x v="15"/>
    <x v="0"/>
    <m/>
    <n v="6"/>
    <n v="5.7"/>
  </r>
  <r>
    <n v="94707"/>
    <s v="CA-9-UIC-55"/>
    <s v="STA_UIC_UDS"/>
    <x v="15"/>
    <x v="0"/>
    <m/>
    <n v="3.3"/>
    <n v="3"/>
  </r>
  <r>
    <n v="94708"/>
    <s v="CA-9-UIC-55"/>
    <s v="STA_UIC_UDS"/>
    <x v="15"/>
    <x v="0"/>
    <m/>
    <n v="1.6"/>
    <n v="1.4"/>
  </r>
  <r>
    <n v="94709"/>
    <s v="CA-9-UIC-55"/>
    <s v="STA_UIC_UDS"/>
    <x v="15"/>
    <x v="0"/>
    <m/>
    <n v="1.6"/>
    <n v="1.4"/>
  </r>
  <r>
    <n v="94720"/>
    <s v="CA-9-UIC-55"/>
    <s v="STA_UIC_UDS"/>
    <x v="15"/>
    <x v="0"/>
    <m/>
    <n v="0.6"/>
    <n v="0.4"/>
  </r>
  <r>
    <n v="94704"/>
    <s v="CA-9-UIC-55"/>
    <s v="STA_UIC_UDS"/>
    <x v="15"/>
    <x v="0"/>
    <m/>
    <n v="5"/>
    <n v="5"/>
  </r>
  <r>
    <n v="94705"/>
    <s v="CA-9-UIC-55"/>
    <s v="STA_UIC_UDS"/>
    <x v="15"/>
    <x v="0"/>
    <m/>
    <n v="2.7"/>
    <n v="2.7"/>
  </r>
  <r>
    <n v="94530"/>
    <s v="CA-9-UIC-55"/>
    <s v="STA_UIC_UDS"/>
    <x v="15"/>
    <x v="0"/>
    <m/>
    <n v="6.6"/>
    <n v="6.3"/>
  </r>
  <r>
    <n v="94597"/>
    <s v="CA-9-UIC-55"/>
    <s v="STA_UIC_UDS"/>
    <x v="15"/>
    <x v="0"/>
    <m/>
    <n v="7.7"/>
    <n v="5.7"/>
  </r>
  <r>
    <n v="94596"/>
    <s v="CA-9-UIC-55"/>
    <s v="STA_UIC_UDS"/>
    <x v="15"/>
    <x v="0"/>
    <m/>
    <n v="4.4000000000000004"/>
    <n v="3.4"/>
  </r>
  <r>
    <n v="94595"/>
    <s v="CA-9-UIC-55"/>
    <s v="STA_UIC_UDS"/>
    <x v="15"/>
    <x v="1"/>
    <m/>
    <n v="3.9"/>
    <n v="3"/>
  </r>
  <r>
    <n v="94598"/>
    <s v="CA-9-UIC-55"/>
    <s v="STA_UIC_UDS"/>
    <x v="15"/>
    <x v="0"/>
    <m/>
    <n v="7.1"/>
    <n v="6.4"/>
  </r>
  <r>
    <n v="94556"/>
    <s v="CA-9-UIC-55"/>
    <s v="STA_UIC_UDS"/>
    <x v="15"/>
    <x v="1"/>
    <m/>
    <n v="6.3"/>
    <n v="4.5999999999999996"/>
  </r>
  <r>
    <n v="94563"/>
    <s v="CA-9-UIC-55"/>
    <s v="STA_UIC_UDS"/>
    <x v="15"/>
    <x v="0"/>
    <m/>
    <n v="3.7"/>
    <n v="3.7"/>
  </r>
  <r>
    <n v="94549"/>
    <s v="CA-9-UIC-55"/>
    <s v="STA_UIC_UDS"/>
    <x v="15"/>
    <x v="1"/>
    <m/>
    <n v="7.4"/>
    <n v="4.4000000000000004"/>
  </r>
  <r>
    <n v="94575"/>
    <s v="CA-9-UIC-55"/>
    <s v="STA_UIC_UDS"/>
    <x v="15"/>
    <x v="0"/>
    <m/>
    <n v="0"/>
    <n v="0"/>
  </r>
  <r>
    <n v="94516"/>
    <s v="CA-9-UIC-55"/>
    <s v="STA_UIC_UDS"/>
    <x v="15"/>
    <x v="1"/>
    <m/>
    <n v="0"/>
    <n v="0"/>
  </r>
  <r>
    <n v="94528"/>
    <s v="CA-9-UIC-55"/>
    <s v="STA_UIC_UDS"/>
    <x v="15"/>
    <x v="1"/>
    <m/>
    <n v="0.1"/>
    <n v="0.1"/>
  </r>
  <r>
    <n v="94507"/>
    <s v="CA-9-UIC-55"/>
    <s v="STA_UIC_UDS"/>
    <x v="15"/>
    <x v="0"/>
    <m/>
    <n v="5.7"/>
    <n v="4.3"/>
  </r>
  <r>
    <n v="94506"/>
    <s v="CA-9-UIC-55"/>
    <s v="STA_UIC_UDS"/>
    <x v="15"/>
    <x v="0"/>
    <m/>
    <n v="5"/>
    <n v="4.7"/>
  </r>
  <r>
    <n v="94526"/>
    <s v="CA-9-UIC-55"/>
    <s v="STA_UIC_UDS"/>
    <x v="15"/>
    <x v="1"/>
    <m/>
    <n v="8.1"/>
    <n v="5.3"/>
  </r>
  <r>
    <n v="94569"/>
    <s v="CA-9-UIC-57"/>
    <s v="STA_SFO_SDG"/>
    <x v="15"/>
    <x v="0"/>
    <m/>
    <n v="0"/>
    <n v="0"/>
  </r>
  <r>
    <n v="94525"/>
    <s v="CA-9-UIC-57"/>
    <s v="STA_SFO_SDG"/>
    <x v="15"/>
    <x v="0"/>
    <m/>
    <n v="0.7"/>
    <n v="0.7"/>
  </r>
  <r>
    <n v="94572"/>
    <s v="CA-9-UIC-57"/>
    <s v="STA_SFO_SDG"/>
    <x v="15"/>
    <x v="1"/>
    <m/>
    <n v="3.3"/>
    <n v="3"/>
  </r>
  <r>
    <n v="94547"/>
    <s v="CA-9-UIC-57"/>
    <s v="STA_SFO_SDG"/>
    <x v="15"/>
    <x v="1"/>
    <m/>
    <n v="7.1"/>
    <n v="7"/>
  </r>
  <r>
    <n v="94803"/>
    <s v="CA-9-UIC-57"/>
    <s v="STA_SFO_SDG"/>
    <x v="15"/>
    <x v="1"/>
    <m/>
    <n v="7.6"/>
    <n v="7"/>
  </r>
  <r>
    <n v="94564"/>
    <s v="CA-9-UIC-57"/>
    <s v="STA_SFO_SDG"/>
    <x v="15"/>
    <x v="1"/>
    <m/>
    <n v="4.3"/>
    <n v="4"/>
  </r>
  <r>
    <n v="93062"/>
    <s v="CA-4-PO-119"/>
    <e v="#N/A"/>
    <x v="16"/>
    <x v="3"/>
    <m/>
    <n v="0"/>
    <n v="0"/>
  </r>
  <r>
    <m/>
    <m/>
    <m/>
    <x v="17"/>
    <x v="4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87F475-E085-4611-AF21-C8F7A0BC5DD5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C22" firstHeaderRow="0" firstDataRow="1" firstDataCol="1" rowPageCount="1" colPageCount="1"/>
  <pivotFields count="8">
    <pivotField showAll="0"/>
    <pivotField showAll="0"/>
    <pivotField showAll="0"/>
    <pivotField axis="axisRow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axis="axisPage" multipleItemSelectionAllowed="1" showAll="0">
      <items count="7">
        <item h="1" m="1" x="5"/>
        <item x="0"/>
        <item x="2"/>
        <item x="1"/>
        <item x="4"/>
        <item x="3"/>
        <item t="default"/>
      </items>
    </pivotField>
    <pivotField showAll="0"/>
    <pivotField dataField="1" showAll="0"/>
    <pivotField dataField="1" showAll="0"/>
  </pivotFields>
  <rowFields count="1">
    <field x="3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2">
    <i>
      <x/>
    </i>
    <i i="1">
      <x v="1"/>
    </i>
  </colItems>
  <pageFields count="1">
    <pageField fld="4" hier="-1"/>
  </pageFields>
  <dataFields count="2">
    <dataField name="Sum of num_package_per_day" fld="6" baseField="0" baseItem="0"/>
    <dataField name="Sum of AE_num_package_per_day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F626B-E5F0-4118-9DA9-1B93DBF385A1}">
  <sheetPr filterMode="1"/>
  <dimension ref="A1:J1304"/>
  <sheetViews>
    <sheetView tabSelected="1" workbookViewId="0">
      <selection activeCell="F268" sqref="F268"/>
    </sheetView>
  </sheetViews>
  <sheetFormatPr defaultRowHeight="15.5"/>
  <cols>
    <col min="1" max="1" width="12.1640625" style="2" customWidth="1"/>
    <col min="2" max="2" width="15" style="2" customWidth="1"/>
    <col min="3" max="3" width="27.33203125" style="2" customWidth="1"/>
    <col min="4" max="4" width="14.4140625" style="2" customWidth="1"/>
    <col min="5" max="5" width="12.9140625" style="2" bestFit="1" customWidth="1"/>
    <col min="6" max="6" width="12.9140625" style="2" customWidth="1"/>
    <col min="7" max="7" width="22.58203125" style="28" bestFit="1" customWidth="1"/>
    <col min="8" max="8" width="25.9140625" style="28" bestFit="1" customWidth="1"/>
    <col min="9" max="9" width="12" style="2" bestFit="1" customWidth="1"/>
    <col min="10" max="10" width="12.08203125" style="2" bestFit="1" customWidth="1"/>
    <col min="11" max="16384" width="8.6640625" style="27"/>
  </cols>
  <sheetData>
    <row r="1" spans="1:10">
      <c r="A1" s="24" t="s">
        <v>2</v>
      </c>
      <c r="B1" s="25" t="s">
        <v>0</v>
      </c>
      <c r="C1" s="25" t="s">
        <v>1</v>
      </c>
      <c r="D1" s="26" t="s">
        <v>158</v>
      </c>
      <c r="E1" s="26" t="s">
        <v>170</v>
      </c>
      <c r="F1" s="26" t="s">
        <v>201</v>
      </c>
      <c r="G1" s="19" t="s">
        <v>172</v>
      </c>
      <c r="H1" s="19" t="s">
        <v>181</v>
      </c>
      <c r="I1" s="19" t="s">
        <v>199</v>
      </c>
      <c r="J1" s="19" t="s">
        <v>200</v>
      </c>
    </row>
    <row r="2" spans="1:10" hidden="1">
      <c r="A2" s="3">
        <v>93301</v>
      </c>
      <c r="B2" s="1" t="s">
        <v>168</v>
      </c>
      <c r="C2" s="2" t="str">
        <f>_xlfn.XLOOKUP(B2,线路DSP对应!A:A,线路DSP对应!B:B)</f>
        <v>STA_LAX_ChinaOcean</v>
      </c>
      <c r="D2" s="4" t="s">
        <v>144</v>
      </c>
      <c r="E2" s="2" t="str">
        <f>_xlfn.XLOOKUP(A2,转单情况!A:A,转单情况!B:B)</f>
        <v>SW</v>
      </c>
      <c r="G2" s="28">
        <f>ROUND(_xlfn.XLOOKUP(A2,全量!A:A,全量!B:B,0)/7,1)</f>
        <v>1.9</v>
      </c>
      <c r="H2" s="2">
        <f>ROUND(_xlfn.XLOOKUP(A2,AE!A:A,AE!B:B,0)/7,1)</f>
        <v>0</v>
      </c>
      <c r="I2" s="2" t="str">
        <f>_xlfn.XLOOKUP(A2,SWFTX邮编覆盖!A:A,SWFTX邮编覆盖!B:B,"否")</f>
        <v>否</v>
      </c>
      <c r="J2" s="2" t="str">
        <f>_xlfn.XLOOKUP(A2,YW邮编覆盖!A:A,YW邮编覆盖!B:B,"否")</f>
        <v>否</v>
      </c>
    </row>
    <row r="3" spans="1:10" hidden="1">
      <c r="A3" s="3">
        <v>93305</v>
      </c>
      <c r="B3" s="1" t="s">
        <v>168</v>
      </c>
      <c r="C3" s="2" t="str">
        <f>_xlfn.XLOOKUP(B3,线路DSP对应!A:A,线路DSP对应!B:B)</f>
        <v>STA_LAX_ChinaOcean</v>
      </c>
      <c r="D3" s="4" t="s">
        <v>144</v>
      </c>
      <c r="E3" s="2" t="str">
        <f>_xlfn.XLOOKUP(A3,转单情况!A:A,转单情况!B:B)</f>
        <v>SW</v>
      </c>
      <c r="G3" s="28">
        <f>ROUND(_xlfn.XLOOKUP(A3,全量!A:A,全量!B:B,0)/7,1)</f>
        <v>11.3</v>
      </c>
      <c r="H3" s="2">
        <f>ROUND(_xlfn.XLOOKUP(A3,AE!A:A,AE!B:B,0)/7,1)</f>
        <v>11.3</v>
      </c>
      <c r="I3" s="2" t="str">
        <f>_xlfn.XLOOKUP(A3,SWFTX邮编覆盖!A:A,SWFTX邮编覆盖!B:B,"否")</f>
        <v>是</v>
      </c>
      <c r="J3" s="2" t="str">
        <f>_xlfn.XLOOKUP(A3,YW邮编覆盖!A:A,YW邮编覆盖!B:B,"否")</f>
        <v>否</v>
      </c>
    </row>
    <row r="4" spans="1:10" hidden="1">
      <c r="A4" s="3">
        <v>93306</v>
      </c>
      <c r="B4" s="1" t="s">
        <v>168</v>
      </c>
      <c r="C4" s="2" t="str">
        <f>_xlfn.XLOOKUP(B4,线路DSP对应!A:A,线路DSP对应!B:B)</f>
        <v>STA_LAX_ChinaOcean</v>
      </c>
      <c r="D4" s="4" t="s">
        <v>144</v>
      </c>
      <c r="E4" s="2" t="str">
        <f>_xlfn.XLOOKUP(A4,转单情况!A:A,转单情况!B:B)</f>
        <v>SW</v>
      </c>
      <c r="G4" s="28">
        <f>ROUND(_xlfn.XLOOKUP(A4,全量!A:A,全量!B:B,0)/7,1)</f>
        <v>0.4</v>
      </c>
      <c r="H4" s="2">
        <f>ROUND(_xlfn.XLOOKUP(A4,AE!A:A,AE!B:B,0)/7,1)</f>
        <v>0</v>
      </c>
      <c r="I4" s="2" t="str">
        <f>_xlfn.XLOOKUP(A4,SWFTX邮编覆盖!A:A,SWFTX邮编覆盖!B:B,"否")</f>
        <v>是</v>
      </c>
      <c r="J4" s="2" t="str">
        <f>_xlfn.XLOOKUP(A4,YW邮编覆盖!A:A,YW邮编覆盖!B:B,"否")</f>
        <v>否</v>
      </c>
    </row>
    <row r="5" spans="1:10" hidden="1">
      <c r="A5" s="3">
        <v>93307</v>
      </c>
      <c r="B5" s="1" t="s">
        <v>168</v>
      </c>
      <c r="C5" s="2" t="str">
        <f>_xlfn.XLOOKUP(B5,线路DSP对应!A:A,线路DSP对应!B:B)</f>
        <v>STA_LAX_ChinaOcean</v>
      </c>
      <c r="D5" s="4" t="s">
        <v>144</v>
      </c>
      <c r="E5" s="2" t="str">
        <f>_xlfn.XLOOKUP(A5,转单情况!A:A,转单情况!B:B)</f>
        <v>SW</v>
      </c>
      <c r="G5" s="28">
        <f>ROUND(_xlfn.XLOOKUP(A5,全量!A:A,全量!B:B,0)/7,1)</f>
        <v>0.9</v>
      </c>
      <c r="H5" s="2">
        <f>ROUND(_xlfn.XLOOKUP(A5,AE!A:A,AE!B:B,0)/7,1)</f>
        <v>0</v>
      </c>
      <c r="I5" s="2" t="str">
        <f>_xlfn.XLOOKUP(A5,SWFTX邮编覆盖!A:A,SWFTX邮编覆盖!B:B,"否")</f>
        <v>是</v>
      </c>
      <c r="J5" s="2" t="str">
        <f>_xlfn.XLOOKUP(A5,YW邮编覆盖!A:A,YW邮编覆盖!B:B,"否")</f>
        <v>否</v>
      </c>
    </row>
    <row r="6" spans="1:10" hidden="1">
      <c r="A6" s="3">
        <v>93241</v>
      </c>
      <c r="B6" s="1" t="s">
        <v>168</v>
      </c>
      <c r="C6" s="2" t="str">
        <f>_xlfn.XLOOKUP(B6,线路DSP对应!A:A,线路DSP对应!B:B)</f>
        <v>STA_LAX_ChinaOcean</v>
      </c>
      <c r="D6" s="4" t="s">
        <v>144</v>
      </c>
      <c r="E6" s="2" t="str">
        <f>_xlfn.XLOOKUP(A6,转单情况!A:A,转单情况!B:B)</f>
        <v>SW</v>
      </c>
      <c r="G6" s="28">
        <f>ROUND(_xlfn.XLOOKUP(A6,全量!A:A,全量!B:B,0)/7,1)</f>
        <v>0</v>
      </c>
      <c r="H6" s="2">
        <f>ROUND(_xlfn.XLOOKUP(A6,AE!A:A,AE!B:B,0)/7,1)</f>
        <v>0</v>
      </c>
      <c r="I6" s="2" t="str">
        <f>_xlfn.XLOOKUP(A6,SWFTX邮编覆盖!A:A,SWFTX邮编覆盖!B:B,"否")</f>
        <v>是</v>
      </c>
      <c r="J6" s="2" t="str">
        <f>_xlfn.XLOOKUP(A6,YW邮编覆盖!A:A,YW邮编覆盖!B:B,"否")</f>
        <v>否</v>
      </c>
    </row>
    <row r="7" spans="1:10" hidden="1">
      <c r="A7" s="3">
        <v>93203</v>
      </c>
      <c r="B7" s="1" t="s">
        <v>168</v>
      </c>
      <c r="C7" s="2" t="str">
        <f>_xlfn.XLOOKUP(B7,线路DSP对应!A:A,线路DSP对应!B:B)</f>
        <v>STA_LAX_ChinaOcean</v>
      </c>
      <c r="D7" s="4" t="s">
        <v>144</v>
      </c>
      <c r="E7" s="2" t="str">
        <f>_xlfn.XLOOKUP(A7,转单情况!A:A,转单情况!B:B)</f>
        <v>SW</v>
      </c>
      <c r="G7" s="28">
        <f>ROUND(_xlfn.XLOOKUP(A7,全量!A:A,全量!B:B,0)/7,1)</f>
        <v>3.6</v>
      </c>
      <c r="H7" s="2">
        <f>ROUND(_xlfn.XLOOKUP(A7,AE!A:A,AE!B:B,0)/7,1)</f>
        <v>0</v>
      </c>
      <c r="I7" s="2" t="str">
        <f>_xlfn.XLOOKUP(A7,SWFTX邮编覆盖!A:A,SWFTX邮编覆盖!B:B,"否")</f>
        <v>是</v>
      </c>
      <c r="J7" s="2" t="str">
        <f>_xlfn.XLOOKUP(A7,YW邮编覆盖!A:A,YW邮编覆盖!B:B,"否")</f>
        <v>否</v>
      </c>
    </row>
    <row r="8" spans="1:10" hidden="1">
      <c r="A8" s="3">
        <v>93268</v>
      </c>
      <c r="B8" s="1" t="s">
        <v>168</v>
      </c>
      <c r="C8" s="2" t="str">
        <f>_xlfn.XLOOKUP(B8,线路DSP对应!A:A,线路DSP对应!B:B)</f>
        <v>STA_LAX_ChinaOcean</v>
      </c>
      <c r="D8" s="4" t="s">
        <v>144</v>
      </c>
      <c r="E8" s="2" t="str">
        <f>_xlfn.XLOOKUP(A8,转单情况!A:A,转单情况!B:B)</f>
        <v>SW</v>
      </c>
      <c r="G8" s="28">
        <f>ROUND(_xlfn.XLOOKUP(A8,全量!A:A,全量!B:B,0)/7,1)</f>
        <v>3.6</v>
      </c>
      <c r="H8" s="2">
        <f>ROUND(_xlfn.XLOOKUP(A8,AE!A:A,AE!B:B,0)/7,1)</f>
        <v>3.3</v>
      </c>
      <c r="I8" s="2" t="str">
        <f>_xlfn.XLOOKUP(A8,SWFTX邮编覆盖!A:A,SWFTX邮编覆盖!B:B,"否")</f>
        <v>是</v>
      </c>
      <c r="J8" s="2" t="str">
        <f>_xlfn.XLOOKUP(A8,YW邮编覆盖!A:A,YW邮编覆盖!B:B,"否")</f>
        <v>否</v>
      </c>
    </row>
    <row r="9" spans="1:10" hidden="1">
      <c r="A9" s="3">
        <v>93304</v>
      </c>
      <c r="B9" s="1" t="s">
        <v>168</v>
      </c>
      <c r="C9" s="2" t="str">
        <f>_xlfn.XLOOKUP(B9,线路DSP对应!A:A,线路DSP对应!B:B)</f>
        <v>STA_LAX_ChinaOcean</v>
      </c>
      <c r="D9" s="4" t="s">
        <v>144</v>
      </c>
      <c r="E9" s="2" t="str">
        <f>_xlfn.XLOOKUP(A9,转单情况!A:A,转单情况!B:B)</f>
        <v>SW</v>
      </c>
      <c r="G9" s="28">
        <f>ROUND(_xlfn.XLOOKUP(A9,全量!A:A,全量!B:B,0)/7,1)</f>
        <v>0.4</v>
      </c>
      <c r="H9" s="2">
        <f>ROUND(_xlfn.XLOOKUP(A9,AE!A:A,AE!B:B,0)/7,1)</f>
        <v>0</v>
      </c>
      <c r="I9" s="2" t="str">
        <f>_xlfn.XLOOKUP(A9,SWFTX邮编覆盖!A:A,SWFTX邮编覆盖!B:B,"否")</f>
        <v>是</v>
      </c>
      <c r="J9" s="2" t="str">
        <f>_xlfn.XLOOKUP(A9,YW邮编覆盖!A:A,YW邮编覆盖!B:B,"否")</f>
        <v>否</v>
      </c>
    </row>
    <row r="10" spans="1:10" hidden="1">
      <c r="A10" s="3">
        <v>93309</v>
      </c>
      <c r="B10" s="1" t="s">
        <v>168</v>
      </c>
      <c r="C10" s="2" t="str">
        <f>_xlfn.XLOOKUP(B10,线路DSP对应!A:A,线路DSP对应!B:B)</f>
        <v>STA_LAX_ChinaOcean</v>
      </c>
      <c r="D10" s="4" t="s">
        <v>144</v>
      </c>
      <c r="E10" s="2" t="str">
        <f>_xlfn.XLOOKUP(A10,转单情况!A:A,转单情况!B:B)</f>
        <v>SW</v>
      </c>
      <c r="G10" s="28">
        <f>ROUND(_xlfn.XLOOKUP(A10,全量!A:A,全量!B:B,0)/7,1)</f>
        <v>0.4</v>
      </c>
      <c r="H10" s="2">
        <f>ROUND(_xlfn.XLOOKUP(A10,AE!A:A,AE!B:B,0)/7,1)</f>
        <v>0</v>
      </c>
      <c r="I10" s="2" t="str">
        <f>_xlfn.XLOOKUP(A10,SWFTX邮编覆盖!A:A,SWFTX邮编覆盖!B:B,"否")</f>
        <v>是</v>
      </c>
      <c r="J10" s="2" t="str">
        <f>_xlfn.XLOOKUP(A10,YW邮编覆盖!A:A,YW邮编覆盖!B:B,"否")</f>
        <v>否</v>
      </c>
    </row>
    <row r="11" spans="1:10" hidden="1">
      <c r="A11" s="3">
        <v>93313</v>
      </c>
      <c r="B11" s="1" t="s">
        <v>168</v>
      </c>
      <c r="C11" s="2" t="str">
        <f>_xlfn.XLOOKUP(B11,线路DSP对应!A:A,线路DSP对应!B:B)</f>
        <v>STA_LAX_ChinaOcean</v>
      </c>
      <c r="D11" s="4" t="s">
        <v>144</v>
      </c>
      <c r="E11" s="2" t="str">
        <f>_xlfn.XLOOKUP(A11,转单情况!A:A,转单情况!B:B)</f>
        <v>SW</v>
      </c>
      <c r="G11" s="28">
        <f>ROUND(_xlfn.XLOOKUP(A11,全量!A:A,全量!B:B,0)/7,1)</f>
        <v>1</v>
      </c>
      <c r="H11" s="2">
        <f>ROUND(_xlfn.XLOOKUP(A11,AE!A:A,AE!B:B,0)/7,1)</f>
        <v>0</v>
      </c>
      <c r="I11" s="2" t="str">
        <f>_xlfn.XLOOKUP(A11,SWFTX邮编覆盖!A:A,SWFTX邮编覆盖!B:B,"否")</f>
        <v>是</v>
      </c>
      <c r="J11" s="2" t="str">
        <f>_xlfn.XLOOKUP(A11,YW邮编覆盖!A:A,YW邮编覆盖!B:B,"否")</f>
        <v>否</v>
      </c>
    </row>
    <row r="12" spans="1:10" hidden="1">
      <c r="A12" s="3">
        <v>93311</v>
      </c>
      <c r="B12" s="1" t="s">
        <v>168</v>
      </c>
      <c r="C12" s="2" t="str">
        <f>_xlfn.XLOOKUP(B12,线路DSP对应!A:A,线路DSP对应!B:B)</f>
        <v>STA_LAX_ChinaOcean</v>
      </c>
      <c r="D12" s="4" t="s">
        <v>144</v>
      </c>
      <c r="E12" s="2" t="str">
        <f>_xlfn.XLOOKUP(A12,转单情况!A:A,转单情况!B:B)</f>
        <v>SW</v>
      </c>
      <c r="G12" s="28">
        <f>ROUND(_xlfn.XLOOKUP(A12,全量!A:A,全量!B:B,0)/7,1)</f>
        <v>0.9</v>
      </c>
      <c r="H12" s="2">
        <f>ROUND(_xlfn.XLOOKUP(A12,AE!A:A,AE!B:B,0)/7,1)</f>
        <v>0</v>
      </c>
      <c r="I12" s="2" t="str">
        <f>_xlfn.XLOOKUP(A12,SWFTX邮编覆盖!A:A,SWFTX邮编覆盖!B:B,"否")</f>
        <v>是</v>
      </c>
      <c r="J12" s="2" t="str">
        <f>_xlfn.XLOOKUP(A12,YW邮编覆盖!A:A,YW邮编覆盖!B:B,"否")</f>
        <v>否</v>
      </c>
    </row>
    <row r="13" spans="1:10" hidden="1">
      <c r="A13" s="3">
        <v>93314</v>
      </c>
      <c r="B13" s="1" t="s">
        <v>168</v>
      </c>
      <c r="C13" s="2" t="str">
        <f>_xlfn.XLOOKUP(B13,线路DSP对应!A:A,线路DSP对应!B:B)</f>
        <v>STA_LAX_ChinaOcean</v>
      </c>
      <c r="D13" s="4" t="s">
        <v>144</v>
      </c>
      <c r="E13" s="2" t="str">
        <f>_xlfn.XLOOKUP(A13,转单情况!A:A,转单情况!B:B)</f>
        <v>SW</v>
      </c>
      <c r="G13" s="28">
        <f>ROUND(_xlfn.XLOOKUP(A13,全量!A:A,全量!B:B,0)/7,1)</f>
        <v>0.3</v>
      </c>
      <c r="H13" s="2">
        <f>ROUND(_xlfn.XLOOKUP(A13,AE!A:A,AE!B:B,0)/7,1)</f>
        <v>0</v>
      </c>
      <c r="I13" s="2" t="str">
        <f>_xlfn.XLOOKUP(A13,SWFTX邮编覆盖!A:A,SWFTX邮编覆盖!B:B,"否")</f>
        <v>是</v>
      </c>
      <c r="J13" s="2" t="str">
        <f>_xlfn.XLOOKUP(A13,YW邮编覆盖!A:A,YW邮编覆盖!B:B,"否")</f>
        <v>否</v>
      </c>
    </row>
    <row r="14" spans="1:10" hidden="1">
      <c r="A14" s="3">
        <v>93312</v>
      </c>
      <c r="B14" s="1" t="s">
        <v>168</v>
      </c>
      <c r="C14" s="2" t="str">
        <f>_xlfn.XLOOKUP(B14,线路DSP对应!A:A,线路DSP对应!B:B)</f>
        <v>STA_LAX_ChinaOcean</v>
      </c>
      <c r="D14" s="4" t="s">
        <v>144</v>
      </c>
      <c r="E14" s="2" t="str">
        <f>_xlfn.XLOOKUP(A14,转单情况!A:A,转单情况!B:B)</f>
        <v>SW</v>
      </c>
      <c r="G14" s="28">
        <f>ROUND(_xlfn.XLOOKUP(A14,全量!A:A,全量!B:B,0)/7,1)</f>
        <v>0.9</v>
      </c>
      <c r="H14" s="2">
        <f>ROUND(_xlfn.XLOOKUP(A14,AE!A:A,AE!B:B,0)/7,1)</f>
        <v>0</v>
      </c>
      <c r="I14" s="2" t="str">
        <f>_xlfn.XLOOKUP(A14,SWFTX邮编覆盖!A:A,SWFTX邮编覆盖!B:B,"否")</f>
        <v>是</v>
      </c>
      <c r="J14" s="2" t="str">
        <f>_xlfn.XLOOKUP(A14,YW邮编覆盖!A:A,YW邮编覆盖!B:B,"否")</f>
        <v>否</v>
      </c>
    </row>
    <row r="15" spans="1:10" hidden="1">
      <c r="A15" s="3">
        <v>93308</v>
      </c>
      <c r="B15" s="1" t="s">
        <v>168</v>
      </c>
      <c r="C15" s="2" t="str">
        <f>_xlfn.XLOOKUP(B15,线路DSP对应!A:A,线路DSP对应!B:B)</f>
        <v>STA_LAX_ChinaOcean</v>
      </c>
      <c r="D15" s="4" t="s">
        <v>144</v>
      </c>
      <c r="E15" s="2" t="str">
        <f>_xlfn.XLOOKUP(A15,转单情况!A:A,转单情况!B:B)</f>
        <v>SW</v>
      </c>
      <c r="G15" s="28">
        <f>ROUND(_xlfn.XLOOKUP(A15,全量!A:A,全量!B:B,0)/7,1)</f>
        <v>0.6</v>
      </c>
      <c r="H15" s="2">
        <f>ROUND(_xlfn.XLOOKUP(A15,AE!A:A,AE!B:B,0)/7,1)</f>
        <v>0</v>
      </c>
      <c r="I15" s="2" t="str">
        <f>_xlfn.XLOOKUP(A15,SWFTX邮编覆盖!A:A,SWFTX邮编覆盖!B:B,"否")</f>
        <v>是</v>
      </c>
      <c r="J15" s="2" t="str">
        <f>_xlfn.XLOOKUP(A15,YW邮编覆盖!A:A,YW邮编覆盖!B:B,"否")</f>
        <v>否</v>
      </c>
    </row>
    <row r="16" spans="1:10" hidden="1">
      <c r="A16" s="3">
        <v>93510</v>
      </c>
      <c r="B16" s="1" t="s">
        <v>34</v>
      </c>
      <c r="C16" s="2" t="str">
        <f>_xlfn.XLOOKUP(B16,线路DSP对应!A:A,线路DSP对应!B:B)</f>
        <v>STA_LAX_APA_PRIME</v>
      </c>
      <c r="D16" s="4" t="s">
        <v>145</v>
      </c>
      <c r="E16" s="2" t="str">
        <f>_xlfn.XLOOKUP(A16,转单情况!A:A,转单情况!B:B)</f>
        <v>否</v>
      </c>
      <c r="G16" s="28">
        <f>ROUND(_xlfn.XLOOKUP(A16,全量!A:A,全量!B:B,0)/7,1)</f>
        <v>0</v>
      </c>
      <c r="H16" s="2">
        <f>ROUND(_xlfn.XLOOKUP(A16,AE!A:A,AE!B:B,0)/7,1)</f>
        <v>0</v>
      </c>
      <c r="I16" s="2" t="str">
        <f>_xlfn.XLOOKUP(A16,SWFTX邮编覆盖!A:A,SWFTX邮编覆盖!B:B,"否")</f>
        <v>否</v>
      </c>
      <c r="J16" s="2" t="str">
        <f>_xlfn.XLOOKUP(A16,YW邮编覆盖!A:A,YW邮编覆盖!B:B,"否")</f>
        <v>否</v>
      </c>
    </row>
    <row r="17" spans="1:10" hidden="1">
      <c r="A17" s="3">
        <v>93551</v>
      </c>
      <c r="B17" s="1" t="s">
        <v>34</v>
      </c>
      <c r="C17" s="2" t="str">
        <f>_xlfn.XLOOKUP(B17,线路DSP对应!A:A,线路DSP对应!B:B)</f>
        <v>STA_LAX_APA_PRIME</v>
      </c>
      <c r="D17" s="4" t="s">
        <v>145</v>
      </c>
      <c r="E17" s="2" t="str">
        <f>_xlfn.XLOOKUP(A17,转单情况!A:A,转单情况!B:B)</f>
        <v>否</v>
      </c>
      <c r="G17" s="28">
        <f>ROUND(_xlfn.XLOOKUP(A17,全量!A:A,全量!B:B,0)/7,1)</f>
        <v>1.9</v>
      </c>
      <c r="H17" s="2">
        <f>ROUND(_xlfn.XLOOKUP(A17,AE!A:A,AE!B:B,0)/7,1)</f>
        <v>0.1</v>
      </c>
      <c r="I17" s="2" t="str">
        <f>_xlfn.XLOOKUP(A17,SWFTX邮编覆盖!A:A,SWFTX邮编覆盖!B:B,"否")</f>
        <v>否</v>
      </c>
      <c r="J17" s="2" t="str">
        <f>_xlfn.XLOOKUP(A17,YW邮编覆盖!A:A,YW邮编覆盖!B:B,"否")</f>
        <v>否</v>
      </c>
    </row>
    <row r="18" spans="1:10" hidden="1">
      <c r="A18" s="3">
        <v>93550</v>
      </c>
      <c r="B18" s="1" t="s">
        <v>34</v>
      </c>
      <c r="C18" s="2" t="str">
        <f>_xlfn.XLOOKUP(B18,线路DSP对应!A:A,线路DSP对应!B:B)</f>
        <v>STA_LAX_APA_PRIME</v>
      </c>
      <c r="D18" s="4" t="s">
        <v>145</v>
      </c>
      <c r="E18" s="2" t="str">
        <f>_xlfn.XLOOKUP(A18,转单情况!A:A,转单情况!B:B)</f>
        <v>否</v>
      </c>
      <c r="G18" s="28">
        <f>ROUND(_xlfn.XLOOKUP(A18,全量!A:A,全量!B:B,0)/7,1)</f>
        <v>2.1</v>
      </c>
      <c r="H18" s="2">
        <f>ROUND(_xlfn.XLOOKUP(A18,AE!A:A,AE!B:B,0)/7,1)</f>
        <v>0</v>
      </c>
      <c r="I18" s="2" t="str">
        <f>_xlfn.XLOOKUP(A18,SWFTX邮编覆盖!A:A,SWFTX邮编覆盖!B:B,"否")</f>
        <v>否</v>
      </c>
      <c r="J18" s="2" t="str">
        <f>_xlfn.XLOOKUP(A18,YW邮编覆盖!A:A,YW邮编覆盖!B:B,"否")</f>
        <v>否</v>
      </c>
    </row>
    <row r="19" spans="1:10" hidden="1">
      <c r="A19" s="3">
        <v>93552</v>
      </c>
      <c r="B19" s="1" t="s">
        <v>34</v>
      </c>
      <c r="C19" s="2" t="str">
        <f>_xlfn.XLOOKUP(B19,线路DSP对应!A:A,线路DSP对应!B:B)</f>
        <v>STA_LAX_APA_PRIME</v>
      </c>
      <c r="D19" s="4" t="s">
        <v>145</v>
      </c>
      <c r="E19" s="2" t="str">
        <f>_xlfn.XLOOKUP(A19,转单情况!A:A,转单情况!B:B)</f>
        <v>否</v>
      </c>
      <c r="G19" s="28">
        <f>ROUND(_xlfn.XLOOKUP(A19,全量!A:A,全量!B:B,0)/7,1)</f>
        <v>1.7</v>
      </c>
      <c r="H19" s="2">
        <f>ROUND(_xlfn.XLOOKUP(A19,AE!A:A,AE!B:B,0)/7,1)</f>
        <v>0</v>
      </c>
      <c r="I19" s="2" t="str">
        <f>_xlfn.XLOOKUP(A19,SWFTX邮编覆盖!A:A,SWFTX邮编覆盖!B:B,"否")</f>
        <v>否</v>
      </c>
      <c r="J19" s="2" t="str">
        <f>_xlfn.XLOOKUP(A19,YW邮编覆盖!A:A,YW邮编覆盖!B:B,"否")</f>
        <v>否</v>
      </c>
    </row>
    <row r="20" spans="1:10" hidden="1">
      <c r="A20" s="3">
        <v>93543</v>
      </c>
      <c r="B20" s="1" t="s">
        <v>34</v>
      </c>
      <c r="C20" s="2" t="str">
        <f>_xlfn.XLOOKUP(B20,线路DSP对应!A:A,线路DSP对应!B:B)</f>
        <v>STA_LAX_APA_PRIME</v>
      </c>
      <c r="D20" s="4" t="s">
        <v>145</v>
      </c>
      <c r="E20" s="2" t="str">
        <f>_xlfn.XLOOKUP(A20,转单情况!A:A,转单情况!B:B)</f>
        <v>否</v>
      </c>
      <c r="G20" s="28">
        <f>ROUND(_xlfn.XLOOKUP(A20,全量!A:A,全量!B:B,0)/7,1)</f>
        <v>1.1000000000000001</v>
      </c>
      <c r="H20" s="2">
        <f>ROUND(_xlfn.XLOOKUP(A20,AE!A:A,AE!B:B,0)/7,1)</f>
        <v>0</v>
      </c>
      <c r="I20" s="2" t="str">
        <f>_xlfn.XLOOKUP(A20,SWFTX邮编覆盖!A:A,SWFTX邮编覆盖!B:B,"否")</f>
        <v>否</v>
      </c>
      <c r="J20" s="2" t="str">
        <f>_xlfn.XLOOKUP(A20,YW邮编覆盖!A:A,YW邮编覆盖!B:B,"否")</f>
        <v>否</v>
      </c>
    </row>
    <row r="21" spans="1:10" hidden="1">
      <c r="A21" s="3">
        <v>93536</v>
      </c>
      <c r="B21" s="1" t="s">
        <v>34</v>
      </c>
      <c r="C21" s="2" t="str">
        <f>_xlfn.XLOOKUP(B21,线路DSP对应!A:A,线路DSP对应!B:B)</f>
        <v>STA_LAX_APA_PRIME</v>
      </c>
      <c r="D21" s="4" t="s">
        <v>145</v>
      </c>
      <c r="E21" s="2" t="str">
        <f>_xlfn.XLOOKUP(A21,转单情况!A:A,转单情况!B:B)</f>
        <v>否</v>
      </c>
      <c r="G21" s="28">
        <f>ROUND(_xlfn.XLOOKUP(A21,全量!A:A,全量!B:B,0)/7,1)</f>
        <v>3.7</v>
      </c>
      <c r="H21" s="2">
        <f>ROUND(_xlfn.XLOOKUP(A21,AE!A:A,AE!B:B,0)/7,1)</f>
        <v>0</v>
      </c>
      <c r="I21" s="2" t="str">
        <f>_xlfn.XLOOKUP(A21,SWFTX邮编覆盖!A:A,SWFTX邮编覆盖!B:B,"否")</f>
        <v>否</v>
      </c>
      <c r="J21" s="2" t="str">
        <f>_xlfn.XLOOKUP(A21,YW邮编覆盖!A:A,YW邮编覆盖!B:B,"否")</f>
        <v>否</v>
      </c>
    </row>
    <row r="22" spans="1:10" hidden="1">
      <c r="A22" s="3">
        <v>93534</v>
      </c>
      <c r="B22" s="1" t="s">
        <v>34</v>
      </c>
      <c r="C22" s="2" t="str">
        <f>_xlfn.XLOOKUP(B22,线路DSP对应!A:A,线路DSP对应!B:B)</f>
        <v>STA_LAX_APA_PRIME</v>
      </c>
      <c r="D22" s="4" t="s">
        <v>145</v>
      </c>
      <c r="E22" s="2" t="str">
        <f>_xlfn.XLOOKUP(A22,转单情况!A:A,转单情况!B:B)</f>
        <v>否</v>
      </c>
      <c r="G22" s="28">
        <f>ROUND(_xlfn.XLOOKUP(A22,全量!A:A,全量!B:B,0)/7,1)</f>
        <v>1</v>
      </c>
      <c r="H22" s="2">
        <f>ROUND(_xlfn.XLOOKUP(A22,AE!A:A,AE!B:B,0)/7,1)</f>
        <v>0</v>
      </c>
      <c r="I22" s="2" t="str">
        <f>_xlfn.XLOOKUP(A22,SWFTX邮编覆盖!A:A,SWFTX邮编覆盖!B:B,"否")</f>
        <v>否</v>
      </c>
      <c r="J22" s="2" t="str">
        <f>_xlfn.XLOOKUP(A22,YW邮编覆盖!A:A,YW邮编覆盖!B:B,"否")</f>
        <v>否</v>
      </c>
    </row>
    <row r="23" spans="1:10" hidden="1">
      <c r="A23" s="3">
        <v>93535</v>
      </c>
      <c r="B23" s="1" t="s">
        <v>34</v>
      </c>
      <c r="C23" s="2" t="str">
        <f>_xlfn.XLOOKUP(B23,线路DSP对应!A:A,线路DSP对应!B:B)</f>
        <v>STA_LAX_APA_PRIME</v>
      </c>
      <c r="D23" s="4" t="s">
        <v>145</v>
      </c>
      <c r="E23" s="2" t="str">
        <f>_xlfn.XLOOKUP(A23,转单情况!A:A,转单情况!B:B)</f>
        <v>否</v>
      </c>
      <c r="G23" s="28">
        <f>ROUND(_xlfn.XLOOKUP(A23,全量!A:A,全量!B:B,0)/7,1)</f>
        <v>3.7</v>
      </c>
      <c r="H23" s="2">
        <f>ROUND(_xlfn.XLOOKUP(A23,AE!A:A,AE!B:B,0)/7,1)</f>
        <v>0</v>
      </c>
      <c r="I23" s="2" t="str">
        <f>_xlfn.XLOOKUP(A23,SWFTX邮编覆盖!A:A,SWFTX邮编覆盖!B:B,"否")</f>
        <v>否</v>
      </c>
      <c r="J23" s="2" t="str">
        <f>_xlfn.XLOOKUP(A23,YW邮编覆盖!A:A,YW邮编覆盖!B:B,"否")</f>
        <v>否</v>
      </c>
    </row>
    <row r="24" spans="1:10" hidden="1">
      <c r="A24" s="3">
        <v>91482</v>
      </c>
      <c r="B24" s="1" t="s">
        <v>36</v>
      </c>
      <c r="C24" s="2" t="str">
        <f>_xlfn.XLOOKUP(B24,线路DSP对应!A:A,线路DSP对应!B:B)</f>
        <v>STA_LAX_ChinaOcean</v>
      </c>
      <c r="D24" s="4" t="s">
        <v>145</v>
      </c>
      <c r="E24" s="2" t="str">
        <f>_xlfn.XLOOKUP(A24,转单情况!A:A,转单情况!B:B)</f>
        <v>否</v>
      </c>
      <c r="G24" s="28">
        <f>ROUND(_xlfn.XLOOKUP(A24,全量!A:A,全量!B:B,0)/7,1)</f>
        <v>0</v>
      </c>
      <c r="H24" s="2">
        <f>ROUND(_xlfn.XLOOKUP(A24,AE!A:A,AE!B:B,0)/7,1)</f>
        <v>0</v>
      </c>
      <c r="I24" s="2" t="str">
        <f>_xlfn.XLOOKUP(A24,SWFTX邮编覆盖!A:A,SWFTX邮编覆盖!B:B,"否")</f>
        <v>否</v>
      </c>
      <c r="J24" s="2" t="str">
        <f>_xlfn.XLOOKUP(A24,YW邮编覆盖!A:A,YW邮编覆盖!B:B,"否")</f>
        <v>否</v>
      </c>
    </row>
    <row r="25" spans="1:10" hidden="1">
      <c r="A25" s="3">
        <v>91496</v>
      </c>
      <c r="B25" s="1" t="s">
        <v>36</v>
      </c>
      <c r="C25" s="2" t="str">
        <f>_xlfn.XLOOKUP(B25,线路DSP对应!A:A,线路DSP对应!B:B)</f>
        <v>STA_LAX_ChinaOcean</v>
      </c>
      <c r="D25" s="4" t="s">
        <v>145</v>
      </c>
      <c r="E25" s="2" t="str">
        <f>_xlfn.XLOOKUP(A25,转单情况!A:A,转单情况!B:B)</f>
        <v>否</v>
      </c>
      <c r="G25" s="28">
        <f>ROUND(_xlfn.XLOOKUP(A25,全量!A:A,全量!B:B,0)/7,1)</f>
        <v>0</v>
      </c>
      <c r="H25" s="2">
        <f>ROUND(_xlfn.XLOOKUP(A25,AE!A:A,AE!B:B,0)/7,1)</f>
        <v>0</v>
      </c>
      <c r="I25" s="2" t="str">
        <f>_xlfn.XLOOKUP(A25,SWFTX邮编覆盖!A:A,SWFTX邮编覆盖!B:B,"否")</f>
        <v>否</v>
      </c>
      <c r="J25" s="2" t="str">
        <f>_xlfn.XLOOKUP(A25,YW邮编覆盖!A:A,YW邮编覆盖!B:B,"否")</f>
        <v>否</v>
      </c>
    </row>
    <row r="26" spans="1:10" hidden="1">
      <c r="A26" s="3">
        <v>91406</v>
      </c>
      <c r="B26" s="1" t="s">
        <v>36</v>
      </c>
      <c r="C26" s="2" t="str">
        <f>_xlfn.XLOOKUP(B26,线路DSP对应!A:A,线路DSP对应!B:B)</f>
        <v>STA_LAX_ChinaOcean</v>
      </c>
      <c r="D26" s="4" t="s">
        <v>145</v>
      </c>
      <c r="E26" s="2" t="str">
        <f>_xlfn.XLOOKUP(A26,转单情况!A:A,转单情况!B:B)</f>
        <v>SW</v>
      </c>
      <c r="G26" s="28">
        <f>ROUND(_xlfn.XLOOKUP(A26,全量!A:A,全量!B:B,0)/7,1)</f>
        <v>0.3</v>
      </c>
      <c r="H26" s="2">
        <f>ROUND(_xlfn.XLOOKUP(A26,AE!A:A,AE!B:B,0)/7,1)</f>
        <v>0</v>
      </c>
      <c r="I26" s="2" t="str">
        <f>_xlfn.XLOOKUP(A26,SWFTX邮编覆盖!A:A,SWFTX邮编覆盖!B:B,"否")</f>
        <v>是</v>
      </c>
      <c r="J26" s="2" t="str">
        <f>_xlfn.XLOOKUP(A26,YW邮编覆盖!A:A,YW邮编覆盖!B:B,"否")</f>
        <v>是</v>
      </c>
    </row>
    <row r="27" spans="1:10" hidden="1">
      <c r="A27" s="3">
        <v>91405</v>
      </c>
      <c r="B27" s="1" t="s">
        <v>36</v>
      </c>
      <c r="C27" s="2" t="str">
        <f>_xlfn.XLOOKUP(B27,线路DSP对应!A:A,线路DSP对应!B:B)</f>
        <v>STA_LAX_ChinaOcean</v>
      </c>
      <c r="D27" s="4" t="s">
        <v>145</v>
      </c>
      <c r="E27" s="2" t="str">
        <f>_xlfn.XLOOKUP(A27,转单情况!A:A,转单情况!B:B)</f>
        <v>SW</v>
      </c>
      <c r="G27" s="28">
        <f>ROUND(_xlfn.XLOOKUP(A27,全量!A:A,全量!B:B,0)/7,1)</f>
        <v>0.6</v>
      </c>
      <c r="H27" s="2">
        <f>ROUND(_xlfn.XLOOKUP(A27,AE!A:A,AE!B:B,0)/7,1)</f>
        <v>0</v>
      </c>
      <c r="I27" s="2" t="str">
        <f>_xlfn.XLOOKUP(A27,SWFTX邮编覆盖!A:A,SWFTX邮编覆盖!B:B,"否")</f>
        <v>是</v>
      </c>
      <c r="J27" s="2" t="str">
        <f>_xlfn.XLOOKUP(A27,YW邮编覆盖!A:A,YW邮编覆盖!B:B,"否")</f>
        <v>是</v>
      </c>
    </row>
    <row r="28" spans="1:10" hidden="1">
      <c r="A28" s="3">
        <v>91402</v>
      </c>
      <c r="B28" s="1" t="s">
        <v>36</v>
      </c>
      <c r="C28" s="2" t="str">
        <f>_xlfn.XLOOKUP(B28,线路DSP对应!A:A,线路DSP对应!B:B)</f>
        <v>STA_LAX_ChinaOcean</v>
      </c>
      <c r="D28" s="4" t="s">
        <v>145</v>
      </c>
      <c r="E28" s="2" t="str">
        <f>_xlfn.XLOOKUP(A28,转单情况!A:A,转单情况!B:B)</f>
        <v>SW</v>
      </c>
      <c r="G28" s="28">
        <f>ROUND(_xlfn.XLOOKUP(A28,全量!A:A,全量!B:B,0)/7,1)</f>
        <v>0.3</v>
      </c>
      <c r="H28" s="2">
        <f>ROUND(_xlfn.XLOOKUP(A28,AE!A:A,AE!B:B,0)/7,1)</f>
        <v>0</v>
      </c>
      <c r="I28" s="2" t="str">
        <f>_xlfn.XLOOKUP(A28,SWFTX邮编覆盖!A:A,SWFTX邮编覆盖!B:B,"否")</f>
        <v>是</v>
      </c>
      <c r="J28" s="2" t="str">
        <f>_xlfn.XLOOKUP(A28,YW邮编覆盖!A:A,YW邮编覆盖!B:B,"否")</f>
        <v>是</v>
      </c>
    </row>
    <row r="29" spans="1:10" hidden="1">
      <c r="A29" s="3">
        <v>91316</v>
      </c>
      <c r="B29" s="1" t="s">
        <v>36</v>
      </c>
      <c r="C29" s="2" t="str">
        <f>_xlfn.XLOOKUP(B29,线路DSP对应!A:A,线路DSP对应!B:B)</f>
        <v>STA_LAX_ChinaOcean</v>
      </c>
      <c r="D29" s="4" t="s">
        <v>145</v>
      </c>
      <c r="E29" s="2" t="str">
        <f>_xlfn.XLOOKUP(A29,转单情况!A:A,转单情况!B:B)</f>
        <v>SW</v>
      </c>
      <c r="G29" s="28">
        <f>ROUND(_xlfn.XLOOKUP(A29,全量!A:A,全量!B:B,0)/7,1)</f>
        <v>9</v>
      </c>
      <c r="H29" s="2">
        <f>ROUND(_xlfn.XLOOKUP(A29,AE!A:A,AE!B:B,0)/7,1)</f>
        <v>8.6999999999999993</v>
      </c>
      <c r="I29" s="2" t="str">
        <f>_xlfn.XLOOKUP(A29,SWFTX邮编覆盖!A:A,SWFTX邮编覆盖!B:B,"否")</f>
        <v>是</v>
      </c>
      <c r="J29" s="2" t="str">
        <f>_xlfn.XLOOKUP(A29,YW邮编覆盖!A:A,YW邮编覆盖!B:B,"否")</f>
        <v>是</v>
      </c>
    </row>
    <row r="30" spans="1:10" hidden="1">
      <c r="A30" s="3">
        <v>91436</v>
      </c>
      <c r="B30" s="1" t="s">
        <v>36</v>
      </c>
      <c r="C30" s="2" t="str">
        <f>_xlfn.XLOOKUP(B30,线路DSP对应!A:A,线路DSP对应!B:B)</f>
        <v>STA_LAX_ChinaOcean</v>
      </c>
      <c r="D30" s="4" t="s">
        <v>145</v>
      </c>
      <c r="E30" s="2" t="str">
        <f>_xlfn.XLOOKUP(A30,转单情况!A:A,转单情况!B:B)</f>
        <v>SW</v>
      </c>
      <c r="G30" s="28">
        <f>ROUND(_xlfn.XLOOKUP(A30,全量!A:A,全量!B:B,0)/7,1)</f>
        <v>0.1</v>
      </c>
      <c r="H30" s="2">
        <f>ROUND(_xlfn.XLOOKUP(A30,AE!A:A,AE!B:B,0)/7,1)</f>
        <v>0</v>
      </c>
      <c r="I30" s="2" t="str">
        <f>_xlfn.XLOOKUP(A30,SWFTX邮编覆盖!A:A,SWFTX邮编覆盖!B:B,"否")</f>
        <v>是</v>
      </c>
      <c r="J30" s="2" t="str">
        <f>_xlfn.XLOOKUP(A30,YW邮编覆盖!A:A,YW邮编覆盖!B:B,"否")</f>
        <v>是</v>
      </c>
    </row>
    <row r="31" spans="1:10" hidden="1">
      <c r="A31" s="3">
        <v>91403</v>
      </c>
      <c r="B31" s="1" t="s">
        <v>36</v>
      </c>
      <c r="C31" s="2" t="str">
        <f>_xlfn.XLOOKUP(B31,线路DSP对应!A:A,线路DSP对应!B:B)</f>
        <v>STA_LAX_ChinaOcean</v>
      </c>
      <c r="D31" s="4" t="s">
        <v>145</v>
      </c>
      <c r="E31" s="2" t="str">
        <f>_xlfn.XLOOKUP(A31,转单情况!A:A,转单情况!B:B)</f>
        <v>SW</v>
      </c>
      <c r="G31" s="28">
        <f>ROUND(_xlfn.XLOOKUP(A31,全量!A:A,全量!B:B,0)/7,1)</f>
        <v>0.1</v>
      </c>
      <c r="H31" s="2">
        <f>ROUND(_xlfn.XLOOKUP(A31,AE!A:A,AE!B:B,0)/7,1)</f>
        <v>0</v>
      </c>
      <c r="I31" s="2" t="str">
        <f>_xlfn.XLOOKUP(A31,SWFTX邮编覆盖!A:A,SWFTX邮编覆盖!B:B,"否")</f>
        <v>是</v>
      </c>
      <c r="J31" s="2" t="str">
        <f>_xlfn.XLOOKUP(A31,YW邮编覆盖!A:A,YW邮编覆盖!B:B,"否")</f>
        <v>是</v>
      </c>
    </row>
    <row r="32" spans="1:10" hidden="1">
      <c r="A32" s="3">
        <v>91423</v>
      </c>
      <c r="B32" s="1" t="s">
        <v>36</v>
      </c>
      <c r="C32" s="2" t="str">
        <f>_xlfn.XLOOKUP(B32,线路DSP对应!A:A,线路DSP对应!B:B)</f>
        <v>STA_LAX_ChinaOcean</v>
      </c>
      <c r="D32" s="4" t="s">
        <v>145</v>
      </c>
      <c r="E32" s="2" t="str">
        <f>_xlfn.XLOOKUP(A32,转单情况!A:A,转单情况!B:B)</f>
        <v>SW</v>
      </c>
      <c r="G32" s="28">
        <f>ROUND(_xlfn.XLOOKUP(A32,全量!A:A,全量!B:B,0)/7,1)</f>
        <v>0.1</v>
      </c>
      <c r="H32" s="2">
        <f>ROUND(_xlfn.XLOOKUP(A32,AE!A:A,AE!B:B,0)/7,1)</f>
        <v>0</v>
      </c>
      <c r="I32" s="2" t="str">
        <f>_xlfn.XLOOKUP(A32,SWFTX邮编覆盖!A:A,SWFTX邮编覆盖!B:B,"否")</f>
        <v>是</v>
      </c>
      <c r="J32" s="2" t="str">
        <f>_xlfn.XLOOKUP(A32,YW邮编覆盖!A:A,YW邮编覆盖!B:B,"否")</f>
        <v>是</v>
      </c>
    </row>
    <row r="33" spans="1:10" hidden="1">
      <c r="A33" s="3">
        <v>91411</v>
      </c>
      <c r="B33" s="1" t="s">
        <v>36</v>
      </c>
      <c r="C33" s="2" t="str">
        <f>_xlfn.XLOOKUP(B33,线路DSP对应!A:A,线路DSP对应!B:B)</f>
        <v>STA_LAX_ChinaOcean</v>
      </c>
      <c r="D33" s="4" t="s">
        <v>145</v>
      </c>
      <c r="E33" s="2" t="str">
        <f>_xlfn.XLOOKUP(A33,转单情况!A:A,转单情况!B:B)</f>
        <v>SW</v>
      </c>
      <c r="G33" s="28">
        <f>ROUND(_xlfn.XLOOKUP(A33,全量!A:A,全量!B:B,0)/7,1)</f>
        <v>0.1</v>
      </c>
      <c r="H33" s="2">
        <f>ROUND(_xlfn.XLOOKUP(A33,AE!A:A,AE!B:B,0)/7,1)</f>
        <v>0</v>
      </c>
      <c r="I33" s="2" t="str">
        <f>_xlfn.XLOOKUP(A33,SWFTX邮编覆盖!A:A,SWFTX邮编覆盖!B:B,"否")</f>
        <v>是</v>
      </c>
      <c r="J33" s="2" t="str">
        <f>_xlfn.XLOOKUP(A33,YW邮编覆盖!A:A,YW邮编覆盖!B:B,"否")</f>
        <v>是</v>
      </c>
    </row>
    <row r="34" spans="1:10" hidden="1">
      <c r="A34" s="3">
        <v>91495</v>
      </c>
      <c r="B34" s="1" t="s">
        <v>36</v>
      </c>
      <c r="C34" s="2" t="str">
        <f>_xlfn.XLOOKUP(B34,线路DSP对应!A:A,线路DSP对应!B:B)</f>
        <v>STA_LAX_ChinaOcean</v>
      </c>
      <c r="D34" s="4" t="s">
        <v>145</v>
      </c>
      <c r="E34" s="2" t="str">
        <f>_xlfn.XLOOKUP(A34,转单情况!A:A,转单情况!B:B)</f>
        <v>否</v>
      </c>
      <c r="G34" s="28">
        <f>ROUND(_xlfn.XLOOKUP(A34,全量!A:A,全量!B:B,0)/7,1)</f>
        <v>0</v>
      </c>
      <c r="H34" s="2">
        <f>ROUND(_xlfn.XLOOKUP(A34,AE!A:A,AE!B:B,0)/7,1)</f>
        <v>0</v>
      </c>
      <c r="I34" s="2" t="str">
        <f>_xlfn.XLOOKUP(A34,SWFTX邮编覆盖!A:A,SWFTX邮编覆盖!B:B,"否")</f>
        <v>否</v>
      </c>
      <c r="J34" s="2" t="str">
        <f>_xlfn.XLOOKUP(A34,YW邮编覆盖!A:A,YW邮编覆盖!B:B,"否")</f>
        <v>否</v>
      </c>
    </row>
    <row r="35" spans="1:10" hidden="1">
      <c r="A35" s="3">
        <v>91401</v>
      </c>
      <c r="B35" s="1" t="s">
        <v>36</v>
      </c>
      <c r="C35" s="2" t="str">
        <f>_xlfn.XLOOKUP(B35,线路DSP对应!A:A,线路DSP对应!B:B)</f>
        <v>STA_LAX_ChinaOcean</v>
      </c>
      <c r="D35" s="4" t="s">
        <v>145</v>
      </c>
      <c r="E35" s="2" t="str">
        <f>_xlfn.XLOOKUP(A35,转单情况!A:A,转单情况!B:B)</f>
        <v>SW</v>
      </c>
      <c r="G35" s="28">
        <f>ROUND(_xlfn.XLOOKUP(A35,全量!A:A,全量!B:B,0)/7,1)</f>
        <v>0.1</v>
      </c>
      <c r="H35" s="2">
        <f>ROUND(_xlfn.XLOOKUP(A35,AE!A:A,AE!B:B,0)/7,1)</f>
        <v>0</v>
      </c>
      <c r="I35" s="2" t="str">
        <f>_xlfn.XLOOKUP(A35,SWFTX邮编覆盖!A:A,SWFTX邮编覆盖!B:B,"否")</f>
        <v>是</v>
      </c>
      <c r="J35" s="2" t="str">
        <f>_xlfn.XLOOKUP(A35,YW邮编覆盖!A:A,YW邮编覆盖!B:B,"否")</f>
        <v>是</v>
      </c>
    </row>
    <row r="36" spans="1:10" hidden="1">
      <c r="A36" s="3">
        <v>91352</v>
      </c>
      <c r="B36" s="1" t="s">
        <v>37</v>
      </c>
      <c r="C36" s="2" t="str">
        <f>_xlfn.XLOOKUP(B36,线路DSP对应!A:A,线路DSP对应!B:B)</f>
        <v>STA_LAX_APA_PRIME</v>
      </c>
      <c r="D36" s="4" t="s">
        <v>145</v>
      </c>
      <c r="E36" s="2" t="str">
        <f>_xlfn.XLOOKUP(A36,转单情况!A:A,转单情况!B:B)</f>
        <v>SW</v>
      </c>
      <c r="G36" s="28">
        <f>ROUND(_xlfn.XLOOKUP(A36,全量!A:A,全量!B:B,0)/7,1)</f>
        <v>0.1</v>
      </c>
      <c r="H36" s="2">
        <f>ROUND(_xlfn.XLOOKUP(A36,AE!A:A,AE!B:B,0)/7,1)</f>
        <v>0</v>
      </c>
      <c r="I36" s="2" t="str">
        <f>_xlfn.XLOOKUP(A36,SWFTX邮编覆盖!A:A,SWFTX邮编覆盖!B:B,"否")</f>
        <v>是</v>
      </c>
      <c r="J36" s="2" t="str">
        <f>_xlfn.XLOOKUP(A36,YW邮编覆盖!A:A,YW邮编覆盖!B:B,"否")</f>
        <v>是</v>
      </c>
    </row>
    <row r="37" spans="1:10" hidden="1">
      <c r="A37" s="3">
        <v>91505</v>
      </c>
      <c r="B37" s="1" t="s">
        <v>37</v>
      </c>
      <c r="C37" s="2" t="str">
        <f>_xlfn.XLOOKUP(B37,线路DSP对应!A:A,线路DSP对应!B:B)</f>
        <v>STA_LAX_APA_PRIME</v>
      </c>
      <c r="D37" s="4" t="s">
        <v>145</v>
      </c>
      <c r="E37" s="2" t="str">
        <f>_xlfn.XLOOKUP(A37,转单情况!A:A,转单情况!B:B)</f>
        <v>SW</v>
      </c>
      <c r="G37" s="28">
        <f>ROUND(_xlfn.XLOOKUP(A37,全量!A:A,全量!B:B,0)/7,1)</f>
        <v>0</v>
      </c>
      <c r="H37" s="2">
        <f>ROUND(_xlfn.XLOOKUP(A37,AE!A:A,AE!B:B,0)/7,1)</f>
        <v>0</v>
      </c>
      <c r="I37" s="2" t="str">
        <f>_xlfn.XLOOKUP(A37,SWFTX邮编覆盖!A:A,SWFTX邮编覆盖!B:B,"否")</f>
        <v>是</v>
      </c>
      <c r="J37" s="2" t="str">
        <f>_xlfn.XLOOKUP(A37,YW邮编覆盖!A:A,YW邮编覆盖!B:B,"否")</f>
        <v>是</v>
      </c>
    </row>
    <row r="38" spans="1:10" hidden="1">
      <c r="A38" s="3">
        <v>91506</v>
      </c>
      <c r="B38" s="1" t="s">
        <v>37</v>
      </c>
      <c r="C38" s="2" t="str">
        <f>_xlfn.XLOOKUP(B38,线路DSP对应!A:A,线路DSP对应!B:B)</f>
        <v>STA_LAX_APA_PRIME</v>
      </c>
      <c r="D38" s="4" t="s">
        <v>145</v>
      </c>
      <c r="E38" s="2" t="str">
        <f>_xlfn.XLOOKUP(A38,转单情况!A:A,转单情况!B:B)</f>
        <v>SW</v>
      </c>
      <c r="G38" s="28">
        <f>ROUND(_xlfn.XLOOKUP(A38,全量!A:A,全量!B:B,0)/7,1)</f>
        <v>0</v>
      </c>
      <c r="H38" s="2">
        <f>ROUND(_xlfn.XLOOKUP(A38,AE!A:A,AE!B:B,0)/7,1)</f>
        <v>0</v>
      </c>
      <c r="I38" s="2" t="str">
        <f>_xlfn.XLOOKUP(A38,SWFTX邮编覆盖!A:A,SWFTX邮编覆盖!B:B,"否")</f>
        <v>是</v>
      </c>
      <c r="J38" s="2" t="str">
        <f>_xlfn.XLOOKUP(A38,YW邮编覆盖!A:A,YW邮编覆盖!B:B,"否")</f>
        <v>是</v>
      </c>
    </row>
    <row r="39" spans="1:10" hidden="1">
      <c r="A39" s="3">
        <v>91521</v>
      </c>
      <c r="B39" s="1" t="s">
        <v>37</v>
      </c>
      <c r="C39" s="2" t="str">
        <f>_xlfn.XLOOKUP(B39,线路DSP对应!A:A,线路DSP对应!B:B)</f>
        <v>STA_LAX_APA_PRIME</v>
      </c>
      <c r="D39" s="4" t="s">
        <v>145</v>
      </c>
      <c r="E39" s="2" t="str">
        <f>_xlfn.XLOOKUP(A39,转单情况!A:A,转单情况!B:B)</f>
        <v>否</v>
      </c>
      <c r="G39" s="28">
        <f>ROUND(_xlfn.XLOOKUP(A39,全量!A:A,全量!B:B,0)/7,1)</f>
        <v>0</v>
      </c>
      <c r="H39" s="2">
        <f>ROUND(_xlfn.XLOOKUP(A39,AE!A:A,AE!B:B,0)/7,1)</f>
        <v>0</v>
      </c>
      <c r="I39" s="2" t="str">
        <f>_xlfn.XLOOKUP(A39,SWFTX邮编覆盖!A:A,SWFTX邮编覆盖!B:B,"否")</f>
        <v>否</v>
      </c>
      <c r="J39" s="2" t="str">
        <f>_xlfn.XLOOKUP(A39,YW邮编覆盖!A:A,YW邮编覆盖!B:B,"否")</f>
        <v>否</v>
      </c>
    </row>
    <row r="40" spans="1:10" hidden="1">
      <c r="A40" s="3">
        <v>91504</v>
      </c>
      <c r="B40" s="1" t="s">
        <v>37</v>
      </c>
      <c r="C40" s="2" t="str">
        <f>_xlfn.XLOOKUP(B40,线路DSP对应!A:A,线路DSP对应!B:B)</f>
        <v>STA_LAX_APA_PRIME</v>
      </c>
      <c r="D40" s="4" t="s">
        <v>145</v>
      </c>
      <c r="E40" s="2" t="str">
        <f>_xlfn.XLOOKUP(A40,转单情况!A:A,转单情况!B:B)</f>
        <v>SW</v>
      </c>
      <c r="G40" s="28">
        <f>ROUND(_xlfn.XLOOKUP(A40,全量!A:A,全量!B:B,0)/7,1)</f>
        <v>0.1</v>
      </c>
      <c r="H40" s="2">
        <f>ROUND(_xlfn.XLOOKUP(A40,AE!A:A,AE!B:B,0)/7,1)</f>
        <v>0</v>
      </c>
      <c r="I40" s="2" t="str">
        <f>_xlfn.XLOOKUP(A40,SWFTX邮编覆盖!A:A,SWFTX邮编覆盖!B:B,"否")</f>
        <v>是</v>
      </c>
      <c r="J40" s="2" t="str">
        <f>_xlfn.XLOOKUP(A40,YW邮编覆盖!A:A,YW邮编覆盖!B:B,"否")</f>
        <v>是</v>
      </c>
    </row>
    <row r="41" spans="1:10" hidden="1">
      <c r="A41" s="3">
        <v>91502</v>
      </c>
      <c r="B41" s="1" t="s">
        <v>37</v>
      </c>
      <c r="C41" s="2" t="str">
        <f>_xlfn.XLOOKUP(B41,线路DSP对应!A:A,线路DSP对应!B:B)</f>
        <v>STA_LAX_APA_PRIME</v>
      </c>
      <c r="D41" s="4" t="s">
        <v>145</v>
      </c>
      <c r="E41" s="2" t="str">
        <f>_xlfn.XLOOKUP(A41,转单情况!A:A,转单情况!B:B)</f>
        <v>SW</v>
      </c>
      <c r="G41" s="28">
        <f>ROUND(_xlfn.XLOOKUP(A41,全量!A:A,全量!B:B,0)/7,1)</f>
        <v>0.1</v>
      </c>
      <c r="H41" s="2">
        <f>ROUND(_xlfn.XLOOKUP(A41,AE!A:A,AE!B:B,0)/7,1)</f>
        <v>0</v>
      </c>
      <c r="I41" s="2" t="str">
        <f>_xlfn.XLOOKUP(A41,SWFTX邮编覆盖!A:A,SWFTX邮编覆盖!B:B,"否")</f>
        <v>是</v>
      </c>
      <c r="J41" s="2" t="str">
        <f>_xlfn.XLOOKUP(A41,YW邮编覆盖!A:A,YW邮编覆盖!B:B,"否")</f>
        <v>是</v>
      </c>
    </row>
    <row r="42" spans="1:10" hidden="1">
      <c r="A42" s="3">
        <v>91526</v>
      </c>
      <c r="B42" s="1" t="s">
        <v>37</v>
      </c>
      <c r="C42" s="2" t="str">
        <f>_xlfn.XLOOKUP(B42,线路DSP对应!A:A,线路DSP对应!B:B)</f>
        <v>STA_LAX_APA_PRIME</v>
      </c>
      <c r="D42" s="4" t="s">
        <v>145</v>
      </c>
      <c r="E42" s="2" t="str">
        <f>_xlfn.XLOOKUP(A42,转单情况!A:A,转单情况!B:B)</f>
        <v>否</v>
      </c>
      <c r="G42" s="28">
        <f>ROUND(_xlfn.XLOOKUP(A42,全量!A:A,全量!B:B,0)/7,1)</f>
        <v>0</v>
      </c>
      <c r="H42" s="2">
        <f>ROUND(_xlfn.XLOOKUP(A42,AE!A:A,AE!B:B,0)/7,1)</f>
        <v>0</v>
      </c>
      <c r="I42" s="2" t="str">
        <f>_xlfn.XLOOKUP(A42,SWFTX邮编覆盖!A:A,SWFTX邮编覆盖!B:B,"否")</f>
        <v>否</v>
      </c>
      <c r="J42" s="2" t="str">
        <f>_xlfn.XLOOKUP(A42,YW邮编覆盖!A:A,YW邮编覆盖!B:B,"否")</f>
        <v>否</v>
      </c>
    </row>
    <row r="43" spans="1:10">
      <c r="A43" s="3">
        <v>91501</v>
      </c>
      <c r="B43" s="1" t="s">
        <v>37</v>
      </c>
      <c r="C43" s="2" t="str">
        <f>_xlfn.XLOOKUP(B43,线路DSP对应!A:A,线路DSP对应!B:B)</f>
        <v>STA_LAX_APA_PRIME</v>
      </c>
      <c r="D43" s="4" t="s">
        <v>145</v>
      </c>
      <c r="E43" s="2" t="str">
        <f>_xlfn.XLOOKUP(A43,转单情况!A:A,转单情况!B:B)</f>
        <v>YW</v>
      </c>
      <c r="G43" s="28">
        <f>ROUND(_xlfn.XLOOKUP(A43,全量!A:A,全量!B:B,0)/7,1)</f>
        <v>1</v>
      </c>
      <c r="H43" s="2">
        <f>ROUND(_xlfn.XLOOKUP(A43,AE!A:A,AE!B:B,0)/7,1)</f>
        <v>0</v>
      </c>
      <c r="I43" s="2" t="str">
        <f>_xlfn.XLOOKUP(A43,SWFTX邮编覆盖!A:A,SWFTX邮编覆盖!B:B,"否")</f>
        <v>否</v>
      </c>
      <c r="J43" s="2" t="str">
        <f>_xlfn.XLOOKUP(A43,YW邮编覆盖!A:A,YW邮编覆盖!B:B,"否")</f>
        <v>是</v>
      </c>
    </row>
    <row r="44" spans="1:10">
      <c r="A44" s="3">
        <v>91020</v>
      </c>
      <c r="B44" s="1" t="s">
        <v>37</v>
      </c>
      <c r="C44" s="2" t="str">
        <f>_xlfn.XLOOKUP(B44,线路DSP对应!A:A,线路DSP对应!B:B)</f>
        <v>STA_LAX_APA_PRIME</v>
      </c>
      <c r="D44" s="4" t="s">
        <v>145</v>
      </c>
      <c r="E44" s="2" t="str">
        <f>_xlfn.XLOOKUP(A44,转单情况!A:A,转单情况!B:B)</f>
        <v>YW</v>
      </c>
      <c r="G44" s="28">
        <f>ROUND(_xlfn.XLOOKUP(A44,全量!A:A,全量!B:B,0)/7,1)</f>
        <v>0.4</v>
      </c>
      <c r="H44" s="2">
        <f>ROUND(_xlfn.XLOOKUP(A44,AE!A:A,AE!B:B,0)/7,1)</f>
        <v>0</v>
      </c>
      <c r="I44" s="2" t="str">
        <f>_xlfn.XLOOKUP(A44,SWFTX邮编覆盖!A:A,SWFTX邮编覆盖!B:B,"否")</f>
        <v>否</v>
      </c>
      <c r="J44" s="2" t="str">
        <f>_xlfn.XLOOKUP(A44,YW邮编覆盖!A:A,YW邮编覆盖!B:B,"否")</f>
        <v>是</v>
      </c>
    </row>
    <row r="45" spans="1:10" hidden="1">
      <c r="A45" s="3">
        <v>91011</v>
      </c>
      <c r="B45" s="1" t="s">
        <v>37</v>
      </c>
      <c r="C45" s="2" t="str">
        <f>_xlfn.XLOOKUP(B45,线路DSP对应!A:A,线路DSP对应!B:B)</f>
        <v>STA_LAX_APA_PRIME</v>
      </c>
      <c r="D45" s="4" t="s">
        <v>145</v>
      </c>
      <c r="E45" s="2" t="str">
        <f>_xlfn.XLOOKUP(A45,转单情况!A:A,转单情况!B:B)</f>
        <v>否</v>
      </c>
      <c r="G45" s="28">
        <f>ROUND(_xlfn.XLOOKUP(A45,全量!A:A,全量!B:B,0)/7,1)</f>
        <v>1.3</v>
      </c>
      <c r="H45" s="2">
        <f>ROUND(_xlfn.XLOOKUP(A45,AE!A:A,AE!B:B,0)/7,1)</f>
        <v>0</v>
      </c>
      <c r="I45" s="2" t="str">
        <f>_xlfn.XLOOKUP(A45,SWFTX邮编覆盖!A:A,SWFTX邮编覆盖!B:B,"否")</f>
        <v>否</v>
      </c>
      <c r="J45" s="2" t="str">
        <f>_xlfn.XLOOKUP(A45,YW邮编覆盖!A:A,YW邮编覆盖!B:B,"否")</f>
        <v>否</v>
      </c>
    </row>
    <row r="46" spans="1:10" hidden="1">
      <c r="A46" s="3">
        <v>91040</v>
      </c>
      <c r="B46" s="1" t="s">
        <v>37</v>
      </c>
      <c r="C46" s="2" t="str">
        <f>_xlfn.XLOOKUP(B46,线路DSP对应!A:A,线路DSP对应!B:B)</f>
        <v>STA_LAX_APA_PRIME</v>
      </c>
      <c r="D46" s="4" t="s">
        <v>145</v>
      </c>
      <c r="E46" s="2" t="str">
        <f>_xlfn.XLOOKUP(A46,转单情况!A:A,转单情况!B:B)</f>
        <v>否</v>
      </c>
      <c r="G46" s="28">
        <f>ROUND(_xlfn.XLOOKUP(A46,全量!A:A,全量!B:B,0)/7,1)</f>
        <v>2.2999999999999998</v>
      </c>
      <c r="H46" s="2">
        <f>ROUND(_xlfn.XLOOKUP(A46,AE!A:A,AE!B:B,0)/7,1)</f>
        <v>0</v>
      </c>
      <c r="I46" s="2" t="str">
        <f>_xlfn.XLOOKUP(A46,SWFTX邮编覆盖!A:A,SWFTX邮编覆盖!B:B,"否")</f>
        <v>否</v>
      </c>
      <c r="J46" s="2" t="str">
        <f>_xlfn.XLOOKUP(A46,YW邮编覆盖!A:A,YW邮编覆盖!B:B,"否")</f>
        <v>否</v>
      </c>
    </row>
    <row r="47" spans="1:10" hidden="1">
      <c r="A47" s="3">
        <v>91042</v>
      </c>
      <c r="B47" s="1" t="s">
        <v>37</v>
      </c>
      <c r="C47" s="2" t="str">
        <f>_xlfn.XLOOKUP(B47,线路DSP对应!A:A,线路DSP对应!B:B)</f>
        <v>STA_LAX_APA_PRIME</v>
      </c>
      <c r="D47" s="4" t="s">
        <v>145</v>
      </c>
      <c r="E47" s="2" t="str">
        <f>_xlfn.XLOOKUP(A47,转单情况!A:A,转单情况!B:B)</f>
        <v>否</v>
      </c>
      <c r="G47" s="28">
        <f>ROUND(_xlfn.XLOOKUP(A47,全量!A:A,全量!B:B,0)/7,1)</f>
        <v>3.9</v>
      </c>
      <c r="H47" s="2">
        <f>ROUND(_xlfn.XLOOKUP(A47,AE!A:A,AE!B:B,0)/7,1)</f>
        <v>0</v>
      </c>
      <c r="I47" s="2" t="str">
        <f>_xlfn.XLOOKUP(A47,SWFTX邮编覆盖!A:A,SWFTX邮编覆盖!B:B,"否")</f>
        <v>否</v>
      </c>
      <c r="J47" s="2" t="str">
        <f>_xlfn.XLOOKUP(A47,YW邮编覆盖!A:A,YW邮编覆盖!B:B,"否")</f>
        <v>否</v>
      </c>
    </row>
    <row r="48" spans="1:10">
      <c r="A48" s="3">
        <v>91214</v>
      </c>
      <c r="B48" s="1" t="s">
        <v>37</v>
      </c>
      <c r="C48" s="2" t="str">
        <f>_xlfn.XLOOKUP(B48,线路DSP对应!A:A,线路DSP对应!B:B)</f>
        <v>STA_LAX_APA_PRIME</v>
      </c>
      <c r="D48" s="4" t="s">
        <v>145</v>
      </c>
      <c r="E48" s="2" t="str">
        <f>_xlfn.XLOOKUP(A48,转单情况!A:A,转单情况!B:B)</f>
        <v>YW</v>
      </c>
      <c r="G48" s="28">
        <f>ROUND(_xlfn.XLOOKUP(A48,全量!A:A,全量!B:B,0)/7,1)</f>
        <v>2</v>
      </c>
      <c r="H48" s="2">
        <f>ROUND(_xlfn.XLOOKUP(A48,AE!A:A,AE!B:B,0)/7,1)</f>
        <v>0</v>
      </c>
      <c r="I48" s="2" t="str">
        <f>_xlfn.XLOOKUP(A48,SWFTX邮编覆盖!A:A,SWFTX邮编覆盖!B:B,"否")</f>
        <v>否</v>
      </c>
      <c r="J48" s="2" t="str">
        <f>_xlfn.XLOOKUP(A48,YW邮编覆盖!A:A,YW邮编覆盖!B:B,"否")</f>
        <v>是</v>
      </c>
    </row>
    <row r="49" spans="1:10" hidden="1">
      <c r="A49" s="3">
        <v>91331</v>
      </c>
      <c r="B49" s="1" t="s">
        <v>38</v>
      </c>
      <c r="C49" s="2" t="str">
        <f>_xlfn.XLOOKUP(B49,线路DSP对应!A:A,线路DSP对应!B:B)</f>
        <v>STA_LAX_APA_PRIME</v>
      </c>
      <c r="D49" s="4" t="s">
        <v>145</v>
      </c>
      <c r="E49" s="2" t="str">
        <f>_xlfn.XLOOKUP(A49,转单情况!A:A,转单情况!B:B)</f>
        <v>否</v>
      </c>
      <c r="G49" s="28">
        <f>ROUND(_xlfn.XLOOKUP(A49,全量!A:A,全量!B:B,0)/7,1)</f>
        <v>0.1</v>
      </c>
      <c r="H49" s="2">
        <f>ROUND(_xlfn.XLOOKUP(A49,AE!A:A,AE!B:B,0)/7,1)</f>
        <v>0</v>
      </c>
      <c r="I49" s="2" t="str">
        <f>_xlfn.XLOOKUP(A49,SWFTX邮编覆盖!A:A,SWFTX邮编覆盖!B:B,"否")</f>
        <v>是</v>
      </c>
      <c r="J49" s="2" t="str">
        <f>_xlfn.XLOOKUP(A49,YW邮编覆盖!A:A,YW邮编覆盖!B:B,"否")</f>
        <v>是</v>
      </c>
    </row>
    <row r="50" spans="1:10" hidden="1">
      <c r="A50" s="3">
        <v>91340</v>
      </c>
      <c r="B50" s="1" t="s">
        <v>38</v>
      </c>
      <c r="C50" s="2" t="str">
        <f>_xlfn.XLOOKUP(B50,线路DSP对应!A:A,线路DSP对应!B:B)</f>
        <v>STA_LAX_APA_PRIME</v>
      </c>
      <c r="D50" s="4" t="s">
        <v>145</v>
      </c>
      <c r="E50" s="2" t="str">
        <f>_xlfn.XLOOKUP(A50,转单情况!A:A,转单情况!B:B)</f>
        <v>否</v>
      </c>
      <c r="G50" s="28">
        <f>ROUND(_xlfn.XLOOKUP(A50,全量!A:A,全量!B:B,0)/7,1)</f>
        <v>6.9</v>
      </c>
      <c r="H50" s="2">
        <f>ROUND(_xlfn.XLOOKUP(A50,AE!A:A,AE!B:B,0)/7,1)</f>
        <v>6.9</v>
      </c>
      <c r="I50" s="2" t="str">
        <f>_xlfn.XLOOKUP(A50,SWFTX邮编覆盖!A:A,SWFTX邮编覆盖!B:B,"否")</f>
        <v>是</v>
      </c>
      <c r="J50" s="2" t="str">
        <f>_xlfn.XLOOKUP(A50,YW邮编覆盖!A:A,YW邮编覆盖!B:B,"否")</f>
        <v>是</v>
      </c>
    </row>
    <row r="51" spans="1:10" hidden="1">
      <c r="A51" s="3">
        <v>91342</v>
      </c>
      <c r="B51" s="1" t="s">
        <v>38</v>
      </c>
      <c r="C51" s="2" t="str">
        <f>_xlfn.XLOOKUP(B51,线路DSP对应!A:A,线路DSP对应!B:B)</f>
        <v>STA_LAX_APA_PRIME</v>
      </c>
      <c r="D51" s="4" t="s">
        <v>145</v>
      </c>
      <c r="E51" s="2" t="str">
        <f>_xlfn.XLOOKUP(A51,转单情况!A:A,转单情况!B:B)</f>
        <v>否</v>
      </c>
      <c r="G51" s="28">
        <f>ROUND(_xlfn.XLOOKUP(A51,全量!A:A,全量!B:B,0)/7,1)</f>
        <v>19.899999999999999</v>
      </c>
      <c r="H51" s="2">
        <f>ROUND(_xlfn.XLOOKUP(A51,AE!A:A,AE!B:B,0)/7,1)</f>
        <v>0.1</v>
      </c>
      <c r="I51" s="2" t="str">
        <f>_xlfn.XLOOKUP(A51,SWFTX邮编覆盖!A:A,SWFTX邮编覆盖!B:B,"否")</f>
        <v>否</v>
      </c>
      <c r="J51" s="2" t="str">
        <f>_xlfn.XLOOKUP(A51,YW邮编覆盖!A:A,YW邮编覆盖!B:B,"否")</f>
        <v>否</v>
      </c>
    </row>
    <row r="52" spans="1:10" hidden="1">
      <c r="A52" s="3">
        <v>91345</v>
      </c>
      <c r="B52" s="1" t="s">
        <v>39</v>
      </c>
      <c r="C52" s="2" t="str">
        <f>_xlfn.XLOOKUP(B52,线路DSP对应!A:A,线路DSP对应!B:B)</f>
        <v>STA_LAX_ChinaOcean</v>
      </c>
      <c r="D52" s="4" t="s">
        <v>145</v>
      </c>
      <c r="E52" s="2" t="str">
        <f>_xlfn.XLOOKUP(A52,转单情况!A:A,转单情况!B:B)</f>
        <v>SW</v>
      </c>
      <c r="F52" s="29"/>
      <c r="G52" s="28">
        <f>ROUND(_xlfn.XLOOKUP(A52,全量!A:A,全量!B:B,0)/7,1)</f>
        <v>0.1</v>
      </c>
      <c r="H52" s="2">
        <f>ROUND(_xlfn.XLOOKUP(A52,AE!A:A,AE!B:B,0)/7,1)</f>
        <v>0</v>
      </c>
      <c r="I52" s="2" t="str">
        <f>_xlfn.XLOOKUP(A52,SWFTX邮编覆盖!A:A,SWFTX邮编覆盖!B:B,"否")</f>
        <v>是</v>
      </c>
      <c r="J52" s="2" t="str">
        <f>_xlfn.XLOOKUP(A52,YW邮编覆盖!A:A,YW邮编覆盖!B:B,"否")</f>
        <v>是</v>
      </c>
    </row>
    <row r="53" spans="1:10" hidden="1">
      <c r="A53" s="3">
        <v>91344</v>
      </c>
      <c r="B53" s="1" t="s">
        <v>39</v>
      </c>
      <c r="C53" s="2" t="str">
        <f>_xlfn.XLOOKUP(B53,线路DSP对应!A:A,线路DSP对应!B:B)</f>
        <v>STA_LAX_ChinaOcean</v>
      </c>
      <c r="D53" s="4" t="s">
        <v>145</v>
      </c>
      <c r="E53" s="2" t="str">
        <f>_xlfn.XLOOKUP(A53,转单情况!A:A,转单情况!B:B)</f>
        <v>SW</v>
      </c>
      <c r="F53" s="29"/>
      <c r="G53" s="28">
        <f>ROUND(_xlfn.XLOOKUP(A53,全量!A:A,全量!B:B,0)/7,1)</f>
        <v>0</v>
      </c>
      <c r="H53" s="2">
        <f>ROUND(_xlfn.XLOOKUP(A53,AE!A:A,AE!B:B,0)/7,1)</f>
        <v>0</v>
      </c>
      <c r="I53" s="2" t="str">
        <f>_xlfn.XLOOKUP(A53,SWFTX邮编覆盖!A:A,SWFTX邮编覆盖!B:B,"否")</f>
        <v>是</v>
      </c>
      <c r="J53" s="2" t="str">
        <f>_xlfn.XLOOKUP(A53,YW邮编覆盖!A:A,YW邮编覆盖!B:B,"否")</f>
        <v>是</v>
      </c>
    </row>
    <row r="54" spans="1:10" hidden="1">
      <c r="A54" s="3">
        <v>91343</v>
      </c>
      <c r="B54" s="1" t="s">
        <v>39</v>
      </c>
      <c r="C54" s="2" t="str">
        <f>_xlfn.XLOOKUP(B54,线路DSP对应!A:A,线路DSP对应!B:B)</f>
        <v>STA_LAX_ChinaOcean</v>
      </c>
      <c r="D54" s="4" t="s">
        <v>145</v>
      </c>
      <c r="E54" s="2" t="str">
        <f>_xlfn.XLOOKUP(A54,转单情况!A:A,转单情况!B:B)</f>
        <v>SW</v>
      </c>
      <c r="F54" s="29"/>
      <c r="G54" s="28">
        <f>ROUND(_xlfn.XLOOKUP(A54,全量!A:A,全量!B:B,0)/7,1)</f>
        <v>0.1</v>
      </c>
      <c r="H54" s="2">
        <f>ROUND(_xlfn.XLOOKUP(A54,AE!A:A,AE!B:B,0)/7,1)</f>
        <v>0</v>
      </c>
      <c r="I54" s="2" t="str">
        <f>_xlfn.XLOOKUP(A54,SWFTX邮编覆盖!A:A,SWFTX邮编覆盖!B:B,"否")</f>
        <v>是</v>
      </c>
      <c r="J54" s="2" t="str">
        <f>_xlfn.XLOOKUP(A54,YW邮编覆盖!A:A,YW邮编覆盖!B:B,"否")</f>
        <v>是</v>
      </c>
    </row>
    <row r="55" spans="1:10" hidden="1">
      <c r="A55" s="3">
        <v>91325</v>
      </c>
      <c r="B55" s="1" t="s">
        <v>39</v>
      </c>
      <c r="C55" s="2" t="str">
        <f>_xlfn.XLOOKUP(B55,线路DSP对应!A:A,线路DSP对应!B:B)</f>
        <v>STA_LAX_ChinaOcean</v>
      </c>
      <c r="D55" s="4" t="s">
        <v>145</v>
      </c>
      <c r="E55" s="2" t="str">
        <f>_xlfn.XLOOKUP(A55,转单情况!A:A,转单情况!B:B)</f>
        <v>SW</v>
      </c>
      <c r="F55" s="29"/>
      <c r="G55" s="28">
        <f>ROUND(_xlfn.XLOOKUP(A55,全量!A:A,全量!B:B,0)/7,1)</f>
        <v>0.1</v>
      </c>
      <c r="H55" s="2">
        <f>ROUND(_xlfn.XLOOKUP(A55,AE!A:A,AE!B:B,0)/7,1)</f>
        <v>0</v>
      </c>
      <c r="I55" s="2" t="str">
        <f>_xlfn.XLOOKUP(A55,SWFTX邮编覆盖!A:A,SWFTX邮编覆盖!B:B,"否")</f>
        <v>是</v>
      </c>
      <c r="J55" s="2" t="str">
        <f>_xlfn.XLOOKUP(A55,YW邮编覆盖!A:A,YW邮编覆盖!B:B,"否")</f>
        <v>是</v>
      </c>
    </row>
    <row r="56" spans="1:10" hidden="1">
      <c r="A56" s="3">
        <v>91330</v>
      </c>
      <c r="B56" s="1" t="s">
        <v>39</v>
      </c>
      <c r="C56" s="2" t="str">
        <f>_xlfn.XLOOKUP(B56,线路DSP对应!A:A,线路DSP对应!B:B)</f>
        <v>STA_LAX_ChinaOcean</v>
      </c>
      <c r="D56" s="4" t="s">
        <v>145</v>
      </c>
      <c r="E56" s="2" t="str">
        <f>_xlfn.XLOOKUP(A56,转单情况!A:A,转单情况!B:B)</f>
        <v>否</v>
      </c>
      <c r="G56" s="28">
        <f>ROUND(_xlfn.XLOOKUP(A56,全量!A:A,全量!B:B,0)/7,1)</f>
        <v>0.1</v>
      </c>
      <c r="H56" s="2">
        <f>ROUND(_xlfn.XLOOKUP(A56,AE!A:A,AE!B:B,0)/7,1)</f>
        <v>0</v>
      </c>
      <c r="I56" s="2" t="str">
        <f>_xlfn.XLOOKUP(A56,SWFTX邮编覆盖!A:A,SWFTX邮编覆盖!B:B,"否")</f>
        <v>否</v>
      </c>
      <c r="J56" s="2" t="str">
        <f>_xlfn.XLOOKUP(A56,YW邮编覆盖!A:A,YW邮编覆盖!B:B,"否")</f>
        <v>否</v>
      </c>
    </row>
    <row r="57" spans="1:10" hidden="1">
      <c r="A57" s="3">
        <v>91329</v>
      </c>
      <c r="B57" s="1" t="s">
        <v>39</v>
      </c>
      <c r="C57" s="2" t="str">
        <f>_xlfn.XLOOKUP(B57,线路DSP对应!A:A,线路DSP对应!B:B)</f>
        <v>STA_LAX_ChinaOcean</v>
      </c>
      <c r="D57" s="4" t="s">
        <v>145</v>
      </c>
      <c r="E57" s="2" t="str">
        <f>_xlfn.XLOOKUP(A57,转单情况!A:A,转单情况!B:B)</f>
        <v>否</v>
      </c>
      <c r="G57" s="28">
        <f>ROUND(_xlfn.XLOOKUP(A57,全量!A:A,全量!B:B,0)/7,1)</f>
        <v>0</v>
      </c>
      <c r="H57" s="2">
        <f>ROUND(_xlfn.XLOOKUP(A57,AE!A:A,AE!B:B,0)/7,1)</f>
        <v>0</v>
      </c>
      <c r="I57" s="2" t="str">
        <f>_xlfn.XLOOKUP(A57,SWFTX邮编覆盖!A:A,SWFTX邮编覆盖!B:B,"否")</f>
        <v>否</v>
      </c>
      <c r="J57" s="2" t="str">
        <f>_xlfn.XLOOKUP(A57,YW邮编覆盖!A:A,YW邮编覆盖!B:B,"否")</f>
        <v>否</v>
      </c>
    </row>
    <row r="58" spans="1:10" hidden="1">
      <c r="A58" s="3">
        <v>91324</v>
      </c>
      <c r="B58" s="1" t="s">
        <v>39</v>
      </c>
      <c r="C58" s="2" t="str">
        <f>_xlfn.XLOOKUP(B58,线路DSP对应!A:A,线路DSP对应!B:B)</f>
        <v>STA_LAX_ChinaOcean</v>
      </c>
      <c r="D58" s="4" t="s">
        <v>145</v>
      </c>
      <c r="E58" s="2" t="str">
        <f>_xlfn.XLOOKUP(A58,转单情况!A:A,转单情况!B:B)</f>
        <v>SW</v>
      </c>
      <c r="F58" s="29"/>
      <c r="G58" s="28">
        <f>ROUND(_xlfn.XLOOKUP(A58,全量!A:A,全量!B:B,0)/7,1)</f>
        <v>0.1</v>
      </c>
      <c r="H58" s="2">
        <f>ROUND(_xlfn.XLOOKUP(A58,AE!A:A,AE!B:B,0)/7,1)</f>
        <v>0</v>
      </c>
      <c r="I58" s="2" t="str">
        <f>_xlfn.XLOOKUP(A58,SWFTX邮编覆盖!A:A,SWFTX邮编覆盖!B:B,"否")</f>
        <v>是</v>
      </c>
      <c r="J58" s="2" t="str">
        <f>_xlfn.XLOOKUP(A58,YW邮编覆盖!A:A,YW邮编覆盖!B:B,"否")</f>
        <v>是</v>
      </c>
    </row>
    <row r="59" spans="1:10" hidden="1">
      <c r="A59" s="3">
        <v>91311</v>
      </c>
      <c r="B59" s="1" t="s">
        <v>39</v>
      </c>
      <c r="C59" s="2" t="str">
        <f>_xlfn.XLOOKUP(B59,线路DSP对应!A:A,线路DSP对应!B:B)</f>
        <v>STA_LAX_ChinaOcean</v>
      </c>
      <c r="D59" s="4" t="s">
        <v>145</v>
      </c>
      <c r="E59" s="2" t="str">
        <f>_xlfn.XLOOKUP(A59,转单情况!A:A,转单情况!B:B)</f>
        <v>SW</v>
      </c>
      <c r="F59" s="29"/>
      <c r="G59" s="28">
        <f>ROUND(_xlfn.XLOOKUP(A59,全量!A:A,全量!B:B,0)/7,1)</f>
        <v>0.4</v>
      </c>
      <c r="H59" s="2">
        <f>ROUND(_xlfn.XLOOKUP(A59,AE!A:A,AE!B:B,0)/7,1)</f>
        <v>0</v>
      </c>
      <c r="I59" s="2" t="str">
        <f>_xlfn.XLOOKUP(A59,SWFTX邮编覆盖!A:A,SWFTX邮编覆盖!B:B,"否")</f>
        <v>是</v>
      </c>
      <c r="J59" s="2" t="str">
        <f>_xlfn.XLOOKUP(A59,YW邮编覆盖!A:A,YW邮编覆盖!B:B,"否")</f>
        <v>否</v>
      </c>
    </row>
    <row r="60" spans="1:10" hidden="1">
      <c r="A60" s="3">
        <v>91326</v>
      </c>
      <c r="B60" s="1" t="s">
        <v>39</v>
      </c>
      <c r="C60" s="2" t="str">
        <f>_xlfn.XLOOKUP(B60,线路DSP对应!A:A,线路DSP对应!B:B)</f>
        <v>STA_LAX_ChinaOcean</v>
      </c>
      <c r="D60" s="4" t="s">
        <v>145</v>
      </c>
      <c r="E60" s="2" t="str">
        <f>_xlfn.XLOOKUP(A60,转单情况!A:A,转单情况!B:B)</f>
        <v>SW</v>
      </c>
      <c r="F60" s="29"/>
      <c r="G60" s="28">
        <f>ROUND(_xlfn.XLOOKUP(A60,全量!A:A,全量!B:B,0)/7,1)</f>
        <v>0</v>
      </c>
      <c r="H60" s="2">
        <f>ROUND(_xlfn.XLOOKUP(A60,AE!A:A,AE!B:B,0)/7,1)</f>
        <v>0</v>
      </c>
      <c r="I60" s="2" t="str">
        <f>_xlfn.XLOOKUP(A60,SWFTX邮编覆盖!A:A,SWFTX邮编覆盖!B:B,"否")</f>
        <v>是</v>
      </c>
      <c r="J60" s="2" t="str">
        <f>_xlfn.XLOOKUP(A60,YW邮编覆盖!A:A,YW邮编覆盖!B:B,"否")</f>
        <v>是</v>
      </c>
    </row>
    <row r="61" spans="1:10" hidden="1">
      <c r="A61" s="3">
        <v>91364</v>
      </c>
      <c r="B61" s="1" t="s">
        <v>39</v>
      </c>
      <c r="C61" s="2" t="str">
        <f>_xlfn.XLOOKUP(B61,线路DSP对应!A:A,线路DSP对应!B:B)</f>
        <v>STA_LAX_ChinaOcean</v>
      </c>
      <c r="D61" s="4" t="s">
        <v>145</v>
      </c>
      <c r="E61" s="2" t="str">
        <f>_xlfn.XLOOKUP(A61,转单情况!A:A,转单情况!B:B)</f>
        <v>SW</v>
      </c>
      <c r="F61" s="29"/>
      <c r="G61" s="28">
        <f>ROUND(_xlfn.XLOOKUP(A61,全量!A:A,全量!B:B,0)/7,1)</f>
        <v>0.4</v>
      </c>
      <c r="H61" s="2">
        <f>ROUND(_xlfn.XLOOKUP(A61,AE!A:A,AE!B:B,0)/7,1)</f>
        <v>0</v>
      </c>
      <c r="I61" s="2" t="str">
        <f>_xlfn.XLOOKUP(A61,SWFTX邮编覆盖!A:A,SWFTX邮编覆盖!B:B,"否")</f>
        <v>是</v>
      </c>
      <c r="J61" s="2" t="str">
        <f>_xlfn.XLOOKUP(A61,YW邮编覆盖!A:A,YW邮编覆盖!B:B,"否")</f>
        <v>是</v>
      </c>
    </row>
    <row r="62" spans="1:10" hidden="1">
      <c r="A62" s="3">
        <v>91371</v>
      </c>
      <c r="B62" s="1" t="s">
        <v>39</v>
      </c>
      <c r="C62" s="2" t="str">
        <f>_xlfn.XLOOKUP(B62,线路DSP对应!A:A,线路DSP对应!B:B)</f>
        <v>STA_LAX_ChinaOcean</v>
      </c>
      <c r="D62" s="4" t="s">
        <v>145</v>
      </c>
      <c r="E62" s="2" t="str">
        <f>_xlfn.XLOOKUP(A62,转单情况!A:A,转单情况!B:B)</f>
        <v>否</v>
      </c>
      <c r="G62" s="28">
        <f>ROUND(_xlfn.XLOOKUP(A62,全量!A:A,全量!B:B,0)/7,1)</f>
        <v>0</v>
      </c>
      <c r="H62" s="2">
        <f>ROUND(_xlfn.XLOOKUP(A62,AE!A:A,AE!B:B,0)/7,1)</f>
        <v>0</v>
      </c>
      <c r="I62" s="2" t="str">
        <f>_xlfn.XLOOKUP(A62,SWFTX邮编覆盖!A:A,SWFTX邮编覆盖!B:B,"否")</f>
        <v>否</v>
      </c>
      <c r="J62" s="2" t="str">
        <f>_xlfn.XLOOKUP(A62,YW邮编覆盖!A:A,YW邮编覆盖!B:B,"否")</f>
        <v>否</v>
      </c>
    </row>
    <row r="63" spans="1:10" hidden="1">
      <c r="A63" s="3">
        <v>91367</v>
      </c>
      <c r="B63" s="1" t="s">
        <v>39</v>
      </c>
      <c r="C63" s="2" t="str">
        <f>_xlfn.XLOOKUP(B63,线路DSP对应!A:A,线路DSP对应!B:B)</f>
        <v>STA_LAX_ChinaOcean</v>
      </c>
      <c r="D63" s="4" t="s">
        <v>145</v>
      </c>
      <c r="E63" s="2" t="str">
        <f>_xlfn.XLOOKUP(A63,转单情况!A:A,转单情况!B:B)</f>
        <v>SW</v>
      </c>
      <c r="F63" s="29"/>
      <c r="G63" s="28">
        <f>ROUND(_xlfn.XLOOKUP(A63,全量!A:A,全量!B:B,0)/7,1)</f>
        <v>0.4</v>
      </c>
      <c r="H63" s="2">
        <f>ROUND(_xlfn.XLOOKUP(A63,AE!A:A,AE!B:B,0)/7,1)</f>
        <v>0</v>
      </c>
      <c r="I63" s="2" t="str">
        <f>_xlfn.XLOOKUP(A63,SWFTX邮编覆盖!A:A,SWFTX邮编覆盖!B:B,"否")</f>
        <v>是</v>
      </c>
      <c r="J63" s="2" t="str">
        <f>_xlfn.XLOOKUP(A63,YW邮编覆盖!A:A,YW邮编覆盖!B:B,"否")</f>
        <v>是</v>
      </c>
    </row>
    <row r="64" spans="1:10" hidden="1">
      <c r="A64" s="3">
        <v>91307</v>
      </c>
      <c r="B64" s="1" t="s">
        <v>39</v>
      </c>
      <c r="C64" s="2" t="str">
        <f>_xlfn.XLOOKUP(B64,线路DSP对应!A:A,线路DSP对应!B:B)</f>
        <v>STA_LAX_ChinaOcean</v>
      </c>
      <c r="D64" s="4" t="s">
        <v>145</v>
      </c>
      <c r="E64" s="2" t="str">
        <f>_xlfn.XLOOKUP(A64,转单情况!A:A,转单情况!B:B)</f>
        <v>SW</v>
      </c>
      <c r="G64" s="28">
        <f>ROUND(_xlfn.XLOOKUP(A64,全量!A:A,全量!B:B,0)/7,1)</f>
        <v>0.1</v>
      </c>
      <c r="H64" s="2">
        <f>ROUND(_xlfn.XLOOKUP(A64,AE!A:A,AE!B:B,0)/7,1)</f>
        <v>0</v>
      </c>
      <c r="I64" s="2" t="str">
        <f>_xlfn.XLOOKUP(A64,SWFTX邮编覆盖!A:A,SWFTX邮编覆盖!B:B,"否")</f>
        <v>是</v>
      </c>
      <c r="J64" s="2" t="str">
        <f>_xlfn.XLOOKUP(A64,YW邮编覆盖!A:A,YW邮编覆盖!B:B,"否")</f>
        <v>否</v>
      </c>
    </row>
    <row r="65" spans="1:10" hidden="1">
      <c r="A65" s="3">
        <v>91303</v>
      </c>
      <c r="B65" s="1" t="s">
        <v>39</v>
      </c>
      <c r="C65" s="2" t="str">
        <f>_xlfn.XLOOKUP(B65,线路DSP对应!A:A,线路DSP对应!B:B)</f>
        <v>STA_LAX_ChinaOcean</v>
      </c>
      <c r="D65" s="4" t="s">
        <v>145</v>
      </c>
      <c r="E65" s="2" t="str">
        <f>_xlfn.XLOOKUP(A65,转单情况!A:A,转单情况!B:B)</f>
        <v>SW</v>
      </c>
      <c r="F65" s="29"/>
      <c r="G65" s="28">
        <f>ROUND(_xlfn.XLOOKUP(A65,全量!A:A,全量!B:B,0)/7,1)</f>
        <v>0</v>
      </c>
      <c r="H65" s="2">
        <f>ROUND(_xlfn.XLOOKUP(A65,AE!A:A,AE!B:B,0)/7,1)</f>
        <v>0</v>
      </c>
      <c r="I65" s="2" t="str">
        <f>_xlfn.XLOOKUP(A65,SWFTX邮编覆盖!A:A,SWFTX邮编覆盖!B:B,"否")</f>
        <v>是</v>
      </c>
      <c r="J65" s="2" t="str">
        <f>_xlfn.XLOOKUP(A65,YW邮编覆盖!A:A,YW邮编覆盖!B:B,"否")</f>
        <v>是</v>
      </c>
    </row>
    <row r="66" spans="1:10" hidden="1">
      <c r="A66" s="3">
        <v>91304</v>
      </c>
      <c r="B66" s="1" t="s">
        <v>39</v>
      </c>
      <c r="C66" s="2" t="str">
        <f>_xlfn.XLOOKUP(B66,线路DSP对应!A:A,线路DSP对应!B:B)</f>
        <v>STA_LAX_ChinaOcean</v>
      </c>
      <c r="D66" s="4" t="s">
        <v>145</v>
      </c>
      <c r="E66" s="2" t="str">
        <f>_xlfn.XLOOKUP(A66,转单情况!A:A,转单情况!B:B)</f>
        <v>SW</v>
      </c>
      <c r="F66" s="29"/>
      <c r="G66" s="28">
        <f>ROUND(_xlfn.XLOOKUP(A66,全量!A:A,全量!B:B,0)/7,1)</f>
        <v>0.4</v>
      </c>
      <c r="H66" s="2">
        <f>ROUND(_xlfn.XLOOKUP(A66,AE!A:A,AE!B:B,0)/7,1)</f>
        <v>0</v>
      </c>
      <c r="I66" s="2" t="str">
        <f>_xlfn.XLOOKUP(A66,SWFTX邮编覆盖!A:A,SWFTX邮编覆盖!B:B,"否")</f>
        <v>是</v>
      </c>
      <c r="J66" s="2" t="str">
        <f>_xlfn.XLOOKUP(A66,YW邮编覆盖!A:A,YW邮编覆盖!B:B,"否")</f>
        <v>否</v>
      </c>
    </row>
    <row r="67" spans="1:10" hidden="1">
      <c r="A67" s="3">
        <v>91306</v>
      </c>
      <c r="B67" s="1" t="s">
        <v>39</v>
      </c>
      <c r="C67" s="2" t="str">
        <f>_xlfn.XLOOKUP(B67,线路DSP对应!A:A,线路DSP对应!B:B)</f>
        <v>STA_LAX_ChinaOcean</v>
      </c>
      <c r="D67" s="4" t="s">
        <v>145</v>
      </c>
      <c r="E67" s="2" t="str">
        <f>_xlfn.XLOOKUP(A67,转单情况!A:A,转单情况!B:B)</f>
        <v>SW</v>
      </c>
      <c r="F67" s="29"/>
      <c r="G67" s="28">
        <f>ROUND(_xlfn.XLOOKUP(A67,全量!A:A,全量!B:B,0)/7,1)</f>
        <v>0.4</v>
      </c>
      <c r="H67" s="2">
        <f>ROUND(_xlfn.XLOOKUP(A67,AE!A:A,AE!B:B,0)/7,1)</f>
        <v>0</v>
      </c>
      <c r="I67" s="2" t="str">
        <f>_xlfn.XLOOKUP(A67,SWFTX邮编覆盖!A:A,SWFTX邮编覆盖!B:B,"否")</f>
        <v>是</v>
      </c>
      <c r="J67" s="2" t="str">
        <f>_xlfn.XLOOKUP(A67,YW邮编覆盖!A:A,YW邮编覆盖!B:B,"否")</f>
        <v>是</v>
      </c>
    </row>
    <row r="68" spans="1:10" hidden="1">
      <c r="A68" s="3">
        <v>91356</v>
      </c>
      <c r="B68" s="1" t="s">
        <v>39</v>
      </c>
      <c r="C68" s="2" t="str">
        <f>_xlfn.XLOOKUP(B68,线路DSP对应!A:A,线路DSP对应!B:B)</f>
        <v>STA_LAX_ChinaOcean</v>
      </c>
      <c r="D68" s="4" t="s">
        <v>145</v>
      </c>
      <c r="E68" s="2" t="str">
        <f>_xlfn.XLOOKUP(A68,转单情况!A:A,转单情况!B:B)</f>
        <v>SW</v>
      </c>
      <c r="F68" s="29"/>
      <c r="G68" s="28">
        <f>ROUND(_xlfn.XLOOKUP(A68,全量!A:A,全量!B:B,0)/7,1)</f>
        <v>0.1</v>
      </c>
      <c r="H68" s="2">
        <f>ROUND(_xlfn.XLOOKUP(A68,AE!A:A,AE!B:B,0)/7,1)</f>
        <v>0</v>
      </c>
      <c r="I68" s="2" t="str">
        <f>_xlfn.XLOOKUP(A68,SWFTX邮编覆盖!A:A,SWFTX邮编覆盖!B:B,"否")</f>
        <v>是</v>
      </c>
      <c r="J68" s="2" t="str">
        <f>_xlfn.XLOOKUP(A68,YW邮编覆盖!A:A,YW邮编覆盖!B:B,"否")</f>
        <v>是</v>
      </c>
    </row>
    <row r="69" spans="1:10" hidden="1">
      <c r="A69" s="3">
        <v>91335</v>
      </c>
      <c r="B69" s="1" t="s">
        <v>39</v>
      </c>
      <c r="C69" s="2" t="str">
        <f>_xlfn.XLOOKUP(B69,线路DSP对应!A:A,线路DSP对应!B:B)</f>
        <v>STA_LAX_ChinaOcean</v>
      </c>
      <c r="D69" s="4" t="s">
        <v>145</v>
      </c>
      <c r="E69" s="2" t="str">
        <f>_xlfn.XLOOKUP(A69,转单情况!A:A,转单情况!B:B)</f>
        <v>SW</v>
      </c>
      <c r="F69" s="29"/>
      <c r="G69" s="28">
        <f>ROUND(_xlfn.XLOOKUP(A69,全量!A:A,全量!B:B,0)/7,1)</f>
        <v>0.6</v>
      </c>
      <c r="H69" s="2">
        <f>ROUND(_xlfn.XLOOKUP(A69,AE!A:A,AE!B:B,0)/7,1)</f>
        <v>0</v>
      </c>
      <c r="I69" s="2" t="str">
        <f>_xlfn.XLOOKUP(A69,SWFTX邮编覆盖!A:A,SWFTX邮编覆盖!B:B,"否")</f>
        <v>是</v>
      </c>
      <c r="J69" s="2" t="str">
        <f>_xlfn.XLOOKUP(A69,YW邮编覆盖!A:A,YW邮编覆盖!B:B,"否")</f>
        <v>是</v>
      </c>
    </row>
    <row r="70" spans="1:10" hidden="1">
      <c r="A70" s="3">
        <v>93065</v>
      </c>
      <c r="B70" s="1" t="s">
        <v>39</v>
      </c>
      <c r="C70" s="2" t="str">
        <f>_xlfn.XLOOKUP(B70,线路DSP对应!A:A,线路DSP对应!B:B)</f>
        <v>STA_LAX_ChinaOcean</v>
      </c>
      <c r="D70" s="4" t="s">
        <v>145</v>
      </c>
      <c r="E70" s="2" t="str">
        <f>_xlfn.XLOOKUP(A70,转单情况!A:A,转单情况!B:B)</f>
        <v>SW</v>
      </c>
      <c r="G70" s="28">
        <f>ROUND(_xlfn.XLOOKUP(A70,全量!A:A,全量!B:B,0)/7,1)</f>
        <v>0.4</v>
      </c>
      <c r="H70" s="2">
        <f>ROUND(_xlfn.XLOOKUP(A70,AE!A:A,AE!B:B,0)/7,1)</f>
        <v>0</v>
      </c>
      <c r="I70" s="2" t="str">
        <f>_xlfn.XLOOKUP(A70,SWFTX邮编覆盖!A:A,SWFTX邮编覆盖!B:B,"否")</f>
        <v>是</v>
      </c>
      <c r="J70" s="2" t="str">
        <f>_xlfn.XLOOKUP(A70,YW邮编覆盖!A:A,YW邮编覆盖!B:B,"否")</f>
        <v>否</v>
      </c>
    </row>
    <row r="71" spans="1:10" hidden="1">
      <c r="A71" s="3">
        <v>93063</v>
      </c>
      <c r="B71" s="1" t="s">
        <v>39</v>
      </c>
      <c r="C71" s="2" t="str">
        <f>_xlfn.XLOOKUP(B71,线路DSP对应!A:A,线路DSP对应!B:B)</f>
        <v>STA_LAX_ChinaOcean</v>
      </c>
      <c r="D71" s="4" t="s">
        <v>145</v>
      </c>
      <c r="E71" s="2" t="str">
        <f>_xlfn.XLOOKUP(A71,转单情况!A:A,转单情况!B:B)</f>
        <v>SW</v>
      </c>
      <c r="G71" s="28">
        <f>ROUND(_xlfn.XLOOKUP(A71,全量!A:A,全量!B:B,0)/7,1)</f>
        <v>17.399999999999999</v>
      </c>
      <c r="H71" s="2">
        <f>ROUND(_xlfn.XLOOKUP(A71,AE!A:A,AE!B:B,0)/7,1)</f>
        <v>16.399999999999999</v>
      </c>
      <c r="I71" s="2" t="str">
        <f>_xlfn.XLOOKUP(A71,SWFTX邮编覆盖!A:A,SWFTX邮编覆盖!B:B,"否")</f>
        <v>是</v>
      </c>
      <c r="J71" s="2" t="str">
        <f>_xlfn.XLOOKUP(A71,YW邮编覆盖!A:A,YW邮编覆盖!B:B,"否")</f>
        <v>否</v>
      </c>
    </row>
    <row r="72" spans="1:10" hidden="1">
      <c r="A72" s="3">
        <v>93064</v>
      </c>
      <c r="B72" s="1" t="s">
        <v>39</v>
      </c>
      <c r="C72" s="2" t="str">
        <f>_xlfn.XLOOKUP(B72,线路DSP对应!A:A,线路DSP对应!B:B)</f>
        <v>STA_LAX_ChinaOcean</v>
      </c>
      <c r="D72" s="4" t="s">
        <v>145</v>
      </c>
      <c r="E72" s="2" t="str">
        <f>_xlfn.XLOOKUP(A72,转单情况!A:A,转单情况!B:B)</f>
        <v>否</v>
      </c>
      <c r="G72" s="28">
        <f>ROUND(_xlfn.XLOOKUP(A72,全量!A:A,全量!B:B,0)/7,1)</f>
        <v>0</v>
      </c>
      <c r="H72" s="2">
        <f>ROUND(_xlfn.XLOOKUP(A72,AE!A:A,AE!B:B,0)/7,1)</f>
        <v>0</v>
      </c>
      <c r="I72" s="2" t="str">
        <f>_xlfn.XLOOKUP(A72,SWFTX邮编覆盖!A:A,SWFTX邮编覆盖!B:B,"否")</f>
        <v>否</v>
      </c>
      <c r="J72" s="2" t="str">
        <f>_xlfn.XLOOKUP(A72,YW邮编覆盖!A:A,YW邮编覆盖!B:B,"否")</f>
        <v>否</v>
      </c>
    </row>
    <row r="73" spans="1:10" hidden="1">
      <c r="A73" s="3">
        <v>93021</v>
      </c>
      <c r="B73" s="1" t="s">
        <v>39</v>
      </c>
      <c r="C73" s="2" t="str">
        <f>_xlfn.XLOOKUP(B73,线路DSP对应!A:A,线路DSP对应!B:B)</f>
        <v>STA_LAX_ChinaOcean</v>
      </c>
      <c r="D73" s="4" t="s">
        <v>145</v>
      </c>
      <c r="E73" s="2" t="str">
        <f>_xlfn.XLOOKUP(A73,转单情况!A:A,转单情况!B:B)</f>
        <v>SW</v>
      </c>
      <c r="G73" s="28">
        <f>ROUND(_xlfn.XLOOKUP(A73,全量!A:A,全量!B:B,0)/7,1)</f>
        <v>0.3</v>
      </c>
      <c r="H73" s="2">
        <f>ROUND(_xlfn.XLOOKUP(A73,AE!A:A,AE!B:B,0)/7,1)</f>
        <v>0</v>
      </c>
      <c r="I73" s="2" t="str">
        <f>_xlfn.XLOOKUP(A73,SWFTX邮编覆盖!A:A,SWFTX邮编覆盖!B:B,"否")</f>
        <v>是</v>
      </c>
      <c r="J73" s="2" t="str">
        <f>_xlfn.XLOOKUP(A73,YW邮编覆盖!A:A,YW邮编覆盖!B:B,"否")</f>
        <v>否</v>
      </c>
    </row>
    <row r="74" spans="1:10" hidden="1">
      <c r="A74" s="3">
        <v>91302</v>
      </c>
      <c r="B74" s="1" t="s">
        <v>39</v>
      </c>
      <c r="C74" s="2" t="str">
        <f>_xlfn.XLOOKUP(B74,线路DSP对应!A:A,线路DSP对应!B:B)</f>
        <v>STA_LAX_ChinaOcean</v>
      </c>
      <c r="D74" s="4" t="s">
        <v>145</v>
      </c>
      <c r="E74" s="2" t="str">
        <f>_xlfn.XLOOKUP(A74,转单情况!A:A,转单情况!B:B)</f>
        <v>SW</v>
      </c>
      <c r="G74" s="28">
        <f>ROUND(_xlfn.XLOOKUP(A74,全量!A:A,全量!B:B,0)/7,1)</f>
        <v>0.1</v>
      </c>
      <c r="H74" s="2">
        <f>ROUND(_xlfn.XLOOKUP(A74,AE!A:A,AE!B:B,0)/7,1)</f>
        <v>0</v>
      </c>
      <c r="I74" s="2" t="str">
        <f>_xlfn.XLOOKUP(A74,SWFTX邮编覆盖!A:A,SWFTX邮编覆盖!B:B,"否")</f>
        <v>是</v>
      </c>
      <c r="J74" s="2" t="str">
        <f>_xlfn.XLOOKUP(A74,YW邮编覆盖!A:A,YW邮编覆盖!B:B,"否")</f>
        <v>否</v>
      </c>
    </row>
    <row r="75" spans="1:10" hidden="1">
      <c r="A75" s="3">
        <v>91301</v>
      </c>
      <c r="B75" s="1" t="s">
        <v>39</v>
      </c>
      <c r="C75" s="2" t="str">
        <f>_xlfn.XLOOKUP(B75,线路DSP对应!A:A,线路DSP对应!B:B)</f>
        <v>STA_LAX_ChinaOcean</v>
      </c>
      <c r="D75" s="4" t="s">
        <v>145</v>
      </c>
      <c r="E75" s="2" t="str">
        <f>_xlfn.XLOOKUP(A75,转单情况!A:A,转单情况!B:B)</f>
        <v>SW</v>
      </c>
      <c r="G75" s="28">
        <f>ROUND(_xlfn.XLOOKUP(A75,全量!A:A,全量!B:B,0)/7,1)</f>
        <v>7</v>
      </c>
      <c r="H75" s="2">
        <f>ROUND(_xlfn.XLOOKUP(A75,AE!A:A,AE!B:B,0)/7,1)</f>
        <v>6.9</v>
      </c>
      <c r="I75" s="2" t="str">
        <f>_xlfn.XLOOKUP(A75,SWFTX邮编覆盖!A:A,SWFTX邮编覆盖!B:B,"否")</f>
        <v>是</v>
      </c>
      <c r="J75" s="2" t="str">
        <f>_xlfn.XLOOKUP(A75,YW邮编覆盖!A:A,YW邮编覆盖!B:B,"否")</f>
        <v>否</v>
      </c>
    </row>
    <row r="76" spans="1:10" hidden="1">
      <c r="A76" s="3">
        <v>91377</v>
      </c>
      <c r="B76" s="1" t="s">
        <v>39</v>
      </c>
      <c r="C76" s="2" t="str">
        <f>_xlfn.XLOOKUP(B76,线路DSP对应!A:A,线路DSP对应!B:B)</f>
        <v>STA_LAX_ChinaOcean</v>
      </c>
      <c r="D76" s="4" t="s">
        <v>145</v>
      </c>
      <c r="E76" s="2" t="str">
        <f>_xlfn.XLOOKUP(A76,转单情况!A:A,转单情况!B:B)</f>
        <v>SW</v>
      </c>
      <c r="G76" s="28">
        <f>ROUND(_xlfn.XLOOKUP(A76,全量!A:A,全量!B:B,0)/7,1)</f>
        <v>4.0999999999999996</v>
      </c>
      <c r="H76" s="2">
        <f>ROUND(_xlfn.XLOOKUP(A76,AE!A:A,AE!B:B,0)/7,1)</f>
        <v>4.0999999999999996</v>
      </c>
      <c r="I76" s="2" t="str">
        <f>_xlfn.XLOOKUP(A76,SWFTX邮编覆盖!A:A,SWFTX邮编覆盖!B:B,"否")</f>
        <v>是</v>
      </c>
      <c r="J76" s="2" t="str">
        <f>_xlfn.XLOOKUP(A76,YW邮编覆盖!A:A,YW邮编覆盖!B:B,"否")</f>
        <v>否</v>
      </c>
    </row>
    <row r="77" spans="1:10" hidden="1">
      <c r="A77" s="3">
        <v>91362</v>
      </c>
      <c r="B77" s="1" t="s">
        <v>39</v>
      </c>
      <c r="C77" s="2" t="str">
        <f>_xlfn.XLOOKUP(B77,线路DSP对应!A:A,线路DSP对应!B:B)</f>
        <v>STA_LAX_ChinaOcean</v>
      </c>
      <c r="D77" s="4" t="s">
        <v>145</v>
      </c>
      <c r="E77" s="2" t="str">
        <f>_xlfn.XLOOKUP(A77,转单情况!A:A,转单情况!B:B)</f>
        <v>SW</v>
      </c>
      <c r="G77" s="28">
        <f>ROUND(_xlfn.XLOOKUP(A77,全量!A:A,全量!B:B,0)/7,1)</f>
        <v>0.1</v>
      </c>
      <c r="H77" s="2">
        <f>ROUND(_xlfn.XLOOKUP(A77,AE!A:A,AE!B:B,0)/7,1)</f>
        <v>0</v>
      </c>
      <c r="I77" s="2" t="str">
        <f>_xlfn.XLOOKUP(A77,SWFTX邮编覆盖!A:A,SWFTX邮编覆盖!B:B,"否")</f>
        <v>是</v>
      </c>
      <c r="J77" s="2" t="str">
        <f>_xlfn.XLOOKUP(A77,YW邮编覆盖!A:A,YW邮编覆盖!B:B,"否")</f>
        <v>否</v>
      </c>
    </row>
    <row r="78" spans="1:10" hidden="1">
      <c r="A78" s="3">
        <v>91360</v>
      </c>
      <c r="B78" s="1" t="s">
        <v>39</v>
      </c>
      <c r="C78" s="2" t="str">
        <f>_xlfn.XLOOKUP(B78,线路DSP对应!A:A,线路DSP对应!B:B)</f>
        <v>STA_LAX_ChinaOcean</v>
      </c>
      <c r="D78" s="4" t="s">
        <v>145</v>
      </c>
      <c r="E78" s="2" t="str">
        <f>_xlfn.XLOOKUP(A78,转单情况!A:A,转单情况!B:B)</f>
        <v>SW</v>
      </c>
      <c r="G78" s="28">
        <f>ROUND(_xlfn.XLOOKUP(A78,全量!A:A,全量!B:B,0)/7,1)</f>
        <v>0.7</v>
      </c>
      <c r="H78" s="2">
        <f>ROUND(_xlfn.XLOOKUP(A78,AE!A:A,AE!B:B,0)/7,1)</f>
        <v>0</v>
      </c>
      <c r="I78" s="2" t="str">
        <f>_xlfn.XLOOKUP(A78,SWFTX邮编覆盖!A:A,SWFTX邮编覆盖!B:B,"否")</f>
        <v>是</v>
      </c>
      <c r="J78" s="2" t="str">
        <f>_xlfn.XLOOKUP(A78,YW邮编覆盖!A:A,YW邮编覆盖!B:B,"否")</f>
        <v>否</v>
      </c>
    </row>
    <row r="79" spans="1:10" hidden="1">
      <c r="A79" s="3">
        <v>91361</v>
      </c>
      <c r="B79" s="1" t="s">
        <v>39</v>
      </c>
      <c r="C79" s="2" t="str">
        <f>_xlfn.XLOOKUP(B79,线路DSP对应!A:A,线路DSP对应!B:B)</f>
        <v>STA_LAX_ChinaOcean</v>
      </c>
      <c r="D79" s="4" t="s">
        <v>145</v>
      </c>
      <c r="E79" s="2" t="str">
        <f>_xlfn.XLOOKUP(A79,转单情况!A:A,转单情况!B:B)</f>
        <v>SW</v>
      </c>
      <c r="G79" s="28">
        <f>ROUND(_xlfn.XLOOKUP(A79,全量!A:A,全量!B:B,0)/7,1)</f>
        <v>0.1</v>
      </c>
      <c r="H79" s="2">
        <f>ROUND(_xlfn.XLOOKUP(A79,AE!A:A,AE!B:B,0)/7,1)</f>
        <v>0</v>
      </c>
      <c r="I79" s="2" t="str">
        <f>_xlfn.XLOOKUP(A79,SWFTX邮编覆盖!A:A,SWFTX邮编覆盖!B:B,"否")</f>
        <v>是</v>
      </c>
      <c r="J79" s="2" t="str">
        <f>_xlfn.XLOOKUP(A79,YW邮编覆盖!A:A,YW邮编覆盖!B:B,"否")</f>
        <v>否</v>
      </c>
    </row>
    <row r="80" spans="1:10" hidden="1">
      <c r="A80" s="3">
        <v>91320</v>
      </c>
      <c r="B80" s="1" t="s">
        <v>39</v>
      </c>
      <c r="C80" s="2" t="str">
        <f>_xlfn.XLOOKUP(B80,线路DSP对应!A:A,线路DSP对应!B:B)</f>
        <v>STA_LAX_ChinaOcean</v>
      </c>
      <c r="D80" s="4" t="s">
        <v>145</v>
      </c>
      <c r="E80" s="2" t="str">
        <f>_xlfn.XLOOKUP(A80,转单情况!A:A,转单情况!B:B)</f>
        <v>SW</v>
      </c>
      <c r="G80" s="28">
        <f>ROUND(_xlfn.XLOOKUP(A80,全量!A:A,全量!B:B,0)/7,1)</f>
        <v>0.1</v>
      </c>
      <c r="H80" s="2">
        <f>ROUND(_xlfn.XLOOKUP(A80,AE!A:A,AE!B:B,0)/7,1)</f>
        <v>0</v>
      </c>
      <c r="I80" s="2" t="str">
        <f>_xlfn.XLOOKUP(A80,SWFTX邮编覆盖!A:A,SWFTX邮编覆盖!B:B,"否")</f>
        <v>是</v>
      </c>
      <c r="J80" s="2" t="str">
        <f>_xlfn.XLOOKUP(A80,YW邮编覆盖!A:A,YW邮编覆盖!B:B,"否")</f>
        <v>否</v>
      </c>
    </row>
    <row r="81" spans="1:10" hidden="1">
      <c r="A81" s="3">
        <v>91387</v>
      </c>
      <c r="B81" s="1" t="s">
        <v>40</v>
      </c>
      <c r="C81" s="2" t="str">
        <f>_xlfn.XLOOKUP(B81,线路DSP对应!A:A,线路DSP对应!B:B)</f>
        <v>STA_LAX_APA_PRIME</v>
      </c>
      <c r="D81" s="4" t="s">
        <v>145</v>
      </c>
      <c r="E81" s="2" t="str">
        <f>_xlfn.XLOOKUP(A81,转单情况!A:A,转单情况!B:B)</f>
        <v>否</v>
      </c>
      <c r="G81" s="28">
        <f>ROUND(_xlfn.XLOOKUP(A81,全量!A:A,全量!B:B,0)/7,1)</f>
        <v>1.4</v>
      </c>
      <c r="H81" s="2">
        <f>ROUND(_xlfn.XLOOKUP(A81,AE!A:A,AE!B:B,0)/7,1)</f>
        <v>0</v>
      </c>
      <c r="I81" s="2" t="str">
        <f>_xlfn.XLOOKUP(A81,SWFTX邮编覆盖!A:A,SWFTX邮编覆盖!B:B,"否")</f>
        <v>否</v>
      </c>
      <c r="J81" s="2" t="str">
        <f>_xlfn.XLOOKUP(A81,YW邮编覆盖!A:A,YW邮编覆盖!B:B,"否")</f>
        <v>否</v>
      </c>
    </row>
    <row r="82" spans="1:10" hidden="1">
      <c r="A82" s="3">
        <v>91351</v>
      </c>
      <c r="B82" s="1" t="s">
        <v>40</v>
      </c>
      <c r="C82" s="2" t="str">
        <f>_xlfn.XLOOKUP(B82,线路DSP对应!A:A,线路DSP对应!B:B)</f>
        <v>STA_LAX_APA_PRIME</v>
      </c>
      <c r="D82" s="4" t="s">
        <v>145</v>
      </c>
      <c r="E82" s="2" t="str">
        <f>_xlfn.XLOOKUP(A82,转单情况!A:A,转单情况!B:B)</f>
        <v>否</v>
      </c>
      <c r="G82" s="28">
        <f>ROUND(_xlfn.XLOOKUP(A82,全量!A:A,全量!B:B,0)/7,1)</f>
        <v>5.9</v>
      </c>
      <c r="H82" s="2">
        <f>ROUND(_xlfn.XLOOKUP(A82,AE!A:A,AE!B:B,0)/7,1)</f>
        <v>0</v>
      </c>
      <c r="I82" s="2" t="str">
        <f>_xlfn.XLOOKUP(A82,SWFTX邮编覆盖!A:A,SWFTX邮编覆盖!B:B,"否")</f>
        <v>否</v>
      </c>
      <c r="J82" s="2" t="str">
        <f>_xlfn.XLOOKUP(A82,YW邮编覆盖!A:A,YW邮编覆盖!B:B,"否")</f>
        <v>否</v>
      </c>
    </row>
    <row r="83" spans="1:10" hidden="1">
      <c r="A83" s="3">
        <v>91350</v>
      </c>
      <c r="B83" s="1" t="s">
        <v>40</v>
      </c>
      <c r="C83" s="2" t="str">
        <f>_xlfn.XLOOKUP(B83,线路DSP对应!A:A,线路DSP对应!B:B)</f>
        <v>STA_LAX_APA_PRIME</v>
      </c>
      <c r="D83" s="4" t="s">
        <v>145</v>
      </c>
      <c r="E83" s="2" t="str">
        <f>_xlfn.XLOOKUP(A83,转单情况!A:A,转单情况!B:B)</f>
        <v>否</v>
      </c>
      <c r="G83" s="28">
        <f>ROUND(_xlfn.XLOOKUP(A83,全量!A:A,全量!B:B,0)/7,1)</f>
        <v>6.3</v>
      </c>
      <c r="H83" s="2">
        <f>ROUND(_xlfn.XLOOKUP(A83,AE!A:A,AE!B:B,0)/7,1)</f>
        <v>0</v>
      </c>
      <c r="I83" s="2" t="str">
        <f>_xlfn.XLOOKUP(A83,SWFTX邮编覆盖!A:A,SWFTX邮编覆盖!B:B,"否")</f>
        <v>否</v>
      </c>
      <c r="J83" s="2" t="str">
        <f>_xlfn.XLOOKUP(A83,YW邮编覆盖!A:A,YW邮编覆盖!B:B,"否")</f>
        <v>否</v>
      </c>
    </row>
    <row r="84" spans="1:10" hidden="1">
      <c r="A84" s="3">
        <v>91390</v>
      </c>
      <c r="B84" s="1" t="s">
        <v>40</v>
      </c>
      <c r="C84" s="2" t="str">
        <f>_xlfn.XLOOKUP(B84,线路DSP对应!A:A,线路DSP对应!B:B)</f>
        <v>STA_LAX_APA_PRIME</v>
      </c>
      <c r="D84" s="4" t="s">
        <v>145</v>
      </c>
      <c r="E84" s="2" t="str">
        <f>_xlfn.XLOOKUP(A84,转单情况!A:A,转单情况!B:B)</f>
        <v>否</v>
      </c>
      <c r="G84" s="28">
        <f>ROUND(_xlfn.XLOOKUP(A84,全量!A:A,全量!B:B,0)/7,1)</f>
        <v>13.9</v>
      </c>
      <c r="H84" s="2">
        <f>ROUND(_xlfn.XLOOKUP(A84,AE!A:A,AE!B:B,0)/7,1)</f>
        <v>0</v>
      </c>
      <c r="I84" s="2" t="str">
        <f>_xlfn.XLOOKUP(A84,SWFTX邮编覆盖!A:A,SWFTX邮编覆盖!B:B,"否")</f>
        <v>否</v>
      </c>
      <c r="J84" s="2" t="str">
        <f>_xlfn.XLOOKUP(A84,YW邮编覆盖!A:A,YW邮编覆盖!B:B,"否")</f>
        <v>否</v>
      </c>
    </row>
    <row r="85" spans="1:10" hidden="1">
      <c r="A85" s="3">
        <v>91355</v>
      </c>
      <c r="B85" s="1" t="s">
        <v>40</v>
      </c>
      <c r="C85" s="2" t="str">
        <f>_xlfn.XLOOKUP(B85,线路DSP对应!A:A,线路DSP对应!B:B)</f>
        <v>STA_LAX_APA_PRIME</v>
      </c>
      <c r="D85" s="4" t="s">
        <v>145</v>
      </c>
      <c r="E85" s="2" t="str">
        <f>_xlfn.XLOOKUP(A85,转单情况!A:A,转单情况!B:B)</f>
        <v>否</v>
      </c>
      <c r="G85" s="28">
        <f>ROUND(_xlfn.XLOOKUP(A85,全量!A:A,全量!B:B,0)/7,1)</f>
        <v>3</v>
      </c>
      <c r="H85" s="2">
        <f>ROUND(_xlfn.XLOOKUP(A85,AE!A:A,AE!B:B,0)/7,1)</f>
        <v>0</v>
      </c>
      <c r="I85" s="2" t="str">
        <f>_xlfn.XLOOKUP(A85,SWFTX邮编覆盖!A:A,SWFTX邮编覆盖!B:B,"否")</f>
        <v>否</v>
      </c>
      <c r="J85" s="2" t="str">
        <f>_xlfn.XLOOKUP(A85,YW邮编覆盖!A:A,YW邮编覆盖!B:B,"否")</f>
        <v>否</v>
      </c>
    </row>
    <row r="86" spans="1:10" hidden="1">
      <c r="A86" s="3">
        <v>91354</v>
      </c>
      <c r="B86" s="1" t="s">
        <v>40</v>
      </c>
      <c r="C86" s="2" t="str">
        <f>_xlfn.XLOOKUP(B86,线路DSP对应!A:A,线路DSP对应!B:B)</f>
        <v>STA_LAX_APA_PRIME</v>
      </c>
      <c r="D86" s="4" t="s">
        <v>145</v>
      </c>
      <c r="E86" s="2" t="str">
        <f>_xlfn.XLOOKUP(A86,转单情况!A:A,转单情况!B:B)</f>
        <v>否</v>
      </c>
      <c r="G86" s="28">
        <f>ROUND(_xlfn.XLOOKUP(A86,全量!A:A,全量!B:B,0)/7,1)</f>
        <v>7</v>
      </c>
      <c r="H86" s="2">
        <f>ROUND(_xlfn.XLOOKUP(A86,AE!A:A,AE!B:B,0)/7,1)</f>
        <v>0</v>
      </c>
      <c r="I86" s="2" t="str">
        <f>_xlfn.XLOOKUP(A86,SWFTX邮编覆盖!A:A,SWFTX邮编覆盖!B:B,"否")</f>
        <v>否</v>
      </c>
      <c r="J86" s="2" t="str">
        <f>_xlfn.XLOOKUP(A86,YW邮编覆盖!A:A,YW邮编覆盖!B:B,"否")</f>
        <v>否</v>
      </c>
    </row>
    <row r="87" spans="1:10" hidden="1">
      <c r="A87" s="3">
        <v>91381</v>
      </c>
      <c r="B87" s="1" t="s">
        <v>40</v>
      </c>
      <c r="C87" s="2" t="str">
        <f>_xlfn.XLOOKUP(B87,线路DSP对应!A:A,线路DSP对应!B:B)</f>
        <v>STA_LAX_APA_PRIME</v>
      </c>
      <c r="D87" s="4" t="s">
        <v>145</v>
      </c>
      <c r="E87" s="2" t="str">
        <f>_xlfn.XLOOKUP(A87,转单情况!A:A,转单情况!B:B)</f>
        <v>否</v>
      </c>
      <c r="G87" s="28">
        <f>ROUND(_xlfn.XLOOKUP(A87,全量!A:A,全量!B:B,0)/7,1)</f>
        <v>3.1</v>
      </c>
      <c r="H87" s="2">
        <f>ROUND(_xlfn.XLOOKUP(A87,AE!A:A,AE!B:B,0)/7,1)</f>
        <v>0</v>
      </c>
      <c r="I87" s="2" t="str">
        <f>_xlfn.XLOOKUP(A87,SWFTX邮编覆盖!A:A,SWFTX邮编覆盖!B:B,"否")</f>
        <v>否</v>
      </c>
      <c r="J87" s="2" t="str">
        <f>_xlfn.XLOOKUP(A87,YW邮编覆盖!A:A,YW邮编覆盖!B:B,"否")</f>
        <v>否</v>
      </c>
    </row>
    <row r="88" spans="1:10" hidden="1">
      <c r="A88" s="3">
        <v>91321</v>
      </c>
      <c r="B88" s="1" t="s">
        <v>40</v>
      </c>
      <c r="C88" s="2" t="str">
        <f>_xlfn.XLOOKUP(B88,线路DSP对应!A:A,线路DSP对应!B:B)</f>
        <v>STA_LAX_APA_PRIME</v>
      </c>
      <c r="D88" s="4" t="s">
        <v>145</v>
      </c>
      <c r="E88" s="2" t="str">
        <f>_xlfn.XLOOKUP(A88,转单情况!A:A,转单情况!B:B)</f>
        <v>否</v>
      </c>
      <c r="G88" s="28">
        <f>ROUND(_xlfn.XLOOKUP(A88,全量!A:A,全量!B:B,0)/7,1)</f>
        <v>3.4</v>
      </c>
      <c r="H88" s="2">
        <f>ROUND(_xlfn.XLOOKUP(A88,AE!A:A,AE!B:B,0)/7,1)</f>
        <v>0</v>
      </c>
      <c r="I88" s="2" t="str">
        <f>_xlfn.XLOOKUP(A88,SWFTX邮编覆盖!A:A,SWFTX邮编覆盖!B:B,"否")</f>
        <v>否</v>
      </c>
      <c r="J88" s="2" t="str">
        <f>_xlfn.XLOOKUP(A88,YW邮编覆盖!A:A,YW邮编覆盖!B:B,"否")</f>
        <v>否</v>
      </c>
    </row>
    <row r="89" spans="1:10" hidden="1">
      <c r="A89" s="3">
        <v>91384</v>
      </c>
      <c r="B89" s="1" t="s">
        <v>40</v>
      </c>
      <c r="C89" s="2" t="str">
        <f>_xlfn.XLOOKUP(B89,线路DSP对应!A:A,线路DSP对应!B:B)</f>
        <v>STA_LAX_APA_PRIME</v>
      </c>
      <c r="D89" s="4" t="s">
        <v>145</v>
      </c>
      <c r="E89" s="2" t="str">
        <f>_xlfn.XLOOKUP(A89,转单情况!A:A,转单情况!B:B)</f>
        <v>否</v>
      </c>
      <c r="G89" s="28">
        <f>ROUND(_xlfn.XLOOKUP(A89,全量!A:A,全量!B:B,0)/7,1)</f>
        <v>0.4</v>
      </c>
      <c r="H89" s="2">
        <f>ROUND(_xlfn.XLOOKUP(A89,AE!A:A,AE!B:B,0)/7,1)</f>
        <v>0</v>
      </c>
      <c r="I89" s="2" t="str">
        <f>_xlfn.XLOOKUP(A89,SWFTX邮编覆盖!A:A,SWFTX邮编覆盖!B:B,"否")</f>
        <v>否</v>
      </c>
      <c r="J89" s="2" t="str">
        <f>_xlfn.XLOOKUP(A89,YW邮编覆盖!A:A,YW邮编覆盖!B:B,"否")</f>
        <v>否</v>
      </c>
    </row>
    <row r="90" spans="1:10" hidden="1">
      <c r="A90" s="3">
        <v>91382</v>
      </c>
      <c r="B90" s="1" t="s">
        <v>40</v>
      </c>
      <c r="C90" s="2" t="str">
        <f>_xlfn.XLOOKUP(B90,线路DSP对应!A:A,线路DSP对应!B:B)</f>
        <v>STA_LAX_APA_PRIME</v>
      </c>
      <c r="D90" s="4" t="s">
        <v>145</v>
      </c>
      <c r="E90" s="2" t="str">
        <f>_xlfn.XLOOKUP(A90,转单情况!A:A,转单情况!B:B)</f>
        <v>否</v>
      </c>
      <c r="G90" s="28">
        <f>ROUND(_xlfn.XLOOKUP(A90,全量!A:A,全量!B:B,0)/7,1)</f>
        <v>0</v>
      </c>
      <c r="H90" s="2">
        <f>ROUND(_xlfn.XLOOKUP(A90,AE!A:A,AE!B:B,0)/7,1)</f>
        <v>0</v>
      </c>
      <c r="I90" s="2" t="str">
        <f>_xlfn.XLOOKUP(A90,SWFTX邮编覆盖!A:A,SWFTX邮编覆盖!B:B,"否")</f>
        <v>否</v>
      </c>
      <c r="J90" s="2" t="str">
        <f>_xlfn.XLOOKUP(A90,YW邮编覆盖!A:A,YW邮编覆盖!B:B,"否")</f>
        <v>否</v>
      </c>
    </row>
    <row r="91" spans="1:10" hidden="1">
      <c r="A91" s="30">
        <v>91608</v>
      </c>
      <c r="B91" s="31" t="s">
        <v>131</v>
      </c>
      <c r="C91" s="2" t="str">
        <f>_xlfn.XLOOKUP(B91,线路DSP对应!A:A,线路DSP对应!B:B)</f>
        <v>STA_LAX_SOB</v>
      </c>
      <c r="D91" s="4" t="s">
        <v>145</v>
      </c>
      <c r="E91" s="2" t="str">
        <f>_xlfn.XLOOKUP(A91,转单情况!A:A,转单情况!B:B)</f>
        <v>否</v>
      </c>
      <c r="G91" s="28">
        <f>ROUND(_xlfn.XLOOKUP(A91,全量!A:A,全量!B:B,0)/7,1)</f>
        <v>0.4</v>
      </c>
      <c r="H91" s="2">
        <f>ROUND(_xlfn.XLOOKUP(A91,AE!A:A,AE!B:B,0)/7,1)</f>
        <v>0</v>
      </c>
      <c r="I91" s="2" t="str">
        <f>_xlfn.XLOOKUP(A91,SWFTX邮编覆盖!A:A,SWFTX邮编覆盖!B:B,"否")</f>
        <v>否</v>
      </c>
      <c r="J91" s="2" t="str">
        <f>_xlfn.XLOOKUP(A91,YW邮编覆盖!A:A,YW邮编覆盖!B:B,"否")</f>
        <v>否</v>
      </c>
    </row>
    <row r="92" spans="1:10" hidden="1">
      <c r="A92" s="30">
        <v>91602</v>
      </c>
      <c r="B92" s="31" t="s">
        <v>131</v>
      </c>
      <c r="C92" s="2" t="str">
        <f>_xlfn.XLOOKUP(B92,线路DSP对应!A:A,线路DSP对应!B:B)</f>
        <v>STA_LAX_SOB</v>
      </c>
      <c r="D92" s="4" t="s">
        <v>145</v>
      </c>
      <c r="E92" s="2" t="str">
        <f>_xlfn.XLOOKUP(A92,转单情况!A:A,转单情况!B:B)</f>
        <v>否</v>
      </c>
      <c r="G92" s="28">
        <f>ROUND(_xlfn.XLOOKUP(A92,全量!A:A,全量!B:B,0)/7,1)</f>
        <v>0.1</v>
      </c>
      <c r="H92" s="2">
        <f>ROUND(_xlfn.XLOOKUP(A92,AE!A:A,AE!B:B,0)/7,1)</f>
        <v>0</v>
      </c>
      <c r="I92" s="2" t="str">
        <f>_xlfn.XLOOKUP(A92,SWFTX邮编覆盖!A:A,SWFTX邮编覆盖!B:B,"否")</f>
        <v>否</v>
      </c>
      <c r="J92" s="2" t="str">
        <f>_xlfn.XLOOKUP(A92,YW邮编覆盖!A:A,YW邮编覆盖!B:B,"否")</f>
        <v>否</v>
      </c>
    </row>
    <row r="93" spans="1:10" hidden="1">
      <c r="A93" s="30">
        <v>91601</v>
      </c>
      <c r="B93" s="31" t="s">
        <v>131</v>
      </c>
      <c r="C93" s="2" t="str">
        <f>_xlfn.XLOOKUP(B93,线路DSP对应!A:A,线路DSP对应!B:B)</f>
        <v>STA_LAX_SOB</v>
      </c>
      <c r="D93" s="4" t="s">
        <v>145</v>
      </c>
      <c r="E93" s="2" t="str">
        <f>_xlfn.XLOOKUP(A93,转单情况!A:A,转单情况!B:B)</f>
        <v>否</v>
      </c>
      <c r="G93" s="28">
        <f>ROUND(_xlfn.XLOOKUP(A93,全量!A:A,全量!B:B,0)/7,1)</f>
        <v>3.3</v>
      </c>
      <c r="H93" s="2">
        <f>ROUND(_xlfn.XLOOKUP(A93,AE!A:A,AE!B:B,0)/7,1)</f>
        <v>0</v>
      </c>
      <c r="I93" s="2" t="str">
        <f>_xlfn.XLOOKUP(A93,SWFTX邮编覆盖!A:A,SWFTX邮编覆盖!B:B,"否")</f>
        <v>否</v>
      </c>
      <c r="J93" s="2" t="str">
        <f>_xlfn.XLOOKUP(A93,YW邮编覆盖!A:A,YW邮编覆盖!B:B,"否")</f>
        <v>否</v>
      </c>
    </row>
    <row r="94" spans="1:10" hidden="1">
      <c r="A94" s="30">
        <v>91612</v>
      </c>
      <c r="B94" s="31" t="s">
        <v>131</v>
      </c>
      <c r="C94" s="2" t="str">
        <f>_xlfn.XLOOKUP(B94,线路DSP对应!A:A,线路DSP对应!B:B)</f>
        <v>STA_LAX_SOB</v>
      </c>
      <c r="D94" s="4" t="s">
        <v>145</v>
      </c>
      <c r="E94" s="2" t="str">
        <f>_xlfn.XLOOKUP(A94,转单情况!A:A,转单情况!B:B)</f>
        <v>否</v>
      </c>
      <c r="G94" s="28">
        <f>ROUND(_xlfn.XLOOKUP(A94,全量!A:A,全量!B:B,0)/7,1)</f>
        <v>0</v>
      </c>
      <c r="H94" s="2">
        <f>ROUND(_xlfn.XLOOKUP(A94,AE!A:A,AE!B:B,0)/7,1)</f>
        <v>0</v>
      </c>
      <c r="I94" s="2" t="str">
        <f>_xlfn.XLOOKUP(A94,SWFTX邮编覆盖!A:A,SWFTX邮编覆盖!B:B,"否")</f>
        <v>否</v>
      </c>
      <c r="J94" s="2" t="str">
        <f>_xlfn.XLOOKUP(A94,YW邮编覆盖!A:A,YW邮编覆盖!B:B,"否")</f>
        <v>否</v>
      </c>
    </row>
    <row r="95" spans="1:10" hidden="1">
      <c r="A95" s="30">
        <v>91611</v>
      </c>
      <c r="B95" s="31" t="s">
        <v>131</v>
      </c>
      <c r="C95" s="2" t="str">
        <f>_xlfn.XLOOKUP(B95,线路DSP对应!A:A,线路DSP对应!B:B)</f>
        <v>STA_LAX_SOB</v>
      </c>
      <c r="D95" s="4" t="s">
        <v>145</v>
      </c>
      <c r="E95" s="2" t="str">
        <f>_xlfn.XLOOKUP(A95,转单情况!A:A,转单情况!B:B)</f>
        <v>否</v>
      </c>
      <c r="G95" s="28">
        <f>ROUND(_xlfn.XLOOKUP(A95,全量!A:A,全量!B:B,0)/7,1)</f>
        <v>0</v>
      </c>
      <c r="H95" s="2">
        <f>ROUND(_xlfn.XLOOKUP(A95,AE!A:A,AE!B:B,0)/7,1)</f>
        <v>0</v>
      </c>
      <c r="I95" s="2" t="str">
        <f>_xlfn.XLOOKUP(A95,SWFTX邮编覆盖!A:A,SWFTX邮编覆盖!B:B,"否")</f>
        <v>否</v>
      </c>
      <c r="J95" s="2" t="str">
        <f>_xlfn.XLOOKUP(A95,YW邮编覆盖!A:A,YW邮编覆盖!B:B,"否")</f>
        <v>否</v>
      </c>
    </row>
    <row r="96" spans="1:10" hidden="1">
      <c r="A96" s="30">
        <v>91605</v>
      </c>
      <c r="B96" s="31" t="s">
        <v>131</v>
      </c>
      <c r="C96" s="2" t="str">
        <f>_xlfn.XLOOKUP(B96,线路DSP对应!A:A,线路DSP对应!B:B)</f>
        <v>STA_LAX_SOB</v>
      </c>
      <c r="D96" s="4" t="s">
        <v>145</v>
      </c>
      <c r="E96" s="2" t="str">
        <f>_xlfn.XLOOKUP(A96,转单情况!A:A,转单情况!B:B)</f>
        <v>SW</v>
      </c>
      <c r="F96" s="29"/>
      <c r="G96" s="28">
        <f>ROUND(_xlfn.XLOOKUP(A96,全量!A:A,全量!B:B,0)/7,1)</f>
        <v>0.3</v>
      </c>
      <c r="H96" s="2">
        <f>ROUND(_xlfn.XLOOKUP(A96,AE!A:A,AE!B:B,0)/7,1)</f>
        <v>0</v>
      </c>
      <c r="I96" s="2" t="str">
        <f>_xlfn.XLOOKUP(A96,SWFTX邮编覆盖!A:A,SWFTX邮编覆盖!B:B,"否")</f>
        <v>是</v>
      </c>
      <c r="J96" s="2" t="str">
        <f>_xlfn.XLOOKUP(A96,YW邮编覆盖!A:A,YW邮编覆盖!B:B,"否")</f>
        <v>是</v>
      </c>
    </row>
    <row r="97" spans="1:10" hidden="1">
      <c r="A97" s="30">
        <v>91607</v>
      </c>
      <c r="B97" s="31" t="s">
        <v>131</v>
      </c>
      <c r="C97" s="2" t="str">
        <f>_xlfn.XLOOKUP(B97,线路DSP对应!A:A,线路DSP对应!B:B)</f>
        <v>STA_LAX_SOB</v>
      </c>
      <c r="D97" s="4" t="s">
        <v>145</v>
      </c>
      <c r="E97" s="2" t="str">
        <f>_xlfn.XLOOKUP(A97,转单情况!A:A,转单情况!B:B)</f>
        <v>SW</v>
      </c>
      <c r="F97" s="29"/>
      <c r="G97" s="28">
        <f>ROUND(_xlfn.XLOOKUP(A97,全量!A:A,全量!B:B,0)/7,1)</f>
        <v>0.3</v>
      </c>
      <c r="H97" s="2">
        <f>ROUND(_xlfn.XLOOKUP(A97,AE!A:A,AE!B:B,0)/7,1)</f>
        <v>0</v>
      </c>
      <c r="I97" s="2" t="str">
        <f>_xlfn.XLOOKUP(A97,SWFTX邮编覆盖!A:A,SWFTX邮编覆盖!B:B,"否")</f>
        <v>是</v>
      </c>
      <c r="J97" s="2" t="str">
        <f>_xlfn.XLOOKUP(A97,YW邮编覆盖!A:A,YW邮编覆盖!B:B,"否")</f>
        <v>是</v>
      </c>
    </row>
    <row r="98" spans="1:10" hidden="1">
      <c r="A98" s="30">
        <v>91606</v>
      </c>
      <c r="B98" s="31" t="s">
        <v>131</v>
      </c>
      <c r="C98" s="2" t="str">
        <f>_xlfn.XLOOKUP(B98,线路DSP对应!A:A,线路DSP对应!B:B)</f>
        <v>STA_LAX_SOB</v>
      </c>
      <c r="D98" s="4" t="s">
        <v>145</v>
      </c>
      <c r="E98" s="2" t="str">
        <f>_xlfn.XLOOKUP(A98,转单情况!A:A,转单情况!B:B)</f>
        <v>否</v>
      </c>
      <c r="G98" s="28">
        <f>ROUND(_xlfn.XLOOKUP(A98,全量!A:A,全量!B:B,0)/7,1)</f>
        <v>3.4</v>
      </c>
      <c r="H98" s="2">
        <f>ROUND(_xlfn.XLOOKUP(A98,AE!A:A,AE!B:B,0)/7,1)</f>
        <v>0</v>
      </c>
      <c r="I98" s="2" t="str">
        <f>_xlfn.XLOOKUP(A98,SWFTX邮编覆盖!A:A,SWFTX邮编覆盖!B:B,"否")</f>
        <v>否</v>
      </c>
      <c r="J98" s="2" t="str">
        <f>_xlfn.XLOOKUP(A98,YW邮编覆盖!A:A,YW邮编覆盖!B:B,"否")</f>
        <v>否</v>
      </c>
    </row>
    <row r="99" spans="1:10" hidden="1">
      <c r="A99" s="30">
        <v>91604</v>
      </c>
      <c r="B99" s="31" t="s">
        <v>131</v>
      </c>
      <c r="C99" s="2" t="str">
        <f>_xlfn.XLOOKUP(B99,线路DSP对应!A:A,线路DSP对应!B:B)</f>
        <v>STA_LAX_SOB</v>
      </c>
      <c r="D99" s="4" t="s">
        <v>145</v>
      </c>
      <c r="E99" s="2" t="str">
        <f>_xlfn.XLOOKUP(A99,转单情况!A:A,转单情况!B:B)</f>
        <v>否</v>
      </c>
      <c r="G99" s="28">
        <f>ROUND(_xlfn.XLOOKUP(A99,全量!A:A,全量!B:B,0)/7,1)</f>
        <v>0.3</v>
      </c>
      <c r="H99" s="2">
        <f>ROUND(_xlfn.XLOOKUP(A99,AE!A:A,AE!B:B,0)/7,1)</f>
        <v>0</v>
      </c>
      <c r="I99" s="2" t="str">
        <f>_xlfn.XLOOKUP(A99,SWFTX邮编覆盖!A:A,SWFTX邮编覆盖!B:B,"否")</f>
        <v>否</v>
      </c>
      <c r="J99" s="2" t="str">
        <f>_xlfn.XLOOKUP(A99,YW邮编覆盖!A:A,YW邮编覆盖!B:B,"否")</f>
        <v>否</v>
      </c>
    </row>
    <row r="100" spans="1:10" hidden="1">
      <c r="A100" s="30">
        <v>90212</v>
      </c>
      <c r="B100" s="31" t="s">
        <v>132</v>
      </c>
      <c r="C100" s="2" t="str">
        <f>_xlfn.XLOOKUP(B100,线路DSP对应!A:A,线路DSP对应!B:B)</f>
        <v>STA_LAX_SOB</v>
      </c>
      <c r="D100" s="4" t="s">
        <v>145</v>
      </c>
      <c r="E100" s="2" t="str">
        <f>_xlfn.XLOOKUP(A100,转单情况!A:A,转单情况!B:B)</f>
        <v>否</v>
      </c>
      <c r="G100" s="28">
        <f>ROUND(_xlfn.XLOOKUP(A100,全量!A:A,全量!B:B,0)/7,1)</f>
        <v>1.3</v>
      </c>
      <c r="H100" s="2">
        <f>ROUND(_xlfn.XLOOKUP(A100,AE!A:A,AE!B:B,0)/7,1)</f>
        <v>0</v>
      </c>
      <c r="I100" s="2" t="str">
        <f>_xlfn.XLOOKUP(A100,SWFTX邮编覆盖!A:A,SWFTX邮编覆盖!B:B,"否")</f>
        <v>否</v>
      </c>
      <c r="J100" s="2" t="str">
        <f>_xlfn.XLOOKUP(A100,YW邮编覆盖!A:A,YW邮编覆盖!B:B,"否")</f>
        <v>否</v>
      </c>
    </row>
    <row r="101" spans="1:10" hidden="1">
      <c r="A101" s="30">
        <v>90211</v>
      </c>
      <c r="B101" s="31" t="s">
        <v>132</v>
      </c>
      <c r="C101" s="2" t="str">
        <f>_xlfn.XLOOKUP(B101,线路DSP对应!A:A,线路DSP对应!B:B)</f>
        <v>STA_LAX_SOB</v>
      </c>
      <c r="D101" s="4" t="s">
        <v>145</v>
      </c>
      <c r="E101" s="2" t="str">
        <f>_xlfn.XLOOKUP(A101,转单情况!A:A,转单情况!B:B)</f>
        <v>否</v>
      </c>
      <c r="G101" s="28">
        <f>ROUND(_xlfn.XLOOKUP(A101,全量!A:A,全量!B:B,0)/7,1)</f>
        <v>0.4</v>
      </c>
      <c r="H101" s="2">
        <f>ROUND(_xlfn.XLOOKUP(A101,AE!A:A,AE!B:B,0)/7,1)</f>
        <v>0</v>
      </c>
      <c r="I101" s="2" t="str">
        <f>_xlfn.XLOOKUP(A101,SWFTX邮编覆盖!A:A,SWFTX邮编覆盖!B:B,"否")</f>
        <v>否</v>
      </c>
      <c r="J101" s="2" t="str">
        <f>_xlfn.XLOOKUP(A101,YW邮编覆盖!A:A,YW邮编覆盖!B:B,"否")</f>
        <v>否</v>
      </c>
    </row>
    <row r="102" spans="1:10" hidden="1">
      <c r="A102" s="30">
        <v>90210</v>
      </c>
      <c r="B102" s="31" t="s">
        <v>132</v>
      </c>
      <c r="C102" s="2" t="str">
        <f>_xlfn.XLOOKUP(B102,线路DSP对应!A:A,线路DSP对应!B:B)</f>
        <v>STA_LAX_SOB</v>
      </c>
      <c r="D102" s="4" t="s">
        <v>145</v>
      </c>
      <c r="E102" s="2" t="str">
        <f>_xlfn.XLOOKUP(A102,转单情况!A:A,转单情况!B:B)</f>
        <v>否</v>
      </c>
      <c r="G102" s="28">
        <f>ROUND(_xlfn.XLOOKUP(A102,全量!A:A,全量!B:B,0)/7,1)</f>
        <v>9.6</v>
      </c>
      <c r="H102" s="2">
        <f>ROUND(_xlfn.XLOOKUP(A102,AE!A:A,AE!B:B,0)/7,1)</f>
        <v>6.1</v>
      </c>
      <c r="I102" s="2" t="str">
        <f>_xlfn.XLOOKUP(A102,SWFTX邮编覆盖!A:A,SWFTX邮编覆盖!B:B,"否")</f>
        <v>否</v>
      </c>
      <c r="J102" s="2" t="str">
        <f>_xlfn.XLOOKUP(A102,YW邮编覆盖!A:A,YW邮编覆盖!B:B,"否")</f>
        <v>否</v>
      </c>
    </row>
    <row r="103" spans="1:10" hidden="1">
      <c r="A103" s="30">
        <v>90046</v>
      </c>
      <c r="B103" s="31" t="s">
        <v>132</v>
      </c>
      <c r="C103" s="2" t="str">
        <f>_xlfn.XLOOKUP(B103,线路DSP对应!A:A,线路DSP对应!B:B)</f>
        <v>STA_LAX_SOB</v>
      </c>
      <c r="D103" s="4" t="s">
        <v>145</v>
      </c>
      <c r="E103" s="2" t="str">
        <f>_xlfn.XLOOKUP(A103,转单情况!A:A,转单情况!B:B)</f>
        <v>SW</v>
      </c>
      <c r="G103" s="28">
        <f>ROUND(_xlfn.XLOOKUP(A103,全量!A:A,全量!B:B,0)/7,1)</f>
        <v>0.4</v>
      </c>
      <c r="H103" s="2">
        <f>ROUND(_xlfn.XLOOKUP(A103,AE!A:A,AE!B:B,0)/7,1)</f>
        <v>0</v>
      </c>
      <c r="I103" s="2" t="str">
        <f>_xlfn.XLOOKUP(A103,SWFTX邮编覆盖!A:A,SWFTX邮编覆盖!B:B,"否")</f>
        <v>是</v>
      </c>
      <c r="J103" s="2" t="str">
        <f>_xlfn.XLOOKUP(A103,YW邮编覆盖!A:A,YW邮编覆盖!B:B,"否")</f>
        <v>是</v>
      </c>
    </row>
    <row r="104" spans="1:10" hidden="1">
      <c r="A104" s="30">
        <v>90048</v>
      </c>
      <c r="B104" s="31" t="s">
        <v>132</v>
      </c>
      <c r="C104" s="2" t="str">
        <f>_xlfn.XLOOKUP(B104,线路DSP对应!A:A,线路DSP对应!B:B)</f>
        <v>STA_LAX_SOB</v>
      </c>
      <c r="D104" s="4" t="s">
        <v>145</v>
      </c>
      <c r="E104" s="2" t="str">
        <f>_xlfn.XLOOKUP(A104,转单情况!A:A,转单情况!B:B)</f>
        <v>SW</v>
      </c>
      <c r="G104" s="28">
        <f>ROUND(_xlfn.XLOOKUP(A104,全量!A:A,全量!B:B,0)/7,1)</f>
        <v>0.4</v>
      </c>
      <c r="H104" s="2">
        <f>ROUND(_xlfn.XLOOKUP(A104,AE!A:A,AE!B:B,0)/7,1)</f>
        <v>0.1</v>
      </c>
      <c r="I104" s="2" t="str">
        <f>_xlfn.XLOOKUP(A104,SWFTX邮编覆盖!A:A,SWFTX邮编覆盖!B:B,"否")</f>
        <v>是</v>
      </c>
      <c r="J104" s="2" t="str">
        <f>_xlfn.XLOOKUP(A104,YW邮编覆盖!A:A,YW邮编覆盖!B:B,"否")</f>
        <v>是</v>
      </c>
    </row>
    <row r="105" spans="1:10" hidden="1">
      <c r="A105" s="30">
        <v>90069</v>
      </c>
      <c r="B105" s="31" t="s">
        <v>132</v>
      </c>
      <c r="C105" s="2" t="str">
        <f>_xlfn.XLOOKUP(B105,线路DSP对应!A:A,线路DSP对应!B:B)</f>
        <v>STA_LAX_SOB</v>
      </c>
      <c r="D105" s="4" t="s">
        <v>145</v>
      </c>
      <c r="E105" s="2" t="str">
        <f>_xlfn.XLOOKUP(A105,转单情况!A:A,转单情况!B:B)</f>
        <v>SW</v>
      </c>
      <c r="G105" s="28">
        <f>ROUND(_xlfn.XLOOKUP(A105,全量!A:A,全量!B:B,0)/7,1)</f>
        <v>0.7</v>
      </c>
      <c r="H105" s="2">
        <f>ROUND(_xlfn.XLOOKUP(A105,AE!A:A,AE!B:B,0)/7,1)</f>
        <v>0</v>
      </c>
      <c r="I105" s="2" t="str">
        <f>_xlfn.XLOOKUP(A105,SWFTX邮编覆盖!A:A,SWFTX邮编覆盖!B:B,"否")</f>
        <v>是</v>
      </c>
      <c r="J105" s="2" t="str">
        <f>_xlfn.XLOOKUP(A105,YW邮编覆盖!A:A,YW邮编覆盖!B:B,"否")</f>
        <v>是</v>
      </c>
    </row>
    <row r="106" spans="1:10" hidden="1">
      <c r="A106" s="30">
        <v>90068</v>
      </c>
      <c r="B106" s="31" t="s">
        <v>132</v>
      </c>
      <c r="C106" s="2" t="str">
        <f>_xlfn.XLOOKUP(B106,线路DSP对应!A:A,线路DSP对应!B:B)</f>
        <v>STA_LAX_SOB</v>
      </c>
      <c r="D106" s="4" t="s">
        <v>145</v>
      </c>
      <c r="E106" s="2" t="str">
        <f>_xlfn.XLOOKUP(A106,转单情况!A:A,转单情况!B:B)</f>
        <v>SW</v>
      </c>
      <c r="G106" s="28">
        <f>ROUND(_xlfn.XLOOKUP(A106,全量!A:A,全量!B:B,0)/7,1)</f>
        <v>0.3</v>
      </c>
      <c r="H106" s="2">
        <f>ROUND(_xlfn.XLOOKUP(A106,AE!A:A,AE!B:B,0)/7,1)</f>
        <v>0</v>
      </c>
      <c r="I106" s="2" t="str">
        <f>_xlfn.XLOOKUP(A106,SWFTX邮编覆盖!A:A,SWFTX邮编覆盖!B:B,"否")</f>
        <v>是</v>
      </c>
      <c r="J106" s="2" t="str">
        <f>_xlfn.XLOOKUP(A106,YW邮编覆盖!A:A,YW邮编覆盖!B:B,"否")</f>
        <v>是</v>
      </c>
    </row>
    <row r="107" spans="1:10" hidden="1">
      <c r="A107" s="30">
        <v>90095</v>
      </c>
      <c r="B107" s="31" t="s">
        <v>136</v>
      </c>
      <c r="C107" s="2" t="str">
        <f>_xlfn.XLOOKUP(B107,线路DSP对应!A:A,线路DSP对应!B:B)</f>
        <v>STA_LAX_SOB</v>
      </c>
      <c r="D107" s="4" t="s">
        <v>145</v>
      </c>
      <c r="E107" s="2" t="str">
        <f>_xlfn.XLOOKUP(A107,转单情况!A:A,转单情况!B:B)</f>
        <v>否</v>
      </c>
      <c r="G107" s="28">
        <f>ROUND(_xlfn.XLOOKUP(A107,全量!A:A,全量!B:B,0)/7,1)</f>
        <v>0</v>
      </c>
      <c r="H107" s="2">
        <f>ROUND(_xlfn.XLOOKUP(A107,AE!A:A,AE!B:B,0)/7,1)</f>
        <v>0</v>
      </c>
      <c r="I107" s="2" t="str">
        <f>_xlfn.XLOOKUP(A107,SWFTX邮编覆盖!A:A,SWFTX邮编覆盖!B:B,"否")</f>
        <v>否</v>
      </c>
      <c r="J107" s="2" t="str">
        <f>_xlfn.XLOOKUP(A107,YW邮编覆盖!A:A,YW邮编覆盖!B:B,"否")</f>
        <v>否</v>
      </c>
    </row>
    <row r="108" spans="1:10" hidden="1">
      <c r="A108" s="30">
        <v>90024</v>
      </c>
      <c r="B108" s="31" t="s">
        <v>136</v>
      </c>
      <c r="C108" s="2" t="str">
        <f>_xlfn.XLOOKUP(B108,线路DSP对应!A:A,线路DSP对应!B:B)</f>
        <v>STA_LAX_SOB</v>
      </c>
      <c r="D108" s="4" t="s">
        <v>145</v>
      </c>
      <c r="E108" s="2" t="str">
        <f>_xlfn.XLOOKUP(A108,转单情况!A:A,转单情况!B:B)</f>
        <v>SW</v>
      </c>
      <c r="G108" s="28">
        <f>ROUND(_xlfn.XLOOKUP(A108,全量!A:A,全量!B:B,0)/7,1)</f>
        <v>0.1</v>
      </c>
      <c r="H108" s="2">
        <f>ROUND(_xlfn.XLOOKUP(A108,AE!A:A,AE!B:B,0)/7,1)</f>
        <v>0</v>
      </c>
      <c r="I108" s="2" t="str">
        <f>_xlfn.XLOOKUP(A108,SWFTX邮编覆盖!A:A,SWFTX邮编覆盖!B:B,"否")</f>
        <v>是</v>
      </c>
      <c r="J108" s="2" t="str">
        <f>_xlfn.XLOOKUP(A108,YW邮编覆盖!A:A,YW邮编覆盖!B:B,"否")</f>
        <v>是</v>
      </c>
    </row>
    <row r="109" spans="1:10" hidden="1">
      <c r="A109" s="30">
        <v>90025</v>
      </c>
      <c r="B109" s="31" t="s">
        <v>136</v>
      </c>
      <c r="C109" s="2" t="str">
        <f>_xlfn.XLOOKUP(B109,线路DSP对应!A:A,线路DSP对应!B:B)</f>
        <v>STA_LAX_SOB</v>
      </c>
      <c r="D109" s="4" t="s">
        <v>145</v>
      </c>
      <c r="E109" s="2" t="str">
        <f>_xlfn.XLOOKUP(A109,转单情况!A:A,转单情况!B:B)</f>
        <v>SW</v>
      </c>
      <c r="G109" s="28">
        <f>ROUND(_xlfn.XLOOKUP(A109,全量!A:A,全量!B:B,0)/7,1)</f>
        <v>0</v>
      </c>
      <c r="H109" s="2">
        <f>ROUND(_xlfn.XLOOKUP(A109,AE!A:A,AE!B:B,0)/7,1)</f>
        <v>0</v>
      </c>
      <c r="I109" s="2" t="str">
        <f>_xlfn.XLOOKUP(A109,SWFTX邮编覆盖!A:A,SWFTX邮编覆盖!B:B,"否")</f>
        <v>是</v>
      </c>
      <c r="J109" s="2" t="str">
        <f>_xlfn.XLOOKUP(A109,YW邮编覆盖!A:A,YW邮编覆盖!B:B,"否")</f>
        <v>是</v>
      </c>
    </row>
    <row r="110" spans="1:10" hidden="1">
      <c r="A110" s="30">
        <v>90067</v>
      </c>
      <c r="B110" s="31" t="s">
        <v>136</v>
      </c>
      <c r="C110" s="2" t="str">
        <f>_xlfn.XLOOKUP(B110,线路DSP对应!A:A,线路DSP对应!B:B)</f>
        <v>STA_LAX_SOB</v>
      </c>
      <c r="D110" s="4" t="s">
        <v>145</v>
      </c>
      <c r="E110" s="2" t="str">
        <f>_xlfn.XLOOKUP(A110,转单情况!A:A,转单情况!B:B)</f>
        <v>否</v>
      </c>
      <c r="G110" s="28">
        <f>ROUND(_xlfn.XLOOKUP(A110,全量!A:A,全量!B:B,0)/7,1)</f>
        <v>0</v>
      </c>
      <c r="H110" s="2">
        <f>ROUND(_xlfn.XLOOKUP(A110,AE!A:A,AE!B:B,0)/7,1)</f>
        <v>0</v>
      </c>
      <c r="I110" s="2" t="str">
        <f>_xlfn.XLOOKUP(A110,SWFTX邮编覆盖!A:A,SWFTX邮编覆盖!B:B,"否")</f>
        <v>否</v>
      </c>
      <c r="J110" s="2" t="str">
        <f>_xlfn.XLOOKUP(A110,YW邮编覆盖!A:A,YW邮编覆盖!B:B,"否")</f>
        <v>否</v>
      </c>
    </row>
    <row r="111" spans="1:10" hidden="1">
      <c r="A111" s="30">
        <v>90272</v>
      </c>
      <c r="B111" s="31" t="s">
        <v>136</v>
      </c>
      <c r="C111" s="2" t="str">
        <f>_xlfn.XLOOKUP(B111,线路DSP对应!A:A,线路DSP对应!B:B)</f>
        <v>STA_LAX_SOB</v>
      </c>
      <c r="D111" s="4" t="s">
        <v>145</v>
      </c>
      <c r="E111" s="2" t="str">
        <f>_xlfn.XLOOKUP(A111,转单情况!A:A,转单情况!B:B)</f>
        <v>否</v>
      </c>
      <c r="G111" s="28">
        <f>ROUND(_xlfn.XLOOKUP(A111,全量!A:A,全量!B:B,0)/7,1)</f>
        <v>1.7</v>
      </c>
      <c r="H111" s="2">
        <f>ROUND(_xlfn.XLOOKUP(A111,AE!A:A,AE!B:B,0)/7,1)</f>
        <v>1.1000000000000001</v>
      </c>
      <c r="I111" s="2" t="str">
        <f>_xlfn.XLOOKUP(A111,SWFTX邮编覆盖!A:A,SWFTX邮编覆盖!B:B,"否")</f>
        <v>否</v>
      </c>
      <c r="J111" s="2" t="str">
        <f>_xlfn.XLOOKUP(A111,YW邮编覆盖!A:A,YW邮编覆盖!B:B,"否")</f>
        <v>否</v>
      </c>
    </row>
    <row r="112" spans="1:10" hidden="1">
      <c r="A112" s="30">
        <v>90049</v>
      </c>
      <c r="B112" s="31" t="s">
        <v>136</v>
      </c>
      <c r="C112" s="2" t="str">
        <f>_xlfn.XLOOKUP(B112,线路DSP对应!A:A,线路DSP对应!B:B)</f>
        <v>STA_LAX_SOB</v>
      </c>
      <c r="D112" s="4" t="s">
        <v>145</v>
      </c>
      <c r="E112" s="2" t="str">
        <f>_xlfn.XLOOKUP(A112,转单情况!A:A,转单情况!B:B)</f>
        <v>否</v>
      </c>
      <c r="G112" s="28">
        <f>ROUND(_xlfn.XLOOKUP(A112,全量!A:A,全量!B:B,0)/7,1)</f>
        <v>11.9</v>
      </c>
      <c r="H112" s="2">
        <f>ROUND(_xlfn.XLOOKUP(A112,AE!A:A,AE!B:B,0)/7,1)</f>
        <v>9.4</v>
      </c>
      <c r="I112" s="2" t="str">
        <f>_xlfn.XLOOKUP(A112,SWFTX邮编覆盖!A:A,SWFTX邮编覆盖!B:B,"否")</f>
        <v>否</v>
      </c>
      <c r="J112" s="2" t="str">
        <f>_xlfn.XLOOKUP(A112,YW邮编覆盖!A:A,YW邮编覆盖!B:B,"否")</f>
        <v>否</v>
      </c>
    </row>
    <row r="113" spans="1:10" hidden="1">
      <c r="A113" s="30">
        <v>90077</v>
      </c>
      <c r="B113" s="31" t="s">
        <v>136</v>
      </c>
      <c r="C113" s="2" t="str">
        <f>_xlfn.XLOOKUP(B113,线路DSP对应!A:A,线路DSP对应!B:B)</f>
        <v>STA_LAX_SOB</v>
      </c>
      <c r="D113" s="4" t="s">
        <v>145</v>
      </c>
      <c r="E113" s="2" t="str">
        <f>_xlfn.XLOOKUP(A113,转单情况!A:A,转单情况!B:B)</f>
        <v>否</v>
      </c>
      <c r="G113" s="28">
        <f>ROUND(_xlfn.XLOOKUP(A113,全量!A:A,全量!B:B,0)/7,1)</f>
        <v>4.4000000000000004</v>
      </c>
      <c r="H113" s="2">
        <f>ROUND(_xlfn.XLOOKUP(A113,AE!A:A,AE!B:B,0)/7,1)</f>
        <v>2.9</v>
      </c>
      <c r="I113" s="2" t="str">
        <f>_xlfn.XLOOKUP(A113,SWFTX邮编覆盖!A:A,SWFTX邮编覆盖!B:B,"否")</f>
        <v>否</v>
      </c>
      <c r="J113" s="2" t="str">
        <f>_xlfn.XLOOKUP(A113,YW邮编覆盖!A:A,YW邮编覆盖!B:B,"否")</f>
        <v>否</v>
      </c>
    </row>
    <row r="114" spans="1:10" hidden="1">
      <c r="A114" s="3">
        <v>91618</v>
      </c>
      <c r="B114" s="1" t="s">
        <v>162</v>
      </c>
      <c r="C114" s="2" t="e">
        <f>_xlfn.XLOOKUP(B114,线路DSP对应!A:A,线路DSP对应!B:B)</f>
        <v>#N/A</v>
      </c>
      <c r="D114" s="4" t="s">
        <v>145</v>
      </c>
      <c r="E114" s="2" t="e">
        <f>_xlfn.XLOOKUP(A114,转单情况!A:A,转单情况!B:B)</f>
        <v>#N/A</v>
      </c>
      <c r="G114" s="28">
        <f>ROUND(_xlfn.XLOOKUP(A114,全量!A:A,全量!B:B,0)/7,1)</f>
        <v>0</v>
      </c>
      <c r="H114" s="2">
        <f>ROUND(_xlfn.XLOOKUP(A114,AE!A:A,AE!B:B,0)/7,1)</f>
        <v>0</v>
      </c>
      <c r="I114" s="2" t="str">
        <f>_xlfn.XLOOKUP(A114,SWFTX邮编覆盖!A:A,SWFTX邮编覆盖!B:B,"否")</f>
        <v>否</v>
      </c>
      <c r="J114" s="2" t="str">
        <f>_xlfn.XLOOKUP(A114,YW邮编覆盖!A:A,YW邮编覆盖!B:B,"否")</f>
        <v>否</v>
      </c>
    </row>
    <row r="115" spans="1:10" hidden="1">
      <c r="A115" s="30">
        <v>91615</v>
      </c>
      <c r="B115" s="1" t="s">
        <v>162</v>
      </c>
      <c r="C115" s="2" t="e">
        <f>_xlfn.XLOOKUP(B115,线路DSP对应!A:A,线路DSP对应!B:B)</f>
        <v>#N/A</v>
      </c>
      <c r="D115" s="4" t="s">
        <v>145</v>
      </c>
      <c r="E115" s="2" t="e">
        <f>_xlfn.XLOOKUP(A115,转单情况!A:A,转单情况!B:B)</f>
        <v>#N/A</v>
      </c>
      <c r="G115" s="28">
        <f>ROUND(_xlfn.XLOOKUP(A115,全量!A:A,全量!B:B,0)/7,1)</f>
        <v>0</v>
      </c>
      <c r="H115" s="2">
        <f>ROUND(_xlfn.XLOOKUP(A115,AE!A:A,AE!B:B,0)/7,1)</f>
        <v>0</v>
      </c>
      <c r="I115" s="2" t="str">
        <f>_xlfn.XLOOKUP(A115,SWFTX邮编覆盖!A:A,SWFTX邮编覆盖!B:B,"否")</f>
        <v>否</v>
      </c>
      <c r="J115" s="2" t="str">
        <f>_xlfn.XLOOKUP(A115,YW邮编覆盖!A:A,YW邮编覆盖!B:B,"否")</f>
        <v>否</v>
      </c>
    </row>
    <row r="116" spans="1:10" hidden="1">
      <c r="A116" s="30">
        <v>91616</v>
      </c>
      <c r="B116" s="1" t="s">
        <v>162</v>
      </c>
      <c r="C116" s="2" t="e">
        <f>_xlfn.XLOOKUP(B116,线路DSP对应!A:A,线路DSP对应!B:B)</f>
        <v>#N/A</v>
      </c>
      <c r="D116" s="4" t="s">
        <v>145</v>
      </c>
      <c r="E116" s="2" t="e">
        <f>_xlfn.XLOOKUP(A116,转单情况!A:A,转单情况!B:B)</f>
        <v>#N/A</v>
      </c>
      <c r="G116" s="28">
        <f>ROUND(_xlfn.XLOOKUP(A116,全量!A:A,全量!B:B,0)/7,1)</f>
        <v>0</v>
      </c>
      <c r="H116" s="2">
        <f>ROUND(_xlfn.XLOOKUP(A116,AE!A:A,AE!B:B,0)/7,1)</f>
        <v>0</v>
      </c>
      <c r="I116" s="2" t="str">
        <f>_xlfn.XLOOKUP(A116,SWFTX邮编覆盖!A:A,SWFTX邮编覆盖!B:B,"否")</f>
        <v>否</v>
      </c>
      <c r="J116" s="2" t="str">
        <f>_xlfn.XLOOKUP(A116,YW邮编覆盖!A:A,YW邮编覆盖!B:B,"否")</f>
        <v>否</v>
      </c>
    </row>
    <row r="117" spans="1:10" hidden="1">
      <c r="A117" s="30">
        <v>91609</v>
      </c>
      <c r="B117" s="1" t="s">
        <v>162</v>
      </c>
      <c r="C117" s="2" t="e">
        <f>_xlfn.XLOOKUP(B117,线路DSP对应!A:A,线路DSP对应!B:B)</f>
        <v>#N/A</v>
      </c>
      <c r="D117" s="4" t="s">
        <v>145</v>
      </c>
      <c r="E117" s="2" t="e">
        <f>_xlfn.XLOOKUP(A117,转单情况!A:A,转单情况!B:B)</f>
        <v>#N/A</v>
      </c>
      <c r="G117" s="28">
        <f>ROUND(_xlfn.XLOOKUP(A117,全量!A:A,全量!B:B,0)/7,1)</f>
        <v>0</v>
      </c>
      <c r="H117" s="2">
        <f>ROUND(_xlfn.XLOOKUP(A117,AE!A:A,AE!B:B,0)/7,1)</f>
        <v>0</v>
      </c>
      <c r="I117" s="2" t="str">
        <f>_xlfn.XLOOKUP(A117,SWFTX邮编覆盖!A:A,SWFTX邮编覆盖!B:B,"否")</f>
        <v>否</v>
      </c>
      <c r="J117" s="2" t="str">
        <f>_xlfn.XLOOKUP(A117,YW邮编覆盖!A:A,YW邮编覆盖!B:B,"否")</f>
        <v>否</v>
      </c>
    </row>
    <row r="118" spans="1:10" hidden="1">
      <c r="A118" s="30">
        <v>91603</v>
      </c>
      <c r="B118" s="1" t="s">
        <v>162</v>
      </c>
      <c r="C118" s="2" t="e">
        <f>_xlfn.XLOOKUP(B118,线路DSP对应!A:A,线路DSP对应!B:B)</f>
        <v>#N/A</v>
      </c>
      <c r="D118" s="4" t="s">
        <v>145</v>
      </c>
      <c r="E118" s="2" t="e">
        <f>_xlfn.XLOOKUP(A118,转单情况!A:A,转单情况!B:B)</f>
        <v>#N/A</v>
      </c>
      <c r="G118" s="28">
        <f>ROUND(_xlfn.XLOOKUP(A118,全量!A:A,全量!B:B,0)/7,1)</f>
        <v>0</v>
      </c>
      <c r="H118" s="2">
        <f>ROUND(_xlfn.XLOOKUP(A118,AE!A:A,AE!B:B,0)/7,1)</f>
        <v>0</v>
      </c>
      <c r="I118" s="2" t="str">
        <f>_xlfn.XLOOKUP(A118,SWFTX邮编覆盖!A:A,SWFTX邮编覆盖!B:B,"否")</f>
        <v>否</v>
      </c>
      <c r="J118" s="2" t="str">
        <f>_xlfn.XLOOKUP(A118,YW邮编覆盖!A:A,YW邮编覆盖!B:B,"否")</f>
        <v>否</v>
      </c>
    </row>
    <row r="119" spans="1:10" hidden="1">
      <c r="A119" s="30">
        <v>91610</v>
      </c>
      <c r="B119" s="1" t="s">
        <v>162</v>
      </c>
      <c r="C119" s="2" t="e">
        <f>_xlfn.XLOOKUP(B119,线路DSP对应!A:A,线路DSP对应!B:B)</f>
        <v>#N/A</v>
      </c>
      <c r="D119" s="4" t="s">
        <v>145</v>
      </c>
      <c r="E119" s="2" t="e">
        <f>_xlfn.XLOOKUP(A119,转单情况!A:A,转单情况!B:B)</f>
        <v>#N/A</v>
      </c>
      <c r="G119" s="28">
        <f>ROUND(_xlfn.XLOOKUP(A119,全量!A:A,全量!B:B,0)/7,1)</f>
        <v>0</v>
      </c>
      <c r="H119" s="2">
        <f>ROUND(_xlfn.XLOOKUP(A119,AE!A:A,AE!B:B,0)/7,1)</f>
        <v>0</v>
      </c>
      <c r="I119" s="2" t="str">
        <f>_xlfn.XLOOKUP(A119,SWFTX邮编覆盖!A:A,SWFTX邮编覆盖!B:B,"否")</f>
        <v>否</v>
      </c>
      <c r="J119" s="2" t="str">
        <f>_xlfn.XLOOKUP(A119,YW邮编覆盖!A:A,YW邮编覆盖!B:B,"否")</f>
        <v>否</v>
      </c>
    </row>
    <row r="120" spans="1:10" hidden="1">
      <c r="A120" s="30">
        <v>91614</v>
      </c>
      <c r="B120" s="1" t="s">
        <v>162</v>
      </c>
      <c r="C120" s="2" t="e">
        <f>_xlfn.XLOOKUP(B120,线路DSP对应!A:A,线路DSP对应!B:B)</f>
        <v>#N/A</v>
      </c>
      <c r="D120" s="4" t="s">
        <v>145</v>
      </c>
      <c r="E120" s="2" t="e">
        <f>_xlfn.XLOOKUP(A120,转单情况!A:A,转单情况!B:B)</f>
        <v>#N/A</v>
      </c>
      <c r="G120" s="28">
        <f>ROUND(_xlfn.XLOOKUP(A120,全量!A:A,全量!B:B,0)/7,1)</f>
        <v>0</v>
      </c>
      <c r="H120" s="2">
        <f>ROUND(_xlfn.XLOOKUP(A120,AE!A:A,AE!B:B,0)/7,1)</f>
        <v>0</v>
      </c>
      <c r="I120" s="2" t="str">
        <f>_xlfn.XLOOKUP(A120,SWFTX邮编覆盖!A:A,SWFTX邮编覆盖!B:B,"否")</f>
        <v>否</v>
      </c>
      <c r="J120" s="2" t="str">
        <f>_xlfn.XLOOKUP(A120,YW邮编覆盖!A:A,YW邮编覆盖!B:B,"否")</f>
        <v>否</v>
      </c>
    </row>
    <row r="121" spans="1:10" hidden="1">
      <c r="A121" s="30">
        <v>91617</v>
      </c>
      <c r="B121" s="1" t="s">
        <v>162</v>
      </c>
      <c r="C121" s="2" t="e">
        <f>_xlfn.XLOOKUP(B121,线路DSP对应!A:A,线路DSP对应!B:B)</f>
        <v>#N/A</v>
      </c>
      <c r="D121" s="4" t="s">
        <v>145</v>
      </c>
      <c r="E121" s="2" t="e">
        <f>_xlfn.XLOOKUP(A121,转单情况!A:A,转单情况!B:B)</f>
        <v>#N/A</v>
      </c>
      <c r="G121" s="28">
        <f>ROUND(_xlfn.XLOOKUP(A121,全量!A:A,全量!B:B,0)/7,1)</f>
        <v>0</v>
      </c>
      <c r="H121" s="2">
        <f>ROUND(_xlfn.XLOOKUP(A121,AE!A:A,AE!B:B,0)/7,1)</f>
        <v>0</v>
      </c>
      <c r="I121" s="2" t="str">
        <f>_xlfn.XLOOKUP(A121,SWFTX邮编覆盖!A:A,SWFTX邮编覆盖!B:B,"否")</f>
        <v>否</v>
      </c>
      <c r="J121" s="2" t="str">
        <f>_xlfn.XLOOKUP(A121,YW邮编覆盖!A:A,YW邮编覆盖!B:B,"否")</f>
        <v>否</v>
      </c>
    </row>
    <row r="122" spans="1:10" hidden="1">
      <c r="A122" s="3">
        <v>91499</v>
      </c>
      <c r="B122" s="1" t="s">
        <v>162</v>
      </c>
      <c r="C122" s="2" t="e">
        <f>_xlfn.XLOOKUP(B122,线路DSP对应!A:A,线路DSP对应!B:B)</f>
        <v>#N/A</v>
      </c>
      <c r="D122" s="4" t="s">
        <v>145</v>
      </c>
      <c r="E122" s="2" t="e">
        <f>_xlfn.XLOOKUP(A122,转单情况!A:A,转单情况!B:B)</f>
        <v>#N/A</v>
      </c>
      <c r="G122" s="28">
        <f>ROUND(_xlfn.XLOOKUP(A122,全量!A:A,全量!B:B,0)/7,1)</f>
        <v>0</v>
      </c>
      <c r="H122" s="2">
        <f>ROUND(_xlfn.XLOOKUP(A122,AE!A:A,AE!B:B,0)/7,1)</f>
        <v>0</v>
      </c>
      <c r="I122" s="2" t="str">
        <f>_xlfn.XLOOKUP(A122,SWFTX邮编覆盖!A:A,SWFTX邮编覆盖!B:B,"否")</f>
        <v>否</v>
      </c>
      <c r="J122" s="2" t="str">
        <f>_xlfn.XLOOKUP(A122,YW邮编覆盖!A:A,YW邮编覆盖!B:B,"否")</f>
        <v>否</v>
      </c>
    </row>
    <row r="123" spans="1:10" hidden="1">
      <c r="A123" s="3">
        <v>91407</v>
      </c>
      <c r="B123" s="1" t="s">
        <v>162</v>
      </c>
      <c r="C123" s="2" t="e">
        <f>_xlfn.XLOOKUP(B123,线路DSP对应!A:A,线路DSP对应!B:B)</f>
        <v>#N/A</v>
      </c>
      <c r="D123" s="4" t="s">
        <v>145</v>
      </c>
      <c r="E123" s="2" t="e">
        <f>_xlfn.XLOOKUP(A123,转单情况!A:A,转单情况!B:B)</f>
        <v>#N/A</v>
      </c>
      <c r="G123" s="28">
        <f>ROUND(_xlfn.XLOOKUP(A123,全量!A:A,全量!B:B,0)/7,1)</f>
        <v>0</v>
      </c>
      <c r="H123" s="2">
        <f>ROUND(_xlfn.XLOOKUP(A123,AE!A:A,AE!B:B,0)/7,1)</f>
        <v>0</v>
      </c>
      <c r="I123" s="2" t="str">
        <f>_xlfn.XLOOKUP(A123,SWFTX邮编覆盖!A:A,SWFTX邮编覆盖!B:B,"否")</f>
        <v>否</v>
      </c>
      <c r="J123" s="2" t="str">
        <f>_xlfn.XLOOKUP(A123,YW邮编覆盖!A:A,YW邮编覆盖!B:B,"否")</f>
        <v>否</v>
      </c>
    </row>
    <row r="124" spans="1:10" hidden="1">
      <c r="A124" s="3">
        <v>91408</v>
      </c>
      <c r="B124" s="1" t="s">
        <v>162</v>
      </c>
      <c r="C124" s="2" t="e">
        <f>_xlfn.XLOOKUP(B124,线路DSP对应!A:A,线路DSP对应!B:B)</f>
        <v>#N/A</v>
      </c>
      <c r="D124" s="4" t="s">
        <v>145</v>
      </c>
      <c r="E124" s="2" t="e">
        <f>_xlfn.XLOOKUP(A124,转单情况!A:A,转单情况!B:B)</f>
        <v>#N/A</v>
      </c>
      <c r="G124" s="28">
        <f>ROUND(_xlfn.XLOOKUP(A124,全量!A:A,全量!B:B,0)/7,1)</f>
        <v>0</v>
      </c>
      <c r="H124" s="2">
        <f>ROUND(_xlfn.XLOOKUP(A124,AE!A:A,AE!B:B,0)/7,1)</f>
        <v>0</v>
      </c>
      <c r="I124" s="2" t="str">
        <f>_xlfn.XLOOKUP(A124,SWFTX邮编覆盖!A:A,SWFTX邮编覆盖!B:B,"否")</f>
        <v>否</v>
      </c>
      <c r="J124" s="2" t="str">
        <f>_xlfn.XLOOKUP(A124,YW邮编覆盖!A:A,YW邮编覆盖!B:B,"否")</f>
        <v>否</v>
      </c>
    </row>
    <row r="125" spans="1:10" hidden="1">
      <c r="A125" s="3">
        <v>91404</v>
      </c>
      <c r="B125" s="1" t="s">
        <v>162</v>
      </c>
      <c r="C125" s="2" t="e">
        <f>_xlfn.XLOOKUP(B125,线路DSP对应!A:A,线路DSP对应!B:B)</f>
        <v>#N/A</v>
      </c>
      <c r="D125" s="4" t="s">
        <v>145</v>
      </c>
      <c r="E125" s="2" t="e">
        <f>_xlfn.XLOOKUP(A125,转单情况!A:A,转单情况!B:B)</f>
        <v>#N/A</v>
      </c>
      <c r="G125" s="28">
        <f>ROUND(_xlfn.XLOOKUP(A125,全量!A:A,全量!B:B,0)/7,1)</f>
        <v>0</v>
      </c>
      <c r="H125" s="2">
        <f>ROUND(_xlfn.XLOOKUP(A125,AE!A:A,AE!B:B,0)/7,1)</f>
        <v>0</v>
      </c>
      <c r="I125" s="2" t="str">
        <f>_xlfn.XLOOKUP(A125,SWFTX邮编覆盖!A:A,SWFTX邮编覆盖!B:B,"否")</f>
        <v>否</v>
      </c>
      <c r="J125" s="2" t="str">
        <f>_xlfn.XLOOKUP(A125,YW邮编覆盖!A:A,YW邮编覆盖!B:B,"否")</f>
        <v>否</v>
      </c>
    </row>
    <row r="126" spans="1:10" hidden="1">
      <c r="A126" s="3">
        <v>91412</v>
      </c>
      <c r="B126" s="1" t="s">
        <v>162</v>
      </c>
      <c r="C126" s="2" t="e">
        <f>_xlfn.XLOOKUP(B126,线路DSP对应!A:A,线路DSP对应!B:B)</f>
        <v>#N/A</v>
      </c>
      <c r="D126" s="4" t="s">
        <v>145</v>
      </c>
      <c r="E126" s="2" t="e">
        <f>_xlfn.XLOOKUP(A126,转单情况!A:A,转单情况!B:B)</f>
        <v>#N/A</v>
      </c>
      <c r="G126" s="28">
        <f>ROUND(_xlfn.XLOOKUP(A126,全量!A:A,全量!B:B,0)/7,1)</f>
        <v>0</v>
      </c>
      <c r="H126" s="2">
        <f>ROUND(_xlfn.XLOOKUP(A126,AE!A:A,AE!B:B,0)/7,1)</f>
        <v>0</v>
      </c>
      <c r="I126" s="2" t="str">
        <f>_xlfn.XLOOKUP(A126,SWFTX邮编覆盖!A:A,SWFTX邮编覆盖!B:B,"否")</f>
        <v>否</v>
      </c>
      <c r="J126" s="2" t="str">
        <f>_xlfn.XLOOKUP(A126,YW邮编覆盖!A:A,YW邮编覆盖!B:B,"否")</f>
        <v>否</v>
      </c>
    </row>
    <row r="127" spans="1:10" hidden="1">
      <c r="A127" s="3">
        <v>91416</v>
      </c>
      <c r="B127" s="1" t="s">
        <v>162</v>
      </c>
      <c r="C127" s="2" t="e">
        <f>_xlfn.XLOOKUP(B127,线路DSP对应!A:A,线路DSP对应!B:B)</f>
        <v>#N/A</v>
      </c>
      <c r="D127" s="4" t="s">
        <v>145</v>
      </c>
      <c r="E127" s="2" t="e">
        <f>_xlfn.XLOOKUP(A127,转单情况!A:A,转单情况!B:B)</f>
        <v>#N/A</v>
      </c>
      <c r="G127" s="28">
        <f>ROUND(_xlfn.XLOOKUP(A127,全量!A:A,全量!B:B,0)/7,1)</f>
        <v>0</v>
      </c>
      <c r="H127" s="2">
        <f>ROUND(_xlfn.XLOOKUP(A127,AE!A:A,AE!B:B,0)/7,1)</f>
        <v>0</v>
      </c>
      <c r="I127" s="2" t="str">
        <f>_xlfn.XLOOKUP(A127,SWFTX邮编覆盖!A:A,SWFTX邮编覆盖!B:B,"否")</f>
        <v>否</v>
      </c>
      <c r="J127" s="2" t="str">
        <f>_xlfn.XLOOKUP(A127,YW邮编覆盖!A:A,YW邮编覆盖!B:B,"否")</f>
        <v>否</v>
      </c>
    </row>
    <row r="128" spans="1:10" hidden="1">
      <c r="A128" s="3">
        <v>91426</v>
      </c>
      <c r="B128" s="1" t="s">
        <v>162</v>
      </c>
      <c r="C128" s="2" t="e">
        <f>_xlfn.XLOOKUP(B128,线路DSP对应!A:A,线路DSP对应!B:B)</f>
        <v>#N/A</v>
      </c>
      <c r="D128" s="4" t="s">
        <v>145</v>
      </c>
      <c r="E128" s="2" t="e">
        <f>_xlfn.XLOOKUP(A128,转单情况!A:A,转单情况!B:B)</f>
        <v>#N/A</v>
      </c>
      <c r="G128" s="28">
        <f>ROUND(_xlfn.XLOOKUP(A128,全量!A:A,全量!B:B,0)/7,1)</f>
        <v>0</v>
      </c>
      <c r="H128" s="2">
        <f>ROUND(_xlfn.XLOOKUP(A128,AE!A:A,AE!B:B,0)/7,1)</f>
        <v>0</v>
      </c>
      <c r="I128" s="2" t="str">
        <f>_xlfn.XLOOKUP(A128,SWFTX邮编覆盖!A:A,SWFTX邮编覆盖!B:B,"否")</f>
        <v>否</v>
      </c>
      <c r="J128" s="2" t="str">
        <f>_xlfn.XLOOKUP(A128,YW邮编覆盖!A:A,YW邮编覆盖!B:B,"否")</f>
        <v>否</v>
      </c>
    </row>
    <row r="129" spans="1:10" hidden="1">
      <c r="A129" s="3">
        <v>91413</v>
      </c>
      <c r="B129" s="1" t="s">
        <v>162</v>
      </c>
      <c r="C129" s="2" t="e">
        <f>_xlfn.XLOOKUP(B129,线路DSP对应!A:A,线路DSP对应!B:B)</f>
        <v>#N/A</v>
      </c>
      <c r="D129" s="4" t="s">
        <v>145</v>
      </c>
      <c r="E129" s="2" t="e">
        <f>_xlfn.XLOOKUP(A129,转单情况!A:A,转单情况!B:B)</f>
        <v>#N/A</v>
      </c>
      <c r="G129" s="28">
        <f>ROUND(_xlfn.XLOOKUP(A129,全量!A:A,全量!B:B,0)/7,1)</f>
        <v>0</v>
      </c>
      <c r="H129" s="2">
        <f>ROUND(_xlfn.XLOOKUP(A129,AE!A:A,AE!B:B,0)/7,1)</f>
        <v>0</v>
      </c>
      <c r="I129" s="2" t="str">
        <f>_xlfn.XLOOKUP(A129,SWFTX邮编覆盖!A:A,SWFTX邮编覆盖!B:B,"否")</f>
        <v>否</v>
      </c>
      <c r="J129" s="2" t="str">
        <f>_xlfn.XLOOKUP(A129,YW邮编覆盖!A:A,YW邮编覆盖!B:B,"否")</f>
        <v>否</v>
      </c>
    </row>
    <row r="130" spans="1:10" hidden="1">
      <c r="A130" s="3">
        <v>91470</v>
      </c>
      <c r="B130" s="1" t="s">
        <v>162</v>
      </c>
      <c r="C130" s="2" t="e">
        <f>_xlfn.XLOOKUP(B130,线路DSP对应!A:A,线路DSP对应!B:B)</f>
        <v>#N/A</v>
      </c>
      <c r="D130" s="4" t="s">
        <v>145</v>
      </c>
      <c r="E130" s="2" t="e">
        <f>_xlfn.XLOOKUP(A130,转单情况!A:A,转单情况!B:B)</f>
        <v>#N/A</v>
      </c>
      <c r="G130" s="28">
        <f>ROUND(_xlfn.XLOOKUP(A130,全量!A:A,全量!B:B,0)/7,1)</f>
        <v>0</v>
      </c>
      <c r="H130" s="2">
        <f>ROUND(_xlfn.XLOOKUP(A130,AE!A:A,AE!B:B,0)/7,1)</f>
        <v>0</v>
      </c>
      <c r="I130" s="2" t="str">
        <f>_xlfn.XLOOKUP(A130,SWFTX邮编覆盖!A:A,SWFTX邮编覆盖!B:B,"否")</f>
        <v>否</v>
      </c>
      <c r="J130" s="2" t="str">
        <f>_xlfn.XLOOKUP(A130,YW邮编覆盖!A:A,YW邮编覆盖!B:B,"否")</f>
        <v>否</v>
      </c>
    </row>
    <row r="131" spans="1:10" hidden="1">
      <c r="A131" s="3">
        <v>91409</v>
      </c>
      <c r="B131" s="1" t="s">
        <v>162</v>
      </c>
      <c r="C131" s="2" t="e">
        <f>_xlfn.XLOOKUP(B131,线路DSP对应!A:A,线路DSP对应!B:B)</f>
        <v>#N/A</v>
      </c>
      <c r="D131" s="4" t="s">
        <v>145</v>
      </c>
      <c r="E131" s="2" t="e">
        <f>_xlfn.XLOOKUP(A131,转单情况!A:A,转单情况!B:B)</f>
        <v>#N/A</v>
      </c>
      <c r="G131" s="28">
        <f>ROUND(_xlfn.XLOOKUP(A131,全量!A:A,全量!B:B,0)/7,1)</f>
        <v>0</v>
      </c>
      <c r="H131" s="2">
        <f>ROUND(_xlfn.XLOOKUP(A131,AE!A:A,AE!B:B,0)/7,1)</f>
        <v>0</v>
      </c>
      <c r="I131" s="2" t="str">
        <f>_xlfn.XLOOKUP(A131,SWFTX邮编覆盖!A:A,SWFTX邮编覆盖!B:B,"否")</f>
        <v>否</v>
      </c>
      <c r="J131" s="2" t="str">
        <f>_xlfn.XLOOKUP(A131,YW邮编覆盖!A:A,YW邮编覆盖!B:B,"否")</f>
        <v>否</v>
      </c>
    </row>
    <row r="132" spans="1:10" hidden="1">
      <c r="A132" s="3">
        <v>91410</v>
      </c>
      <c r="B132" s="1" t="s">
        <v>162</v>
      </c>
      <c r="C132" s="2" t="e">
        <f>_xlfn.XLOOKUP(B132,线路DSP对应!A:A,线路DSP对应!B:B)</f>
        <v>#N/A</v>
      </c>
      <c r="D132" s="4" t="s">
        <v>145</v>
      </c>
      <c r="E132" s="2" t="e">
        <f>_xlfn.XLOOKUP(A132,转单情况!A:A,转单情况!B:B)</f>
        <v>#N/A</v>
      </c>
      <c r="G132" s="28">
        <f>ROUND(_xlfn.XLOOKUP(A132,全量!A:A,全量!B:B,0)/7,1)</f>
        <v>0</v>
      </c>
      <c r="H132" s="2">
        <f>ROUND(_xlfn.XLOOKUP(A132,AE!A:A,AE!B:B,0)/7,1)</f>
        <v>0</v>
      </c>
      <c r="I132" s="2" t="str">
        <f>_xlfn.XLOOKUP(A132,SWFTX邮编覆盖!A:A,SWFTX邮编覆盖!B:B,"否")</f>
        <v>否</v>
      </c>
      <c r="J132" s="2" t="str">
        <f>_xlfn.XLOOKUP(A132,YW邮编覆盖!A:A,YW邮编覆盖!B:B,"否")</f>
        <v>否</v>
      </c>
    </row>
    <row r="133" spans="1:10" hidden="1">
      <c r="A133" s="3">
        <v>91353</v>
      </c>
      <c r="B133" s="1" t="s">
        <v>162</v>
      </c>
      <c r="C133" s="2" t="e">
        <f>_xlfn.XLOOKUP(B133,线路DSP对应!A:A,线路DSP对应!B:B)</f>
        <v>#N/A</v>
      </c>
      <c r="D133" s="4" t="s">
        <v>145</v>
      </c>
      <c r="E133" s="2" t="e">
        <f>_xlfn.XLOOKUP(A133,转单情况!A:A,转单情况!B:B)</f>
        <v>#N/A</v>
      </c>
      <c r="G133" s="28">
        <f>ROUND(_xlfn.XLOOKUP(A133,全量!A:A,全量!B:B,0)/7,1)</f>
        <v>0</v>
      </c>
      <c r="H133" s="2">
        <f>ROUND(_xlfn.XLOOKUP(A133,AE!A:A,AE!B:B,0)/7,1)</f>
        <v>0</v>
      </c>
      <c r="I133" s="2" t="str">
        <f>_xlfn.XLOOKUP(A133,SWFTX邮编覆盖!A:A,SWFTX邮编覆盖!B:B,"否")</f>
        <v>否</v>
      </c>
      <c r="J133" s="2" t="str">
        <f>_xlfn.XLOOKUP(A133,YW邮编覆盖!A:A,YW邮编覆盖!B:B,"否")</f>
        <v>否</v>
      </c>
    </row>
    <row r="134" spans="1:10" hidden="1">
      <c r="A134" s="3">
        <v>91522</v>
      </c>
      <c r="B134" s="1" t="s">
        <v>162</v>
      </c>
      <c r="C134" s="2" t="e">
        <f>_xlfn.XLOOKUP(B134,线路DSP对应!A:A,线路DSP对应!B:B)</f>
        <v>#N/A</v>
      </c>
      <c r="D134" s="4" t="s">
        <v>145</v>
      </c>
      <c r="E134" s="2" t="e">
        <f>_xlfn.XLOOKUP(A134,转单情况!A:A,转单情况!B:B)</f>
        <v>#N/A</v>
      </c>
      <c r="G134" s="28">
        <f>ROUND(_xlfn.XLOOKUP(A134,全量!A:A,全量!B:B,0)/7,1)</f>
        <v>0</v>
      </c>
      <c r="H134" s="2">
        <f>ROUND(_xlfn.XLOOKUP(A134,AE!A:A,AE!B:B,0)/7,1)</f>
        <v>0</v>
      </c>
      <c r="I134" s="2" t="str">
        <f>_xlfn.XLOOKUP(A134,SWFTX邮编覆盖!A:A,SWFTX邮编覆盖!B:B,"否")</f>
        <v>否</v>
      </c>
      <c r="J134" s="2" t="str">
        <f>_xlfn.XLOOKUP(A134,YW邮编覆盖!A:A,YW邮编覆盖!B:B,"否")</f>
        <v>否</v>
      </c>
    </row>
    <row r="135" spans="1:10" hidden="1">
      <c r="A135" s="3">
        <v>91523</v>
      </c>
      <c r="B135" s="1" t="s">
        <v>162</v>
      </c>
      <c r="C135" s="2" t="e">
        <f>_xlfn.XLOOKUP(B135,线路DSP对应!A:A,线路DSP对应!B:B)</f>
        <v>#N/A</v>
      </c>
      <c r="D135" s="4" t="s">
        <v>145</v>
      </c>
      <c r="E135" s="2" t="e">
        <f>_xlfn.XLOOKUP(A135,转单情况!A:A,转单情况!B:B)</f>
        <v>#N/A</v>
      </c>
      <c r="G135" s="28">
        <f>ROUND(_xlfn.XLOOKUP(A135,全量!A:A,全量!B:B,0)/7,1)</f>
        <v>0</v>
      </c>
      <c r="H135" s="2">
        <f>ROUND(_xlfn.XLOOKUP(A135,AE!A:A,AE!B:B,0)/7,1)</f>
        <v>0</v>
      </c>
      <c r="I135" s="2" t="str">
        <f>_xlfn.XLOOKUP(A135,SWFTX邮编覆盖!A:A,SWFTX邮编覆盖!B:B,"否")</f>
        <v>否</v>
      </c>
      <c r="J135" s="2" t="str">
        <f>_xlfn.XLOOKUP(A135,YW邮编覆盖!A:A,YW邮编覆盖!B:B,"否")</f>
        <v>否</v>
      </c>
    </row>
    <row r="136" spans="1:10" hidden="1">
      <c r="A136" s="3">
        <v>91508</v>
      </c>
      <c r="B136" s="1" t="s">
        <v>162</v>
      </c>
      <c r="C136" s="2" t="e">
        <f>_xlfn.XLOOKUP(B136,线路DSP对应!A:A,线路DSP对应!B:B)</f>
        <v>#N/A</v>
      </c>
      <c r="D136" s="4" t="s">
        <v>145</v>
      </c>
      <c r="E136" s="2" t="e">
        <f>_xlfn.XLOOKUP(A136,转单情况!A:A,转单情况!B:B)</f>
        <v>#N/A</v>
      </c>
      <c r="G136" s="28">
        <f>ROUND(_xlfn.XLOOKUP(A136,全量!A:A,全量!B:B,0)/7,1)</f>
        <v>0</v>
      </c>
      <c r="H136" s="2">
        <f>ROUND(_xlfn.XLOOKUP(A136,AE!A:A,AE!B:B,0)/7,1)</f>
        <v>0</v>
      </c>
      <c r="I136" s="2" t="str">
        <f>_xlfn.XLOOKUP(A136,SWFTX邮编覆盖!A:A,SWFTX邮编覆盖!B:B,"否")</f>
        <v>否</v>
      </c>
      <c r="J136" s="2" t="str">
        <f>_xlfn.XLOOKUP(A136,YW邮编覆盖!A:A,YW邮编覆盖!B:B,"否")</f>
        <v>否</v>
      </c>
    </row>
    <row r="137" spans="1:10" hidden="1">
      <c r="A137" s="3">
        <v>91510</v>
      </c>
      <c r="B137" s="1" t="s">
        <v>162</v>
      </c>
      <c r="C137" s="2" t="e">
        <f>_xlfn.XLOOKUP(B137,线路DSP对应!A:A,线路DSP对应!B:B)</f>
        <v>#N/A</v>
      </c>
      <c r="D137" s="4" t="s">
        <v>145</v>
      </c>
      <c r="E137" s="2" t="e">
        <f>_xlfn.XLOOKUP(A137,转单情况!A:A,转单情况!B:B)</f>
        <v>#N/A</v>
      </c>
      <c r="G137" s="28">
        <f>ROUND(_xlfn.XLOOKUP(A137,全量!A:A,全量!B:B,0)/7,1)</f>
        <v>0</v>
      </c>
      <c r="H137" s="2">
        <f>ROUND(_xlfn.XLOOKUP(A137,AE!A:A,AE!B:B,0)/7,1)</f>
        <v>0</v>
      </c>
      <c r="I137" s="2" t="str">
        <f>_xlfn.XLOOKUP(A137,SWFTX邮编覆盖!A:A,SWFTX邮编覆盖!B:B,"否")</f>
        <v>否</v>
      </c>
      <c r="J137" s="2" t="str">
        <f>_xlfn.XLOOKUP(A137,YW邮编覆盖!A:A,YW邮编覆盖!B:B,"否")</f>
        <v>否</v>
      </c>
    </row>
    <row r="138" spans="1:10" hidden="1">
      <c r="A138" s="3">
        <v>91503</v>
      </c>
      <c r="B138" s="1" t="s">
        <v>162</v>
      </c>
      <c r="C138" s="2" t="e">
        <f>_xlfn.XLOOKUP(B138,线路DSP对应!A:A,线路DSP对应!B:B)</f>
        <v>#N/A</v>
      </c>
      <c r="D138" s="4" t="s">
        <v>145</v>
      </c>
      <c r="E138" s="2" t="e">
        <f>_xlfn.XLOOKUP(A138,转单情况!A:A,转单情况!B:B)</f>
        <v>#N/A</v>
      </c>
      <c r="G138" s="28">
        <f>ROUND(_xlfn.XLOOKUP(A138,全量!A:A,全量!B:B,0)/7,1)</f>
        <v>0</v>
      </c>
      <c r="H138" s="2">
        <f>ROUND(_xlfn.XLOOKUP(A138,AE!A:A,AE!B:B,0)/7,1)</f>
        <v>0</v>
      </c>
      <c r="I138" s="2" t="str">
        <f>_xlfn.XLOOKUP(A138,SWFTX邮编覆盖!A:A,SWFTX邮编覆盖!B:B,"否")</f>
        <v>否</v>
      </c>
      <c r="J138" s="2" t="str">
        <f>_xlfn.XLOOKUP(A138,YW邮编覆盖!A:A,YW邮编覆盖!B:B,"否")</f>
        <v>否</v>
      </c>
    </row>
    <row r="139" spans="1:10" hidden="1">
      <c r="A139" s="3">
        <v>91507</v>
      </c>
      <c r="B139" s="1" t="s">
        <v>162</v>
      </c>
      <c r="C139" s="2" t="e">
        <f>_xlfn.XLOOKUP(B139,线路DSP对应!A:A,线路DSP对应!B:B)</f>
        <v>#N/A</v>
      </c>
      <c r="D139" s="4" t="s">
        <v>145</v>
      </c>
      <c r="E139" s="2" t="e">
        <f>_xlfn.XLOOKUP(A139,转单情况!A:A,转单情况!B:B)</f>
        <v>#N/A</v>
      </c>
      <c r="G139" s="28">
        <f>ROUND(_xlfn.XLOOKUP(A139,全量!A:A,全量!B:B,0)/7,1)</f>
        <v>0</v>
      </c>
      <c r="H139" s="2">
        <f>ROUND(_xlfn.XLOOKUP(A139,AE!A:A,AE!B:B,0)/7,1)</f>
        <v>0</v>
      </c>
      <c r="I139" s="2" t="str">
        <f>_xlfn.XLOOKUP(A139,SWFTX邮编覆盖!A:A,SWFTX邮编覆盖!B:B,"否")</f>
        <v>否</v>
      </c>
      <c r="J139" s="2" t="str">
        <f>_xlfn.XLOOKUP(A139,YW邮编覆盖!A:A,YW邮编覆盖!B:B,"否")</f>
        <v>否</v>
      </c>
    </row>
    <row r="140" spans="1:10" hidden="1">
      <c r="A140" s="3">
        <v>91333</v>
      </c>
      <c r="B140" s="1" t="s">
        <v>162</v>
      </c>
      <c r="C140" s="2" t="e">
        <f>_xlfn.XLOOKUP(B140,线路DSP对应!A:A,线路DSP对应!B:B)</f>
        <v>#N/A</v>
      </c>
      <c r="D140" s="4" t="s">
        <v>145</v>
      </c>
      <c r="E140" s="2" t="e">
        <f>_xlfn.XLOOKUP(A140,转单情况!A:A,转单情况!B:B)</f>
        <v>#N/A</v>
      </c>
      <c r="G140" s="28">
        <f>ROUND(_xlfn.XLOOKUP(A140,全量!A:A,全量!B:B,0)/7,1)</f>
        <v>0</v>
      </c>
      <c r="H140" s="2">
        <f>ROUND(_xlfn.XLOOKUP(A140,AE!A:A,AE!B:B,0)/7,1)</f>
        <v>0</v>
      </c>
      <c r="I140" s="2" t="str">
        <f>_xlfn.XLOOKUP(A140,SWFTX邮编覆盖!A:A,SWFTX邮编覆盖!B:B,"否")</f>
        <v>否</v>
      </c>
      <c r="J140" s="2" t="str">
        <f>_xlfn.XLOOKUP(A140,YW邮编覆盖!A:A,YW邮编覆盖!B:B,"否")</f>
        <v>否</v>
      </c>
    </row>
    <row r="141" spans="1:10" hidden="1">
      <c r="A141" s="3">
        <v>91334</v>
      </c>
      <c r="B141" s="1" t="s">
        <v>162</v>
      </c>
      <c r="C141" s="2" t="e">
        <f>_xlfn.XLOOKUP(B141,线路DSP对应!A:A,线路DSP对应!B:B)</f>
        <v>#N/A</v>
      </c>
      <c r="D141" s="4" t="s">
        <v>145</v>
      </c>
      <c r="E141" s="2" t="e">
        <f>_xlfn.XLOOKUP(A141,转单情况!A:A,转单情况!B:B)</f>
        <v>#N/A</v>
      </c>
      <c r="G141" s="28">
        <f>ROUND(_xlfn.XLOOKUP(A141,全量!A:A,全量!B:B,0)/7,1)</f>
        <v>0</v>
      </c>
      <c r="H141" s="2">
        <f>ROUND(_xlfn.XLOOKUP(A141,AE!A:A,AE!B:B,0)/7,1)</f>
        <v>0</v>
      </c>
      <c r="I141" s="2" t="str">
        <f>_xlfn.XLOOKUP(A141,SWFTX邮编覆盖!A:A,SWFTX邮编覆盖!B:B,"否")</f>
        <v>否</v>
      </c>
      <c r="J141" s="2" t="str">
        <f>_xlfn.XLOOKUP(A141,YW邮编覆盖!A:A,YW邮编覆盖!B:B,"否")</f>
        <v>否</v>
      </c>
    </row>
    <row r="142" spans="1:10" hidden="1">
      <c r="A142" s="3">
        <v>91341</v>
      </c>
      <c r="B142" s="1" t="s">
        <v>162</v>
      </c>
      <c r="C142" s="2" t="e">
        <f>_xlfn.XLOOKUP(B142,线路DSP对应!A:A,线路DSP对应!B:B)</f>
        <v>#N/A</v>
      </c>
      <c r="D142" s="4" t="s">
        <v>145</v>
      </c>
      <c r="E142" s="2" t="e">
        <f>_xlfn.XLOOKUP(A142,转单情况!A:A,转单情况!B:B)</f>
        <v>#N/A</v>
      </c>
      <c r="G142" s="28">
        <f>ROUND(_xlfn.XLOOKUP(A142,全量!A:A,全量!B:B,0)/7,1)</f>
        <v>0</v>
      </c>
      <c r="H142" s="2">
        <f>ROUND(_xlfn.XLOOKUP(A142,AE!A:A,AE!B:B,0)/7,1)</f>
        <v>0</v>
      </c>
      <c r="I142" s="2" t="str">
        <f>_xlfn.XLOOKUP(A142,SWFTX邮编覆盖!A:A,SWFTX邮编覆盖!B:B,"否")</f>
        <v>否</v>
      </c>
      <c r="J142" s="2" t="str">
        <f>_xlfn.XLOOKUP(A142,YW邮编覆盖!A:A,YW邮编覆盖!B:B,"否")</f>
        <v>否</v>
      </c>
    </row>
    <row r="143" spans="1:10" hidden="1">
      <c r="A143" s="3">
        <v>91392</v>
      </c>
      <c r="B143" s="1" t="s">
        <v>162</v>
      </c>
      <c r="C143" s="2" t="e">
        <f>_xlfn.XLOOKUP(B143,线路DSP对应!A:A,线路DSP对应!B:B)</f>
        <v>#N/A</v>
      </c>
      <c r="D143" s="4" t="s">
        <v>145</v>
      </c>
      <c r="E143" s="2" t="e">
        <f>_xlfn.XLOOKUP(A143,转单情况!A:A,转单情况!B:B)</f>
        <v>#N/A</v>
      </c>
      <c r="G143" s="28">
        <f>ROUND(_xlfn.XLOOKUP(A143,全量!A:A,全量!B:B,0)/7,1)</f>
        <v>0</v>
      </c>
      <c r="H143" s="2">
        <f>ROUND(_xlfn.XLOOKUP(A143,AE!A:A,AE!B:B,0)/7,1)</f>
        <v>0</v>
      </c>
      <c r="I143" s="2" t="str">
        <f>_xlfn.XLOOKUP(A143,SWFTX邮编覆盖!A:A,SWFTX邮编覆盖!B:B,"否")</f>
        <v>否</v>
      </c>
      <c r="J143" s="2" t="str">
        <f>_xlfn.XLOOKUP(A143,YW邮编覆盖!A:A,YW邮编覆盖!B:B,"否")</f>
        <v>否</v>
      </c>
    </row>
    <row r="144" spans="1:10" hidden="1">
      <c r="A144" s="3">
        <v>91346</v>
      </c>
      <c r="B144" s="1" t="s">
        <v>162</v>
      </c>
      <c r="C144" s="2" t="e">
        <f>_xlfn.XLOOKUP(B144,线路DSP对应!A:A,线路DSP对应!B:B)</f>
        <v>#N/A</v>
      </c>
      <c r="D144" s="4" t="s">
        <v>145</v>
      </c>
      <c r="E144" s="2" t="e">
        <f>_xlfn.XLOOKUP(A144,转单情况!A:A,转单情况!B:B)</f>
        <v>#N/A</v>
      </c>
      <c r="G144" s="28">
        <f>ROUND(_xlfn.XLOOKUP(A144,全量!A:A,全量!B:B,0)/7,1)</f>
        <v>0</v>
      </c>
      <c r="H144" s="2">
        <f>ROUND(_xlfn.XLOOKUP(A144,AE!A:A,AE!B:B,0)/7,1)</f>
        <v>0</v>
      </c>
      <c r="I144" s="2" t="str">
        <f>_xlfn.XLOOKUP(A144,SWFTX邮编覆盖!A:A,SWFTX邮编覆盖!B:B,"否")</f>
        <v>否</v>
      </c>
      <c r="J144" s="2" t="str">
        <f>_xlfn.XLOOKUP(A144,YW邮编覆盖!A:A,YW邮编覆盖!B:B,"否")</f>
        <v>否</v>
      </c>
    </row>
    <row r="145" spans="1:10" hidden="1">
      <c r="A145" s="3">
        <v>91395</v>
      </c>
      <c r="B145" s="1" t="s">
        <v>162</v>
      </c>
      <c r="C145" s="2" t="e">
        <f>_xlfn.XLOOKUP(B145,线路DSP对应!A:A,线路DSP对应!B:B)</f>
        <v>#N/A</v>
      </c>
      <c r="D145" s="4" t="s">
        <v>145</v>
      </c>
      <c r="E145" s="2" t="e">
        <f>_xlfn.XLOOKUP(A145,转单情况!A:A,转单情况!B:B)</f>
        <v>#N/A</v>
      </c>
      <c r="G145" s="28">
        <f>ROUND(_xlfn.XLOOKUP(A145,全量!A:A,全量!B:B,0)/7,1)</f>
        <v>0</v>
      </c>
      <c r="H145" s="2">
        <f>ROUND(_xlfn.XLOOKUP(A145,AE!A:A,AE!B:B,0)/7,1)</f>
        <v>0</v>
      </c>
      <c r="I145" s="2" t="str">
        <f>_xlfn.XLOOKUP(A145,SWFTX邮编覆盖!A:A,SWFTX邮编覆盖!B:B,"否")</f>
        <v>否</v>
      </c>
      <c r="J145" s="2" t="str">
        <f>_xlfn.XLOOKUP(A145,YW邮编覆盖!A:A,YW邮编覆盖!B:B,"否")</f>
        <v>否</v>
      </c>
    </row>
    <row r="146" spans="1:10" hidden="1">
      <c r="A146" s="3">
        <v>91394</v>
      </c>
      <c r="B146" s="1" t="s">
        <v>162</v>
      </c>
      <c r="C146" s="2" t="e">
        <f>_xlfn.XLOOKUP(B146,线路DSP对应!A:A,线路DSP对应!B:B)</f>
        <v>#N/A</v>
      </c>
      <c r="D146" s="4" t="s">
        <v>145</v>
      </c>
      <c r="E146" s="2" t="e">
        <f>_xlfn.XLOOKUP(A146,转单情况!A:A,转单情况!B:B)</f>
        <v>#N/A</v>
      </c>
      <c r="G146" s="28">
        <f>ROUND(_xlfn.XLOOKUP(A146,全量!A:A,全量!B:B,0)/7,1)</f>
        <v>0</v>
      </c>
      <c r="H146" s="2">
        <f>ROUND(_xlfn.XLOOKUP(A146,AE!A:A,AE!B:B,0)/7,1)</f>
        <v>0</v>
      </c>
      <c r="I146" s="2" t="str">
        <f>_xlfn.XLOOKUP(A146,SWFTX邮编覆盖!A:A,SWFTX邮编覆盖!B:B,"否")</f>
        <v>否</v>
      </c>
      <c r="J146" s="2" t="str">
        <f>_xlfn.XLOOKUP(A146,YW邮编覆盖!A:A,YW邮编覆盖!B:B,"否")</f>
        <v>否</v>
      </c>
    </row>
    <row r="147" spans="1:10" hidden="1">
      <c r="A147" s="3">
        <v>91393</v>
      </c>
      <c r="B147" s="1" t="s">
        <v>162</v>
      </c>
      <c r="C147" s="2" t="e">
        <f>_xlfn.XLOOKUP(B147,线路DSP对应!A:A,线路DSP对应!B:B)</f>
        <v>#N/A</v>
      </c>
      <c r="D147" s="4" t="s">
        <v>145</v>
      </c>
      <c r="E147" s="2" t="e">
        <f>_xlfn.XLOOKUP(A147,转单情况!A:A,转单情况!B:B)</f>
        <v>#N/A</v>
      </c>
      <c r="G147" s="28">
        <f>ROUND(_xlfn.XLOOKUP(A147,全量!A:A,全量!B:B,0)/7,1)</f>
        <v>0</v>
      </c>
      <c r="H147" s="2">
        <f>ROUND(_xlfn.XLOOKUP(A147,AE!A:A,AE!B:B,0)/7,1)</f>
        <v>0</v>
      </c>
      <c r="I147" s="2" t="str">
        <f>_xlfn.XLOOKUP(A147,SWFTX邮编覆盖!A:A,SWFTX邮编覆盖!B:B,"否")</f>
        <v>否</v>
      </c>
      <c r="J147" s="2" t="str">
        <f>_xlfn.XLOOKUP(A147,YW邮编覆盖!A:A,YW邮编覆盖!B:B,"否")</f>
        <v>否</v>
      </c>
    </row>
    <row r="148" spans="1:10" hidden="1">
      <c r="A148" s="3">
        <v>91327</v>
      </c>
      <c r="B148" s="1" t="s">
        <v>162</v>
      </c>
      <c r="C148" s="2" t="e">
        <f>_xlfn.XLOOKUP(B148,线路DSP对应!A:A,线路DSP对应!B:B)</f>
        <v>#N/A</v>
      </c>
      <c r="D148" s="4" t="s">
        <v>145</v>
      </c>
      <c r="E148" s="2" t="e">
        <f>_xlfn.XLOOKUP(A148,转单情况!A:A,转单情况!B:B)</f>
        <v>#N/A</v>
      </c>
      <c r="G148" s="28">
        <f>ROUND(_xlfn.XLOOKUP(A148,全量!A:A,全量!B:B,0)/7,1)</f>
        <v>0</v>
      </c>
      <c r="H148" s="2">
        <f>ROUND(_xlfn.XLOOKUP(A148,AE!A:A,AE!B:B,0)/7,1)</f>
        <v>0</v>
      </c>
      <c r="I148" s="2" t="str">
        <f>_xlfn.XLOOKUP(A148,SWFTX邮编覆盖!A:A,SWFTX邮编覆盖!B:B,"否")</f>
        <v>否</v>
      </c>
      <c r="J148" s="2" t="str">
        <f>_xlfn.XLOOKUP(A148,YW邮编覆盖!A:A,YW邮编覆盖!B:B,"否")</f>
        <v>否</v>
      </c>
    </row>
    <row r="149" spans="1:10" hidden="1">
      <c r="A149" s="3">
        <v>91328</v>
      </c>
      <c r="B149" s="1" t="s">
        <v>162</v>
      </c>
      <c r="C149" s="2" t="e">
        <f>_xlfn.XLOOKUP(B149,线路DSP对应!A:A,线路DSP对应!B:B)</f>
        <v>#N/A</v>
      </c>
      <c r="D149" s="4" t="s">
        <v>145</v>
      </c>
      <c r="E149" s="2" t="e">
        <f>_xlfn.XLOOKUP(A149,转单情况!A:A,转单情况!B:B)</f>
        <v>#N/A</v>
      </c>
      <c r="G149" s="28">
        <f>ROUND(_xlfn.XLOOKUP(A149,全量!A:A,全量!B:B,0)/7,1)</f>
        <v>0</v>
      </c>
      <c r="H149" s="2">
        <f>ROUND(_xlfn.XLOOKUP(A149,AE!A:A,AE!B:B,0)/7,1)</f>
        <v>0</v>
      </c>
      <c r="I149" s="2" t="str">
        <f>_xlfn.XLOOKUP(A149,SWFTX邮编覆盖!A:A,SWFTX邮编覆盖!B:B,"否")</f>
        <v>否</v>
      </c>
      <c r="J149" s="2" t="str">
        <f>_xlfn.XLOOKUP(A149,YW邮编覆盖!A:A,YW邮编覆盖!B:B,"否")</f>
        <v>否</v>
      </c>
    </row>
    <row r="150" spans="1:10" hidden="1">
      <c r="A150" s="3">
        <v>91313</v>
      </c>
      <c r="B150" s="1" t="s">
        <v>162</v>
      </c>
      <c r="C150" s="2" t="e">
        <f>_xlfn.XLOOKUP(B150,线路DSP对应!A:A,线路DSP对应!B:B)</f>
        <v>#N/A</v>
      </c>
      <c r="D150" s="4" t="s">
        <v>145</v>
      </c>
      <c r="E150" s="2" t="e">
        <f>_xlfn.XLOOKUP(A150,转单情况!A:A,转单情况!B:B)</f>
        <v>#N/A</v>
      </c>
      <c r="G150" s="28">
        <f>ROUND(_xlfn.XLOOKUP(A150,全量!A:A,全量!B:B,0)/7,1)</f>
        <v>0</v>
      </c>
      <c r="H150" s="2">
        <f>ROUND(_xlfn.XLOOKUP(A150,AE!A:A,AE!B:B,0)/7,1)</f>
        <v>0</v>
      </c>
      <c r="I150" s="2" t="str">
        <f>_xlfn.XLOOKUP(A150,SWFTX邮编覆盖!A:A,SWFTX邮编覆盖!B:B,"否")</f>
        <v>否</v>
      </c>
      <c r="J150" s="2" t="str">
        <f>_xlfn.XLOOKUP(A150,YW邮编覆盖!A:A,YW邮编覆盖!B:B,"否")</f>
        <v>否</v>
      </c>
    </row>
    <row r="151" spans="1:10" hidden="1">
      <c r="A151" s="3">
        <v>91365</v>
      </c>
      <c r="B151" s="1" t="s">
        <v>162</v>
      </c>
      <c r="C151" s="2" t="e">
        <f>_xlfn.XLOOKUP(B151,线路DSP对应!A:A,线路DSP对应!B:B)</f>
        <v>#N/A</v>
      </c>
      <c r="D151" s="4" t="s">
        <v>145</v>
      </c>
      <c r="E151" s="2" t="e">
        <f>_xlfn.XLOOKUP(A151,转单情况!A:A,转单情况!B:B)</f>
        <v>#N/A</v>
      </c>
      <c r="G151" s="28">
        <f>ROUND(_xlfn.XLOOKUP(A151,全量!A:A,全量!B:B,0)/7,1)</f>
        <v>0</v>
      </c>
      <c r="H151" s="2">
        <f>ROUND(_xlfn.XLOOKUP(A151,AE!A:A,AE!B:B,0)/7,1)</f>
        <v>0</v>
      </c>
      <c r="I151" s="2" t="str">
        <f>_xlfn.XLOOKUP(A151,SWFTX邮编覆盖!A:A,SWFTX邮编覆盖!B:B,"否")</f>
        <v>否</v>
      </c>
      <c r="J151" s="2" t="str">
        <f>_xlfn.XLOOKUP(A151,YW邮编覆盖!A:A,YW邮编覆盖!B:B,"否")</f>
        <v>否</v>
      </c>
    </row>
    <row r="152" spans="1:10" hidden="1">
      <c r="A152" s="3">
        <v>91308</v>
      </c>
      <c r="B152" s="1" t="s">
        <v>162</v>
      </c>
      <c r="C152" s="2" t="e">
        <f>_xlfn.XLOOKUP(B152,线路DSP对应!A:A,线路DSP对应!B:B)</f>
        <v>#N/A</v>
      </c>
      <c r="D152" s="4" t="s">
        <v>145</v>
      </c>
      <c r="E152" s="2" t="e">
        <f>_xlfn.XLOOKUP(A152,转单情况!A:A,转单情况!B:B)</f>
        <v>#N/A</v>
      </c>
      <c r="G152" s="28">
        <f>ROUND(_xlfn.XLOOKUP(A152,全量!A:A,全量!B:B,0)/7,1)</f>
        <v>0</v>
      </c>
      <c r="H152" s="2">
        <f>ROUND(_xlfn.XLOOKUP(A152,AE!A:A,AE!B:B,0)/7,1)</f>
        <v>0</v>
      </c>
      <c r="I152" s="2" t="str">
        <f>_xlfn.XLOOKUP(A152,SWFTX邮编覆盖!A:A,SWFTX邮编覆盖!B:B,"否")</f>
        <v>否</v>
      </c>
      <c r="J152" s="2" t="str">
        <f>_xlfn.XLOOKUP(A152,YW邮编覆盖!A:A,YW邮编覆盖!B:B,"否")</f>
        <v>否</v>
      </c>
    </row>
    <row r="153" spans="1:10" hidden="1">
      <c r="A153" s="3">
        <v>91305</v>
      </c>
      <c r="B153" s="1" t="s">
        <v>162</v>
      </c>
      <c r="C153" s="2" t="e">
        <f>_xlfn.XLOOKUP(B153,线路DSP对应!A:A,线路DSP对应!B:B)</f>
        <v>#N/A</v>
      </c>
      <c r="D153" s="4" t="s">
        <v>145</v>
      </c>
      <c r="E153" s="2" t="e">
        <f>_xlfn.XLOOKUP(A153,转单情况!A:A,转单情况!B:B)</f>
        <v>#N/A</v>
      </c>
      <c r="G153" s="28">
        <f>ROUND(_xlfn.XLOOKUP(A153,全量!A:A,全量!B:B,0)/7,1)</f>
        <v>0</v>
      </c>
      <c r="H153" s="2">
        <f>ROUND(_xlfn.XLOOKUP(A153,AE!A:A,AE!B:B,0)/7,1)</f>
        <v>0</v>
      </c>
      <c r="I153" s="2" t="str">
        <f>_xlfn.XLOOKUP(A153,SWFTX邮编覆盖!A:A,SWFTX邮编覆盖!B:B,"否")</f>
        <v>否</v>
      </c>
      <c r="J153" s="2" t="str">
        <f>_xlfn.XLOOKUP(A153,YW邮编覆盖!A:A,YW邮编覆盖!B:B,"否")</f>
        <v>否</v>
      </c>
    </row>
    <row r="154" spans="1:10" hidden="1">
      <c r="A154" s="3">
        <v>91309</v>
      </c>
      <c r="B154" s="1" t="s">
        <v>162</v>
      </c>
      <c r="C154" s="2" t="e">
        <f>_xlfn.XLOOKUP(B154,线路DSP对应!A:A,线路DSP对应!B:B)</f>
        <v>#N/A</v>
      </c>
      <c r="D154" s="4" t="s">
        <v>145</v>
      </c>
      <c r="E154" s="2" t="e">
        <f>_xlfn.XLOOKUP(A154,转单情况!A:A,转单情况!B:B)</f>
        <v>#N/A</v>
      </c>
      <c r="G154" s="28">
        <f>ROUND(_xlfn.XLOOKUP(A154,全量!A:A,全量!B:B,0)/7,1)</f>
        <v>0</v>
      </c>
      <c r="H154" s="2">
        <f>ROUND(_xlfn.XLOOKUP(A154,AE!A:A,AE!B:B,0)/7,1)</f>
        <v>0</v>
      </c>
      <c r="I154" s="2" t="str">
        <f>_xlfn.XLOOKUP(A154,SWFTX邮编覆盖!A:A,SWFTX邮编覆盖!B:B,"否")</f>
        <v>否</v>
      </c>
      <c r="J154" s="2" t="str">
        <f>_xlfn.XLOOKUP(A154,YW邮编覆盖!A:A,YW邮编覆盖!B:B,"否")</f>
        <v>否</v>
      </c>
    </row>
    <row r="155" spans="1:10" hidden="1">
      <c r="A155" s="3">
        <v>91396</v>
      </c>
      <c r="B155" s="1" t="s">
        <v>162</v>
      </c>
      <c r="C155" s="2" t="e">
        <f>_xlfn.XLOOKUP(B155,线路DSP对应!A:A,线路DSP对应!B:B)</f>
        <v>#N/A</v>
      </c>
      <c r="D155" s="4" t="s">
        <v>145</v>
      </c>
      <c r="E155" s="2" t="e">
        <f>_xlfn.XLOOKUP(A155,转单情况!A:A,转单情况!B:B)</f>
        <v>#N/A</v>
      </c>
      <c r="G155" s="28">
        <f>ROUND(_xlfn.XLOOKUP(A155,全量!A:A,全量!B:B,0)/7,1)</f>
        <v>0</v>
      </c>
      <c r="H155" s="2">
        <f>ROUND(_xlfn.XLOOKUP(A155,AE!A:A,AE!B:B,0)/7,1)</f>
        <v>0</v>
      </c>
      <c r="I155" s="2" t="str">
        <f>_xlfn.XLOOKUP(A155,SWFTX邮编覆盖!A:A,SWFTX邮编覆盖!B:B,"否")</f>
        <v>否</v>
      </c>
      <c r="J155" s="2" t="str">
        <f>_xlfn.XLOOKUP(A155,YW邮编覆盖!A:A,YW邮编覆盖!B:B,"否")</f>
        <v>否</v>
      </c>
    </row>
    <row r="156" spans="1:10" hidden="1">
      <c r="A156" s="3">
        <v>91357</v>
      </c>
      <c r="B156" s="1" t="s">
        <v>162</v>
      </c>
      <c r="C156" s="2" t="e">
        <f>_xlfn.XLOOKUP(B156,线路DSP对应!A:A,线路DSP对应!B:B)</f>
        <v>#N/A</v>
      </c>
      <c r="D156" s="4" t="s">
        <v>145</v>
      </c>
      <c r="E156" s="2" t="e">
        <f>_xlfn.XLOOKUP(A156,转单情况!A:A,转单情况!B:B)</f>
        <v>#N/A</v>
      </c>
      <c r="G156" s="28">
        <f>ROUND(_xlfn.XLOOKUP(A156,全量!A:A,全量!B:B,0)/7,1)</f>
        <v>0</v>
      </c>
      <c r="H156" s="2">
        <f>ROUND(_xlfn.XLOOKUP(A156,AE!A:A,AE!B:B,0)/7,1)</f>
        <v>0</v>
      </c>
      <c r="I156" s="2" t="str">
        <f>_xlfn.XLOOKUP(A156,SWFTX邮编覆盖!A:A,SWFTX邮编覆盖!B:B,"否")</f>
        <v>否</v>
      </c>
      <c r="J156" s="2" t="str">
        <f>_xlfn.XLOOKUP(A156,YW邮编覆盖!A:A,YW邮编覆盖!B:B,"否")</f>
        <v>否</v>
      </c>
    </row>
    <row r="157" spans="1:10" hidden="1">
      <c r="A157" s="3">
        <v>91337</v>
      </c>
      <c r="B157" s="1" t="s">
        <v>162</v>
      </c>
      <c r="C157" s="2" t="e">
        <f>_xlfn.XLOOKUP(B157,线路DSP对应!A:A,线路DSP对应!B:B)</f>
        <v>#N/A</v>
      </c>
      <c r="D157" s="4" t="s">
        <v>145</v>
      </c>
      <c r="E157" s="2" t="e">
        <f>_xlfn.XLOOKUP(A157,转单情况!A:A,转单情况!B:B)</f>
        <v>#N/A</v>
      </c>
      <c r="G157" s="28">
        <f>ROUND(_xlfn.XLOOKUP(A157,全量!A:A,全量!B:B,0)/7,1)</f>
        <v>0</v>
      </c>
      <c r="H157" s="2">
        <f>ROUND(_xlfn.XLOOKUP(A157,AE!A:A,AE!B:B,0)/7,1)</f>
        <v>0</v>
      </c>
      <c r="I157" s="2" t="str">
        <f>_xlfn.XLOOKUP(A157,SWFTX邮编覆盖!A:A,SWFTX邮编覆盖!B:B,"否")</f>
        <v>否</v>
      </c>
      <c r="J157" s="2" t="str">
        <f>_xlfn.XLOOKUP(A157,YW邮编覆盖!A:A,YW邮编覆盖!B:B,"否")</f>
        <v>否</v>
      </c>
    </row>
    <row r="158" spans="1:10" hidden="1">
      <c r="A158" s="3">
        <v>91372</v>
      </c>
      <c r="B158" s="1" t="s">
        <v>162</v>
      </c>
      <c r="C158" s="2" t="e">
        <f>_xlfn.XLOOKUP(B158,线路DSP对应!A:A,线路DSP对应!B:B)</f>
        <v>#N/A</v>
      </c>
      <c r="D158" s="4" t="s">
        <v>145</v>
      </c>
      <c r="E158" s="2" t="e">
        <f>_xlfn.XLOOKUP(A158,转单情况!A:A,转单情况!B:B)</f>
        <v>#N/A</v>
      </c>
      <c r="G158" s="28">
        <f>ROUND(_xlfn.XLOOKUP(A158,全量!A:A,全量!B:B,0)/7,1)</f>
        <v>0</v>
      </c>
      <c r="H158" s="2">
        <f>ROUND(_xlfn.XLOOKUP(A158,AE!A:A,AE!B:B,0)/7,1)</f>
        <v>0</v>
      </c>
      <c r="I158" s="2" t="str">
        <f>_xlfn.XLOOKUP(A158,SWFTX邮编覆盖!A:A,SWFTX邮编覆盖!B:B,"否")</f>
        <v>否</v>
      </c>
      <c r="J158" s="2" t="str">
        <f>_xlfn.XLOOKUP(A158,YW邮编覆盖!A:A,YW邮编覆盖!B:B,"否")</f>
        <v>否</v>
      </c>
    </row>
    <row r="159" spans="1:10" hidden="1">
      <c r="A159" s="3">
        <v>91376</v>
      </c>
      <c r="B159" s="1" t="s">
        <v>162</v>
      </c>
      <c r="C159" s="2" t="e">
        <f>_xlfn.XLOOKUP(B159,线路DSP对应!A:A,线路DSP对应!B:B)</f>
        <v>#N/A</v>
      </c>
      <c r="D159" s="4" t="s">
        <v>145</v>
      </c>
      <c r="E159" s="2" t="e">
        <f>_xlfn.XLOOKUP(A159,转单情况!A:A,转单情况!B:B)</f>
        <v>#N/A</v>
      </c>
      <c r="G159" s="28">
        <f>ROUND(_xlfn.XLOOKUP(A159,全量!A:A,全量!B:B,0)/7,1)</f>
        <v>0</v>
      </c>
      <c r="H159" s="2">
        <f>ROUND(_xlfn.XLOOKUP(A159,AE!A:A,AE!B:B,0)/7,1)</f>
        <v>0</v>
      </c>
      <c r="I159" s="2" t="str">
        <f>_xlfn.XLOOKUP(A159,SWFTX邮编覆盖!A:A,SWFTX邮编覆盖!B:B,"否")</f>
        <v>否</v>
      </c>
      <c r="J159" s="2" t="str">
        <f>_xlfn.XLOOKUP(A159,YW邮编覆盖!A:A,YW邮编覆盖!B:B,"否")</f>
        <v>否</v>
      </c>
    </row>
    <row r="160" spans="1:10" hidden="1">
      <c r="A160" s="3">
        <v>91358</v>
      </c>
      <c r="B160" s="1" t="s">
        <v>162</v>
      </c>
      <c r="C160" s="2" t="e">
        <f>_xlfn.XLOOKUP(B160,线路DSP对应!A:A,线路DSP对应!B:B)</f>
        <v>#N/A</v>
      </c>
      <c r="D160" s="4" t="s">
        <v>145</v>
      </c>
      <c r="E160" s="2" t="e">
        <f>_xlfn.XLOOKUP(A160,转单情况!A:A,转单情况!B:B)</f>
        <v>#N/A</v>
      </c>
      <c r="G160" s="28">
        <f>ROUND(_xlfn.XLOOKUP(A160,全量!A:A,全量!B:B,0)/7,1)</f>
        <v>0</v>
      </c>
      <c r="H160" s="2">
        <f>ROUND(_xlfn.XLOOKUP(A160,AE!A:A,AE!B:B,0)/7,1)</f>
        <v>0</v>
      </c>
      <c r="I160" s="2" t="str">
        <f>_xlfn.XLOOKUP(A160,SWFTX邮编覆盖!A:A,SWFTX邮编覆盖!B:B,"否")</f>
        <v>否</v>
      </c>
      <c r="J160" s="2" t="str">
        <f>_xlfn.XLOOKUP(A160,YW邮编覆盖!A:A,YW邮编覆盖!B:B,"否")</f>
        <v>否</v>
      </c>
    </row>
    <row r="161" spans="1:10" hidden="1">
      <c r="A161" s="3">
        <v>91359</v>
      </c>
      <c r="B161" s="1" t="s">
        <v>162</v>
      </c>
      <c r="C161" s="2" t="e">
        <f>_xlfn.XLOOKUP(B161,线路DSP对应!A:A,线路DSP对应!B:B)</f>
        <v>#N/A</v>
      </c>
      <c r="D161" s="4" t="s">
        <v>145</v>
      </c>
      <c r="E161" s="2" t="e">
        <f>_xlfn.XLOOKUP(A161,转单情况!A:A,转单情况!B:B)</f>
        <v>#N/A</v>
      </c>
      <c r="G161" s="28">
        <f>ROUND(_xlfn.XLOOKUP(A161,全量!A:A,全量!B:B,0)/7,1)</f>
        <v>0</v>
      </c>
      <c r="H161" s="2">
        <f>ROUND(_xlfn.XLOOKUP(A161,AE!A:A,AE!B:B,0)/7,1)</f>
        <v>0</v>
      </c>
      <c r="I161" s="2" t="str">
        <f>_xlfn.XLOOKUP(A161,SWFTX邮编覆盖!A:A,SWFTX邮编覆盖!B:B,"否")</f>
        <v>否</v>
      </c>
      <c r="J161" s="2" t="str">
        <f>_xlfn.XLOOKUP(A161,YW邮编覆盖!A:A,YW邮编覆盖!B:B,"否")</f>
        <v>否</v>
      </c>
    </row>
    <row r="162" spans="1:10" hidden="1">
      <c r="A162" s="3">
        <v>91319</v>
      </c>
      <c r="B162" s="1" t="s">
        <v>162</v>
      </c>
      <c r="C162" s="2" t="e">
        <f>_xlfn.XLOOKUP(B162,线路DSP对应!A:A,线路DSP对应!B:B)</f>
        <v>#N/A</v>
      </c>
      <c r="D162" s="4" t="s">
        <v>145</v>
      </c>
      <c r="E162" s="2" t="e">
        <f>_xlfn.XLOOKUP(A162,转单情况!A:A,转单情况!B:B)</f>
        <v>#N/A</v>
      </c>
      <c r="G162" s="28">
        <f>ROUND(_xlfn.XLOOKUP(A162,全量!A:A,全量!B:B,0)/7,1)</f>
        <v>0</v>
      </c>
      <c r="H162" s="2">
        <f>ROUND(_xlfn.XLOOKUP(A162,AE!A:A,AE!B:B,0)/7,1)</f>
        <v>0</v>
      </c>
      <c r="I162" s="2" t="str">
        <f>_xlfn.XLOOKUP(A162,SWFTX邮编覆盖!A:A,SWFTX邮编覆盖!B:B,"否")</f>
        <v>否</v>
      </c>
      <c r="J162" s="2" t="str">
        <f>_xlfn.XLOOKUP(A162,YW邮编覆盖!A:A,YW邮编覆盖!B:B,"否")</f>
        <v>否</v>
      </c>
    </row>
    <row r="163" spans="1:10" hidden="1">
      <c r="A163" s="3">
        <v>91386</v>
      </c>
      <c r="B163" s="1" t="s">
        <v>162</v>
      </c>
      <c r="C163" s="2" t="e">
        <f>_xlfn.XLOOKUP(B163,线路DSP对应!A:A,线路DSP对应!B:B)</f>
        <v>#N/A</v>
      </c>
      <c r="D163" s="4" t="s">
        <v>145</v>
      </c>
      <c r="E163" s="2" t="e">
        <f>_xlfn.XLOOKUP(A163,转单情况!A:A,转单情况!B:B)</f>
        <v>#N/A</v>
      </c>
      <c r="G163" s="28">
        <f>ROUND(_xlfn.XLOOKUP(A163,全量!A:A,全量!B:B,0)/7,1)</f>
        <v>0</v>
      </c>
      <c r="H163" s="2">
        <f>ROUND(_xlfn.XLOOKUP(A163,AE!A:A,AE!B:B,0)/7,1)</f>
        <v>0</v>
      </c>
      <c r="I163" s="2" t="str">
        <f>_xlfn.XLOOKUP(A163,SWFTX邮编覆盖!A:A,SWFTX邮编覆盖!B:B,"否")</f>
        <v>否</v>
      </c>
      <c r="J163" s="2" t="str">
        <f>_xlfn.XLOOKUP(A163,YW邮编覆盖!A:A,YW邮编覆盖!B:B,"否")</f>
        <v>否</v>
      </c>
    </row>
    <row r="164" spans="1:10" hidden="1">
      <c r="A164" s="3">
        <v>91380</v>
      </c>
      <c r="B164" s="1" t="s">
        <v>162</v>
      </c>
      <c r="C164" s="2" t="e">
        <f>_xlfn.XLOOKUP(B164,线路DSP对应!A:A,线路DSP对应!B:B)</f>
        <v>#N/A</v>
      </c>
      <c r="D164" s="4" t="s">
        <v>145</v>
      </c>
      <c r="E164" s="2" t="e">
        <f>_xlfn.XLOOKUP(A164,转单情况!A:A,转单情况!B:B)</f>
        <v>#N/A</v>
      </c>
      <c r="G164" s="28">
        <f>ROUND(_xlfn.XLOOKUP(A164,全量!A:A,全量!B:B,0)/7,1)</f>
        <v>0</v>
      </c>
      <c r="H164" s="2">
        <f>ROUND(_xlfn.XLOOKUP(A164,AE!A:A,AE!B:B,0)/7,1)</f>
        <v>0</v>
      </c>
      <c r="I164" s="2" t="str">
        <f>_xlfn.XLOOKUP(A164,SWFTX邮编覆盖!A:A,SWFTX邮编覆盖!B:B,"否")</f>
        <v>否</v>
      </c>
      <c r="J164" s="2" t="str">
        <f>_xlfn.XLOOKUP(A164,YW邮编覆盖!A:A,YW邮编覆盖!B:B,"否")</f>
        <v>否</v>
      </c>
    </row>
    <row r="165" spans="1:10" hidden="1">
      <c r="A165" s="3">
        <v>91385</v>
      </c>
      <c r="B165" s="1" t="s">
        <v>162</v>
      </c>
      <c r="C165" s="2" t="e">
        <f>_xlfn.XLOOKUP(B165,线路DSP对应!A:A,线路DSP对应!B:B)</f>
        <v>#N/A</v>
      </c>
      <c r="D165" s="4" t="s">
        <v>145</v>
      </c>
      <c r="E165" s="2" t="e">
        <f>_xlfn.XLOOKUP(A165,转单情况!A:A,转单情况!B:B)</f>
        <v>#N/A</v>
      </c>
      <c r="G165" s="28">
        <f>ROUND(_xlfn.XLOOKUP(A165,全量!A:A,全量!B:B,0)/7,1)</f>
        <v>0</v>
      </c>
      <c r="H165" s="2">
        <f>ROUND(_xlfn.XLOOKUP(A165,AE!A:A,AE!B:B,0)/7,1)</f>
        <v>0</v>
      </c>
      <c r="I165" s="2" t="str">
        <f>_xlfn.XLOOKUP(A165,SWFTX邮编覆盖!A:A,SWFTX邮编覆盖!B:B,"否")</f>
        <v>否</v>
      </c>
      <c r="J165" s="2" t="str">
        <f>_xlfn.XLOOKUP(A165,YW邮编覆盖!A:A,YW邮编覆盖!B:B,"否")</f>
        <v>否</v>
      </c>
    </row>
    <row r="166" spans="1:10" hidden="1">
      <c r="A166" s="3">
        <v>91310</v>
      </c>
      <c r="B166" s="1" t="s">
        <v>162</v>
      </c>
      <c r="C166" s="2" t="e">
        <f>_xlfn.XLOOKUP(B166,线路DSP对应!A:A,线路DSP对应!B:B)</f>
        <v>#N/A</v>
      </c>
      <c r="D166" s="4" t="s">
        <v>145</v>
      </c>
      <c r="E166" s="2" t="e">
        <f>_xlfn.XLOOKUP(A166,转单情况!A:A,转单情况!B:B)</f>
        <v>#N/A</v>
      </c>
      <c r="G166" s="28">
        <f>ROUND(_xlfn.XLOOKUP(A166,全量!A:A,全量!B:B,0)/7,1)</f>
        <v>0</v>
      </c>
      <c r="H166" s="2">
        <f>ROUND(_xlfn.XLOOKUP(A166,AE!A:A,AE!B:B,0)/7,1)</f>
        <v>0</v>
      </c>
      <c r="I166" s="2" t="str">
        <f>_xlfn.XLOOKUP(A166,SWFTX邮编覆盖!A:A,SWFTX邮编覆盖!B:B,"否")</f>
        <v>否</v>
      </c>
      <c r="J166" s="2" t="str">
        <f>_xlfn.XLOOKUP(A166,YW邮编覆盖!A:A,YW邮编覆盖!B:B,"否")</f>
        <v>否</v>
      </c>
    </row>
    <row r="167" spans="1:10" hidden="1">
      <c r="A167" s="3">
        <v>91322</v>
      </c>
      <c r="B167" s="1" t="s">
        <v>162</v>
      </c>
      <c r="C167" s="2" t="e">
        <f>_xlfn.XLOOKUP(B167,线路DSP对应!A:A,线路DSP对应!B:B)</f>
        <v>#N/A</v>
      </c>
      <c r="D167" s="4" t="s">
        <v>145</v>
      </c>
      <c r="E167" s="2" t="e">
        <f>_xlfn.XLOOKUP(A167,转单情况!A:A,转单情况!B:B)</f>
        <v>#N/A</v>
      </c>
      <c r="G167" s="28">
        <f>ROUND(_xlfn.XLOOKUP(A167,全量!A:A,全量!B:B,0)/7,1)</f>
        <v>0</v>
      </c>
      <c r="H167" s="2">
        <f>ROUND(_xlfn.XLOOKUP(A167,AE!A:A,AE!B:B,0)/7,1)</f>
        <v>0</v>
      </c>
      <c r="I167" s="2" t="str">
        <f>_xlfn.XLOOKUP(A167,SWFTX邮编覆盖!A:A,SWFTX邮编覆盖!B:B,"否")</f>
        <v>否</v>
      </c>
      <c r="J167" s="2" t="str">
        <f>_xlfn.XLOOKUP(A167,YW邮编覆盖!A:A,YW邮编覆盖!B:B,"否")</f>
        <v>否</v>
      </c>
    </row>
    <row r="168" spans="1:10" hidden="1">
      <c r="A168" s="3">
        <v>93094</v>
      </c>
      <c r="B168" s="1" t="s">
        <v>162</v>
      </c>
      <c r="C168" s="2" t="e">
        <f>_xlfn.XLOOKUP(B168,线路DSP对应!A:A,线路DSP对应!B:B)</f>
        <v>#N/A</v>
      </c>
      <c r="D168" s="4" t="s">
        <v>145</v>
      </c>
      <c r="E168" s="2" t="e">
        <f>_xlfn.XLOOKUP(A168,转单情况!A:A,转单情况!B:B)</f>
        <v>#N/A</v>
      </c>
      <c r="G168" s="28">
        <f>ROUND(_xlfn.XLOOKUP(A168,全量!A:A,全量!B:B,0)/7,1)</f>
        <v>0</v>
      </c>
      <c r="H168" s="2">
        <f>ROUND(_xlfn.XLOOKUP(A168,AE!A:A,AE!B:B,0)/7,1)</f>
        <v>0</v>
      </c>
      <c r="I168" s="2" t="str">
        <f>_xlfn.XLOOKUP(A168,SWFTX邮编覆盖!A:A,SWFTX邮编覆盖!B:B,"否")</f>
        <v>否</v>
      </c>
      <c r="J168" s="2" t="str">
        <f>_xlfn.XLOOKUP(A168,YW邮编覆盖!A:A,YW邮编覆盖!B:B,"否")</f>
        <v>否</v>
      </c>
    </row>
    <row r="169" spans="1:10" hidden="1">
      <c r="A169" s="3">
        <v>93099</v>
      </c>
      <c r="B169" s="1" t="s">
        <v>162</v>
      </c>
      <c r="C169" s="2" t="e">
        <f>_xlfn.XLOOKUP(B169,线路DSP对应!A:A,线路DSP对应!B:B)</f>
        <v>#N/A</v>
      </c>
      <c r="D169" s="4" t="s">
        <v>145</v>
      </c>
      <c r="E169" s="2" t="e">
        <f>_xlfn.XLOOKUP(A169,转单情况!A:A,转单情况!B:B)</f>
        <v>#N/A</v>
      </c>
      <c r="G169" s="28">
        <f>ROUND(_xlfn.XLOOKUP(A169,全量!A:A,全量!B:B,0)/7,1)</f>
        <v>0</v>
      </c>
      <c r="H169" s="2">
        <f>ROUND(_xlfn.XLOOKUP(A169,AE!A:A,AE!B:B,0)/7,1)</f>
        <v>0</v>
      </c>
      <c r="I169" s="2" t="str">
        <f>_xlfn.XLOOKUP(A169,SWFTX邮编覆盖!A:A,SWFTX邮编覆盖!B:B,"否")</f>
        <v>否</v>
      </c>
      <c r="J169" s="2" t="str">
        <f>_xlfn.XLOOKUP(A169,YW邮编覆盖!A:A,YW邮编覆盖!B:B,"否")</f>
        <v>否</v>
      </c>
    </row>
    <row r="170" spans="1:10" hidden="1">
      <c r="A170" s="3">
        <v>93539</v>
      </c>
      <c r="B170" s="1" t="s">
        <v>162</v>
      </c>
      <c r="C170" s="2" t="e">
        <f>_xlfn.XLOOKUP(B170,线路DSP对应!A:A,线路DSP对应!B:B)</f>
        <v>#N/A</v>
      </c>
      <c r="D170" s="4" t="s">
        <v>145</v>
      </c>
      <c r="E170" s="2" t="e">
        <f>_xlfn.XLOOKUP(A170,转单情况!A:A,转单情况!B:B)</f>
        <v>#N/A</v>
      </c>
      <c r="G170" s="28">
        <f>ROUND(_xlfn.XLOOKUP(A170,全量!A:A,全量!B:B,0)/7,1)</f>
        <v>0</v>
      </c>
      <c r="H170" s="2">
        <f>ROUND(_xlfn.XLOOKUP(A170,AE!A:A,AE!B:B,0)/7,1)</f>
        <v>0</v>
      </c>
      <c r="I170" s="2" t="str">
        <f>_xlfn.XLOOKUP(A170,SWFTX邮编覆盖!A:A,SWFTX邮编覆盖!B:B,"否")</f>
        <v>否</v>
      </c>
      <c r="J170" s="2" t="str">
        <f>_xlfn.XLOOKUP(A170,YW邮编覆盖!A:A,YW邮编覆盖!B:B,"否")</f>
        <v>否</v>
      </c>
    </row>
    <row r="171" spans="1:10" hidden="1">
      <c r="A171" s="3">
        <v>93584</v>
      </c>
      <c r="B171" s="1" t="s">
        <v>162</v>
      </c>
      <c r="C171" s="2" t="e">
        <f>_xlfn.XLOOKUP(B171,线路DSP对应!A:A,线路DSP对应!B:B)</f>
        <v>#N/A</v>
      </c>
      <c r="D171" s="4" t="s">
        <v>145</v>
      </c>
      <c r="E171" s="2" t="e">
        <f>_xlfn.XLOOKUP(A171,转单情况!A:A,转单情况!B:B)</f>
        <v>#N/A</v>
      </c>
      <c r="G171" s="28">
        <f>ROUND(_xlfn.XLOOKUP(A171,全量!A:A,全量!B:B,0)/7,1)</f>
        <v>0</v>
      </c>
      <c r="H171" s="2">
        <f>ROUND(_xlfn.XLOOKUP(A171,AE!A:A,AE!B:B,0)/7,1)</f>
        <v>0</v>
      </c>
      <c r="I171" s="2" t="str">
        <f>_xlfn.XLOOKUP(A171,SWFTX邮编覆盖!A:A,SWFTX邮编覆盖!B:B,"否")</f>
        <v>否</v>
      </c>
      <c r="J171" s="2" t="str">
        <f>_xlfn.XLOOKUP(A171,YW邮编覆盖!A:A,YW邮编覆盖!B:B,"否")</f>
        <v>否</v>
      </c>
    </row>
    <row r="172" spans="1:10" hidden="1">
      <c r="A172" s="3">
        <v>91210</v>
      </c>
      <c r="B172" s="1" t="s">
        <v>3</v>
      </c>
      <c r="C172" s="2" t="str">
        <f>_xlfn.XLOOKUP(B172,线路DSP对应!A:A,线路DSP对应!B:B)</f>
        <v>STA_LAX_JLP</v>
      </c>
      <c r="D172" s="4" t="s">
        <v>147</v>
      </c>
      <c r="E172" s="2" t="str">
        <f>_xlfn.XLOOKUP(A172,转单情况!A:A,转单情况!B:B)</f>
        <v>否</v>
      </c>
      <c r="F172" s="2" t="s">
        <v>202</v>
      </c>
      <c r="G172" s="28">
        <f>ROUND(_xlfn.XLOOKUP(A172,全量!A:A,全量!B:B,0)/7,1)</f>
        <v>0.1</v>
      </c>
      <c r="H172" s="2">
        <f>ROUND(_xlfn.XLOOKUP(A172,AE!A:A,AE!B:B,0)/7,1)</f>
        <v>0</v>
      </c>
      <c r="I172" s="2" t="str">
        <f>_xlfn.XLOOKUP(A172,SWFTX邮编覆盖!A:A,SWFTX邮编覆盖!B:B,"否")</f>
        <v>否</v>
      </c>
      <c r="J172" s="2" t="str">
        <f>_xlfn.XLOOKUP(A172,YW邮编覆盖!A:A,YW邮编覆盖!B:B,"否")</f>
        <v>否</v>
      </c>
    </row>
    <row r="173" spans="1:10" hidden="1">
      <c r="A173" s="3">
        <v>91201</v>
      </c>
      <c r="B173" s="1" t="s">
        <v>3</v>
      </c>
      <c r="C173" s="2" t="str">
        <f>_xlfn.XLOOKUP(B173,线路DSP对应!A:A,线路DSP对应!B:B)</f>
        <v>STA_LAX_JLP</v>
      </c>
      <c r="D173" s="4" t="s">
        <v>147</v>
      </c>
      <c r="E173" s="2" t="str">
        <f>_xlfn.XLOOKUP(A173,转单情况!A:A,转单情况!B:B)</f>
        <v>SW</v>
      </c>
      <c r="G173" s="28">
        <f>ROUND(_xlfn.XLOOKUP(A173,全量!A:A,全量!B:B,0)/7,1)</f>
        <v>0.1</v>
      </c>
      <c r="H173" s="2">
        <f>ROUND(_xlfn.XLOOKUP(A173,AE!A:A,AE!B:B,0)/7,1)</f>
        <v>0</v>
      </c>
      <c r="I173" s="2" t="str">
        <f>_xlfn.XLOOKUP(A173,SWFTX邮编覆盖!A:A,SWFTX邮编覆盖!B:B,"否")</f>
        <v>是</v>
      </c>
      <c r="J173" s="2" t="str">
        <f>_xlfn.XLOOKUP(A173,YW邮编覆盖!A:A,YW邮编覆盖!B:B,"否")</f>
        <v>是</v>
      </c>
    </row>
    <row r="174" spans="1:10" hidden="1">
      <c r="A174" s="3">
        <v>91202</v>
      </c>
      <c r="B174" s="1" t="s">
        <v>3</v>
      </c>
      <c r="C174" s="2" t="str">
        <f>_xlfn.XLOOKUP(B174,线路DSP对应!A:A,线路DSP对应!B:B)</f>
        <v>STA_LAX_JLP</v>
      </c>
      <c r="D174" s="4" t="s">
        <v>147</v>
      </c>
      <c r="E174" s="2" t="str">
        <f>_xlfn.XLOOKUP(A174,转单情况!A:A,转单情况!B:B)</f>
        <v>SW</v>
      </c>
      <c r="G174" s="28">
        <f>ROUND(_xlfn.XLOOKUP(A174,全量!A:A,全量!B:B,0)/7,1)</f>
        <v>0.1</v>
      </c>
      <c r="H174" s="2">
        <f>ROUND(_xlfn.XLOOKUP(A174,AE!A:A,AE!B:B,0)/7,1)</f>
        <v>0</v>
      </c>
      <c r="I174" s="2" t="str">
        <f>_xlfn.XLOOKUP(A174,SWFTX邮编覆盖!A:A,SWFTX邮编覆盖!B:B,"否")</f>
        <v>是</v>
      </c>
      <c r="J174" s="2" t="str">
        <f>_xlfn.XLOOKUP(A174,YW邮编覆盖!A:A,YW邮编覆盖!B:B,"否")</f>
        <v>是</v>
      </c>
    </row>
    <row r="175" spans="1:10" hidden="1">
      <c r="A175" s="3">
        <v>91203</v>
      </c>
      <c r="B175" s="1" t="s">
        <v>3</v>
      </c>
      <c r="C175" s="2" t="str">
        <f>_xlfn.XLOOKUP(B175,线路DSP对应!A:A,线路DSP对应!B:B)</f>
        <v>STA_LAX_JLP</v>
      </c>
      <c r="D175" s="4" t="s">
        <v>147</v>
      </c>
      <c r="E175" s="2" t="str">
        <f>_xlfn.XLOOKUP(A175,转单情况!A:A,转单情况!B:B)</f>
        <v>SW</v>
      </c>
      <c r="G175" s="28">
        <f>ROUND(_xlfn.XLOOKUP(A175,全量!A:A,全量!B:B,0)/7,1)</f>
        <v>0</v>
      </c>
      <c r="H175" s="2">
        <f>ROUND(_xlfn.XLOOKUP(A175,AE!A:A,AE!B:B,0)/7,1)</f>
        <v>0</v>
      </c>
      <c r="I175" s="2" t="str">
        <f>_xlfn.XLOOKUP(A175,SWFTX邮编覆盖!A:A,SWFTX邮编覆盖!B:B,"否")</f>
        <v>是</v>
      </c>
      <c r="J175" s="2" t="str">
        <f>_xlfn.XLOOKUP(A175,YW邮编覆盖!A:A,YW邮编覆盖!B:B,"否")</f>
        <v>是</v>
      </c>
    </row>
    <row r="176" spans="1:10" hidden="1">
      <c r="A176" s="3">
        <v>91204</v>
      </c>
      <c r="B176" s="1" t="s">
        <v>3</v>
      </c>
      <c r="C176" s="2" t="str">
        <f>_xlfn.XLOOKUP(B176,线路DSP对应!A:A,线路DSP对应!B:B)</f>
        <v>STA_LAX_JLP</v>
      </c>
      <c r="D176" s="4" t="s">
        <v>147</v>
      </c>
      <c r="E176" s="2" t="str">
        <f>_xlfn.XLOOKUP(A176,转单情况!A:A,转单情况!B:B)</f>
        <v>SW</v>
      </c>
      <c r="G176" s="28">
        <f>ROUND(_xlfn.XLOOKUP(A176,全量!A:A,全量!B:B,0)/7,1)</f>
        <v>0</v>
      </c>
      <c r="H176" s="2">
        <f>ROUND(_xlfn.XLOOKUP(A176,AE!A:A,AE!B:B,0)/7,1)</f>
        <v>0</v>
      </c>
      <c r="I176" s="2" t="str">
        <f>_xlfn.XLOOKUP(A176,SWFTX邮编覆盖!A:A,SWFTX邮编覆盖!B:B,"否")</f>
        <v>是</v>
      </c>
      <c r="J176" s="2" t="str">
        <f>_xlfn.XLOOKUP(A176,YW邮编覆盖!A:A,YW邮编覆盖!B:B,"否")</f>
        <v>是</v>
      </c>
    </row>
    <row r="177" spans="1:10" hidden="1">
      <c r="A177" s="3">
        <v>91206</v>
      </c>
      <c r="B177" s="1" t="s">
        <v>3</v>
      </c>
      <c r="C177" s="2" t="str">
        <f>_xlfn.XLOOKUP(B177,线路DSP对应!A:A,线路DSP对应!B:B)</f>
        <v>STA_LAX_JLP</v>
      </c>
      <c r="D177" s="4" t="s">
        <v>147</v>
      </c>
      <c r="E177" s="2" t="str">
        <f>_xlfn.XLOOKUP(A177,转单情况!A:A,转单情况!B:B)</f>
        <v>SW</v>
      </c>
      <c r="G177" s="28">
        <f>ROUND(_xlfn.XLOOKUP(A177,全量!A:A,全量!B:B,0)/7,1)</f>
        <v>0</v>
      </c>
      <c r="H177" s="2">
        <f>ROUND(_xlfn.XLOOKUP(A177,AE!A:A,AE!B:B,0)/7,1)</f>
        <v>0</v>
      </c>
      <c r="I177" s="2" t="str">
        <f>_xlfn.XLOOKUP(A177,SWFTX邮编覆盖!A:A,SWFTX邮编覆盖!B:B,"否")</f>
        <v>是</v>
      </c>
      <c r="J177" s="2" t="str">
        <f>_xlfn.XLOOKUP(A177,YW邮编覆盖!A:A,YW邮编覆盖!B:B,"否")</f>
        <v>是</v>
      </c>
    </row>
    <row r="178" spans="1:10">
      <c r="A178" s="3">
        <v>91207</v>
      </c>
      <c r="B178" s="1" t="s">
        <v>3</v>
      </c>
      <c r="C178" s="2" t="str">
        <f>_xlfn.XLOOKUP(B178,线路DSP对应!A:A,线路DSP对应!B:B)</f>
        <v>STA_LAX_JLP</v>
      </c>
      <c r="D178" s="4" t="s">
        <v>147</v>
      </c>
      <c r="E178" s="2" t="str">
        <f>_xlfn.XLOOKUP(A178,转单情况!A:A,转单情况!B:B)</f>
        <v>YW</v>
      </c>
      <c r="G178" s="28">
        <f>ROUND(_xlfn.XLOOKUP(A178,全量!A:A,全量!B:B,0)/7,1)</f>
        <v>0.3</v>
      </c>
      <c r="H178" s="2">
        <f>ROUND(_xlfn.XLOOKUP(A178,AE!A:A,AE!B:B,0)/7,1)</f>
        <v>0</v>
      </c>
      <c r="I178" s="2" t="str">
        <f>_xlfn.XLOOKUP(A178,SWFTX邮编覆盖!A:A,SWFTX邮编覆盖!B:B,"否")</f>
        <v>否</v>
      </c>
      <c r="J178" s="2" t="str">
        <f>_xlfn.XLOOKUP(A178,YW邮编覆盖!A:A,YW邮编覆盖!B:B,"否")</f>
        <v>是</v>
      </c>
    </row>
    <row r="179" spans="1:10">
      <c r="A179" s="3">
        <v>91208</v>
      </c>
      <c r="B179" s="1" t="s">
        <v>3</v>
      </c>
      <c r="C179" s="2" t="str">
        <f>_xlfn.XLOOKUP(B179,线路DSP对应!A:A,线路DSP对应!B:B)</f>
        <v>STA_LAX_JLP</v>
      </c>
      <c r="D179" s="4" t="s">
        <v>147</v>
      </c>
      <c r="E179" s="2" t="str">
        <f>_xlfn.XLOOKUP(A179,转单情况!A:A,转单情况!B:B)</f>
        <v>YW</v>
      </c>
      <c r="G179" s="28">
        <f>ROUND(_xlfn.XLOOKUP(A179,全量!A:A,全量!B:B,0)/7,1)</f>
        <v>0.6</v>
      </c>
      <c r="H179" s="2">
        <f>ROUND(_xlfn.XLOOKUP(A179,AE!A:A,AE!B:B,0)/7,1)</f>
        <v>0</v>
      </c>
      <c r="I179" s="2" t="str">
        <f>_xlfn.XLOOKUP(A179,SWFTX邮编覆盖!A:A,SWFTX邮编覆盖!B:B,"否")</f>
        <v>否</v>
      </c>
      <c r="J179" s="2" t="str">
        <f>_xlfn.XLOOKUP(A179,YW邮编覆盖!A:A,YW邮编覆盖!B:B,"否")</f>
        <v>是</v>
      </c>
    </row>
    <row r="180" spans="1:10" hidden="1">
      <c r="A180" s="3">
        <v>91205</v>
      </c>
      <c r="B180" s="1" t="s">
        <v>3</v>
      </c>
      <c r="C180" s="2" t="str">
        <f>_xlfn.XLOOKUP(B180,线路DSP对应!A:A,线路DSP对应!B:B)</f>
        <v>STA_LAX_JLP</v>
      </c>
      <c r="D180" s="4" t="s">
        <v>147</v>
      </c>
      <c r="E180" s="2" t="str">
        <f>_xlfn.XLOOKUP(A180,转单情况!A:A,转单情况!B:B)</f>
        <v>SW</v>
      </c>
      <c r="G180" s="28">
        <f>ROUND(_xlfn.XLOOKUP(A180,全量!A:A,全量!B:B,0)/7,1)</f>
        <v>0</v>
      </c>
      <c r="H180" s="2">
        <f>ROUND(_xlfn.XLOOKUP(A180,AE!A:A,AE!B:B,0)/7,1)</f>
        <v>0</v>
      </c>
      <c r="I180" s="2" t="str">
        <f>_xlfn.XLOOKUP(A180,SWFTX邮编覆盖!A:A,SWFTX邮编覆盖!B:B,"否")</f>
        <v>是</v>
      </c>
      <c r="J180" s="2" t="str">
        <f>_xlfn.XLOOKUP(A180,YW邮编覆盖!A:A,YW邮编覆盖!B:B,"否")</f>
        <v>是</v>
      </c>
    </row>
    <row r="181" spans="1:10" hidden="1">
      <c r="A181" s="3">
        <v>90013</v>
      </c>
      <c r="B181" s="1" t="s">
        <v>4</v>
      </c>
      <c r="C181" s="2" t="str">
        <f>_xlfn.XLOOKUP(B181,线路DSP对应!A:A,线路DSP对应!B:B)</f>
        <v>STA_LAX_JLP</v>
      </c>
      <c r="D181" s="4" t="s">
        <v>147</v>
      </c>
      <c r="E181" s="2" t="str">
        <f>_xlfn.XLOOKUP(A181,转单情况!A:A,转单情况!B:B)</f>
        <v>否</v>
      </c>
      <c r="G181" s="28">
        <f>ROUND(_xlfn.XLOOKUP(A181,全量!A:A,全量!B:B,0)/7,1)</f>
        <v>0.3</v>
      </c>
      <c r="H181" s="2">
        <f>ROUND(_xlfn.XLOOKUP(A181,AE!A:A,AE!B:B,0)/7,1)</f>
        <v>0</v>
      </c>
      <c r="I181" s="2" t="str">
        <f>_xlfn.XLOOKUP(A181,SWFTX邮编覆盖!A:A,SWFTX邮编覆盖!B:B,"否")</f>
        <v>否</v>
      </c>
      <c r="J181" s="2" t="str">
        <f>_xlfn.XLOOKUP(A181,YW邮编覆盖!A:A,YW邮编覆盖!B:B,"否")</f>
        <v>否</v>
      </c>
    </row>
    <row r="182" spans="1:10" hidden="1">
      <c r="A182" s="3">
        <v>90014</v>
      </c>
      <c r="B182" s="1" t="s">
        <v>4</v>
      </c>
      <c r="C182" s="2" t="str">
        <f>_xlfn.XLOOKUP(B182,线路DSP对应!A:A,线路DSP对应!B:B)</f>
        <v>STA_LAX_JLP</v>
      </c>
      <c r="D182" s="4" t="s">
        <v>147</v>
      </c>
      <c r="E182" s="2" t="str">
        <f>_xlfn.XLOOKUP(A182,转单情况!A:A,转单情况!B:B)</f>
        <v>否</v>
      </c>
      <c r="G182" s="28">
        <f>ROUND(_xlfn.XLOOKUP(A182,全量!A:A,全量!B:B,0)/7,1)</f>
        <v>0.1</v>
      </c>
      <c r="H182" s="2">
        <f>ROUND(_xlfn.XLOOKUP(A182,AE!A:A,AE!B:B,0)/7,1)</f>
        <v>0</v>
      </c>
      <c r="I182" s="2" t="str">
        <f>_xlfn.XLOOKUP(A182,SWFTX邮编覆盖!A:A,SWFTX邮编覆盖!B:B,"否")</f>
        <v>否</v>
      </c>
      <c r="J182" s="2" t="str">
        <f>_xlfn.XLOOKUP(A182,YW邮编覆盖!A:A,YW邮编覆盖!B:B,"否")</f>
        <v>否</v>
      </c>
    </row>
    <row r="183" spans="1:10" hidden="1">
      <c r="A183" s="3">
        <v>90015</v>
      </c>
      <c r="B183" s="1" t="s">
        <v>4</v>
      </c>
      <c r="C183" s="2" t="str">
        <f>_xlfn.XLOOKUP(B183,线路DSP对应!A:A,线路DSP对应!B:B)</f>
        <v>STA_LAX_JLP</v>
      </c>
      <c r="D183" s="4" t="s">
        <v>147</v>
      </c>
      <c r="E183" s="2" t="str">
        <f>_xlfn.XLOOKUP(A183,转单情况!A:A,转单情况!B:B)</f>
        <v>否</v>
      </c>
      <c r="G183" s="28">
        <f>ROUND(_xlfn.XLOOKUP(A183,全量!A:A,全量!B:B,0)/7,1)</f>
        <v>0.3</v>
      </c>
      <c r="H183" s="2">
        <f>ROUND(_xlfn.XLOOKUP(A183,AE!A:A,AE!B:B,0)/7,1)</f>
        <v>0</v>
      </c>
      <c r="I183" s="2" t="str">
        <f>_xlfn.XLOOKUP(A183,SWFTX邮编覆盖!A:A,SWFTX邮编覆盖!B:B,"否")</f>
        <v>否</v>
      </c>
      <c r="J183" s="2" t="str">
        <f>_xlfn.XLOOKUP(A183,YW邮编覆盖!A:A,YW邮编覆盖!B:B,"否")</f>
        <v>否</v>
      </c>
    </row>
    <row r="184" spans="1:10" hidden="1">
      <c r="A184" s="3">
        <v>90017</v>
      </c>
      <c r="B184" s="1" t="s">
        <v>4</v>
      </c>
      <c r="C184" s="2" t="str">
        <f>_xlfn.XLOOKUP(B184,线路DSP对应!A:A,线路DSP对应!B:B)</f>
        <v>STA_LAX_JLP</v>
      </c>
      <c r="D184" s="4" t="s">
        <v>147</v>
      </c>
      <c r="E184" s="2" t="str">
        <f>_xlfn.XLOOKUP(A184,转单情况!A:A,转单情况!B:B)</f>
        <v>否</v>
      </c>
      <c r="G184" s="28">
        <f>ROUND(_xlfn.XLOOKUP(A184,全量!A:A,全量!B:B,0)/7,1)</f>
        <v>0.1</v>
      </c>
      <c r="H184" s="2">
        <f>ROUND(_xlfn.XLOOKUP(A184,AE!A:A,AE!B:B,0)/7,1)</f>
        <v>0</v>
      </c>
      <c r="I184" s="2" t="str">
        <f>_xlfn.XLOOKUP(A184,SWFTX邮编覆盖!A:A,SWFTX邮编覆盖!B:B,"否")</f>
        <v>否</v>
      </c>
      <c r="J184" s="2" t="str">
        <f>_xlfn.XLOOKUP(A184,YW邮编覆盖!A:A,YW邮编覆盖!B:B,"否")</f>
        <v>否</v>
      </c>
    </row>
    <row r="185" spans="1:10" hidden="1">
      <c r="A185" s="3">
        <v>90021</v>
      </c>
      <c r="B185" s="1" t="s">
        <v>4</v>
      </c>
      <c r="C185" s="2" t="str">
        <f>_xlfn.XLOOKUP(B185,线路DSP对应!A:A,线路DSP对应!B:B)</f>
        <v>STA_LAX_JLP</v>
      </c>
      <c r="D185" s="4" t="s">
        <v>147</v>
      </c>
      <c r="E185" s="2" t="str">
        <f>_xlfn.XLOOKUP(A185,转单情况!A:A,转单情况!B:B)</f>
        <v>否</v>
      </c>
      <c r="G185" s="28">
        <f>ROUND(_xlfn.XLOOKUP(A185,全量!A:A,全量!B:B,0)/7,1)</f>
        <v>0</v>
      </c>
      <c r="H185" s="2">
        <f>ROUND(_xlfn.XLOOKUP(A185,AE!A:A,AE!B:B,0)/7,1)</f>
        <v>0</v>
      </c>
      <c r="I185" s="2" t="str">
        <f>_xlfn.XLOOKUP(A185,SWFTX邮编覆盖!A:A,SWFTX邮编覆盖!B:B,"否")</f>
        <v>否</v>
      </c>
      <c r="J185" s="2" t="str">
        <f>_xlfn.XLOOKUP(A185,YW邮编覆盖!A:A,YW邮编覆盖!B:B,"否")</f>
        <v>否</v>
      </c>
    </row>
    <row r="186" spans="1:10" hidden="1">
      <c r="A186" s="3">
        <v>90079</v>
      </c>
      <c r="B186" s="1" t="s">
        <v>4</v>
      </c>
      <c r="C186" s="2" t="str">
        <f>_xlfn.XLOOKUP(B186,线路DSP对应!A:A,线路DSP对应!B:B)</f>
        <v>STA_LAX_JLP</v>
      </c>
      <c r="D186" s="4" t="s">
        <v>147</v>
      </c>
      <c r="E186" s="2" t="str">
        <f>_xlfn.XLOOKUP(A186,转单情况!A:A,转单情况!B:B)</f>
        <v>否</v>
      </c>
      <c r="G186" s="28">
        <f>ROUND(_xlfn.XLOOKUP(A186,全量!A:A,全量!B:B,0)/7,1)</f>
        <v>0</v>
      </c>
      <c r="H186" s="2">
        <f>ROUND(_xlfn.XLOOKUP(A186,AE!A:A,AE!B:B,0)/7,1)</f>
        <v>0</v>
      </c>
      <c r="I186" s="2" t="str">
        <f>_xlfn.XLOOKUP(A186,SWFTX邮编覆盖!A:A,SWFTX邮编覆盖!B:B,"否")</f>
        <v>否</v>
      </c>
      <c r="J186" s="2" t="str">
        <f>_xlfn.XLOOKUP(A186,YW邮编覆盖!A:A,YW邮编覆盖!B:B,"否")</f>
        <v>否</v>
      </c>
    </row>
    <row r="187" spans="1:10" hidden="1">
      <c r="A187" s="3">
        <v>90088</v>
      </c>
      <c r="B187" s="1" t="s">
        <v>4</v>
      </c>
      <c r="C187" s="2" t="str">
        <f>_xlfn.XLOOKUP(B187,线路DSP对应!A:A,线路DSP对应!B:B)</f>
        <v>STA_LAX_JLP</v>
      </c>
      <c r="D187" s="4" t="s">
        <v>147</v>
      </c>
      <c r="E187" s="2" t="str">
        <f>_xlfn.XLOOKUP(A187,转单情况!A:A,转单情况!B:B)</f>
        <v>否</v>
      </c>
      <c r="G187" s="28">
        <f>ROUND(_xlfn.XLOOKUP(A187,全量!A:A,全量!B:B,0)/7,1)</f>
        <v>0</v>
      </c>
      <c r="H187" s="2">
        <f>ROUND(_xlfn.XLOOKUP(A187,AE!A:A,AE!B:B,0)/7,1)</f>
        <v>0</v>
      </c>
      <c r="I187" s="2" t="str">
        <f>_xlfn.XLOOKUP(A187,SWFTX邮编覆盖!A:A,SWFTX邮编覆盖!B:B,"否")</f>
        <v>否</v>
      </c>
      <c r="J187" s="2" t="str">
        <f>_xlfn.XLOOKUP(A187,YW邮编覆盖!A:A,YW邮编覆盖!B:B,"否")</f>
        <v>否</v>
      </c>
    </row>
    <row r="188" spans="1:10" hidden="1">
      <c r="A188" s="3">
        <v>90057</v>
      </c>
      <c r="B188" s="1" t="s">
        <v>4</v>
      </c>
      <c r="C188" s="2" t="str">
        <f>_xlfn.XLOOKUP(B188,线路DSP对应!A:A,线路DSP对应!B:B)</f>
        <v>STA_LAX_JLP</v>
      </c>
      <c r="D188" s="4" t="s">
        <v>147</v>
      </c>
      <c r="E188" s="2" t="str">
        <f>_xlfn.XLOOKUP(A188,转单情况!A:A,转单情况!B:B)</f>
        <v>否</v>
      </c>
      <c r="G188" s="28">
        <f>ROUND(_xlfn.XLOOKUP(A188,全量!A:A,全量!B:B,0)/7,1)</f>
        <v>2</v>
      </c>
      <c r="H188" s="2">
        <f>ROUND(_xlfn.XLOOKUP(A188,AE!A:A,AE!B:B,0)/7,1)</f>
        <v>0</v>
      </c>
      <c r="I188" s="2" t="str">
        <f>_xlfn.XLOOKUP(A188,SWFTX邮编覆盖!A:A,SWFTX邮编覆盖!B:B,"否")</f>
        <v>否</v>
      </c>
      <c r="J188" s="2" t="str">
        <f>_xlfn.XLOOKUP(A188,YW邮编覆盖!A:A,YW邮编覆盖!B:B,"否")</f>
        <v>否</v>
      </c>
    </row>
    <row r="189" spans="1:10" hidden="1">
      <c r="A189" s="3">
        <v>90039</v>
      </c>
      <c r="B189" s="1" t="s">
        <v>6</v>
      </c>
      <c r="C189" s="2" t="str">
        <f>_xlfn.XLOOKUP(B189,线路DSP对应!A:A,线路DSP对应!B:B)</f>
        <v>STA_LAX_ChinaOcean</v>
      </c>
      <c r="D189" s="4" t="s">
        <v>147</v>
      </c>
      <c r="E189" s="2" t="str">
        <f>_xlfn.XLOOKUP(A189,转单情况!A:A,转单情况!B:B)</f>
        <v>SW</v>
      </c>
      <c r="F189" s="29"/>
      <c r="G189" s="28">
        <f>ROUND(_xlfn.XLOOKUP(A189,全量!A:A,全量!B:B,0)/7,1)</f>
        <v>0.3</v>
      </c>
      <c r="H189" s="2">
        <f>ROUND(_xlfn.XLOOKUP(A189,AE!A:A,AE!B:B,0)/7,1)</f>
        <v>0</v>
      </c>
      <c r="I189" s="2" t="str">
        <f>_xlfn.XLOOKUP(A189,SWFTX邮编覆盖!A:A,SWFTX邮编覆盖!B:B,"否")</f>
        <v>是</v>
      </c>
      <c r="J189" s="2" t="str">
        <f>_xlfn.XLOOKUP(A189,YW邮编覆盖!A:A,YW邮编覆盖!B:B,"否")</f>
        <v>是</v>
      </c>
    </row>
    <row r="190" spans="1:10" hidden="1">
      <c r="A190" s="3">
        <v>90041</v>
      </c>
      <c r="B190" s="1" t="s">
        <v>6</v>
      </c>
      <c r="C190" s="2" t="str">
        <f>_xlfn.XLOOKUP(B190,线路DSP对应!A:A,线路DSP对应!B:B)</f>
        <v>STA_LAX_ChinaOcean</v>
      </c>
      <c r="D190" s="4" t="s">
        <v>147</v>
      </c>
      <c r="E190" s="2" t="str">
        <f>_xlfn.XLOOKUP(A190,转单情况!A:A,转单情况!B:B)</f>
        <v>SW</v>
      </c>
      <c r="F190" s="29"/>
      <c r="G190" s="28">
        <f>ROUND(_xlfn.XLOOKUP(A190,全量!A:A,全量!B:B,0)/7,1)</f>
        <v>0.1</v>
      </c>
      <c r="H190" s="2">
        <f>ROUND(_xlfn.XLOOKUP(A190,AE!A:A,AE!B:B,0)/7,1)</f>
        <v>0</v>
      </c>
      <c r="I190" s="2" t="str">
        <f>_xlfn.XLOOKUP(A190,SWFTX邮编覆盖!A:A,SWFTX邮编覆盖!B:B,"否")</f>
        <v>是</v>
      </c>
      <c r="J190" s="2" t="str">
        <f>_xlfn.XLOOKUP(A190,YW邮编覆盖!A:A,YW邮编覆盖!B:B,"否")</f>
        <v>是</v>
      </c>
    </row>
    <row r="191" spans="1:10" hidden="1">
      <c r="A191" s="3">
        <v>90042</v>
      </c>
      <c r="B191" s="1" t="s">
        <v>6</v>
      </c>
      <c r="C191" s="2" t="str">
        <f>_xlfn.XLOOKUP(B191,线路DSP对应!A:A,线路DSP对应!B:B)</f>
        <v>STA_LAX_ChinaOcean</v>
      </c>
      <c r="D191" s="4" t="s">
        <v>147</v>
      </c>
      <c r="E191" s="2" t="str">
        <f>_xlfn.XLOOKUP(A191,转单情况!A:A,转单情况!B:B)</f>
        <v>SW</v>
      </c>
      <c r="F191" s="29"/>
      <c r="G191" s="28">
        <f>ROUND(_xlfn.XLOOKUP(A191,全量!A:A,全量!B:B,0)/7,1)</f>
        <v>0.6</v>
      </c>
      <c r="H191" s="2">
        <f>ROUND(_xlfn.XLOOKUP(A191,AE!A:A,AE!B:B,0)/7,1)</f>
        <v>0</v>
      </c>
      <c r="I191" s="2" t="str">
        <f>_xlfn.XLOOKUP(A191,SWFTX邮编覆盖!A:A,SWFTX邮编覆盖!B:B,"否")</f>
        <v>是</v>
      </c>
      <c r="J191" s="2" t="str">
        <f>_xlfn.XLOOKUP(A191,YW邮编覆盖!A:A,YW邮编覆盖!B:B,"否")</f>
        <v>是</v>
      </c>
    </row>
    <row r="192" spans="1:10" hidden="1">
      <c r="A192" s="3">
        <v>90065</v>
      </c>
      <c r="B192" s="1" t="s">
        <v>6</v>
      </c>
      <c r="C192" s="2" t="str">
        <f>_xlfn.XLOOKUP(B192,线路DSP对应!A:A,线路DSP对应!B:B)</f>
        <v>STA_LAX_ChinaOcean</v>
      </c>
      <c r="D192" s="4" t="s">
        <v>147</v>
      </c>
      <c r="E192" s="2" t="str">
        <f>_xlfn.XLOOKUP(A192,转单情况!A:A,转单情况!B:B)</f>
        <v>SW</v>
      </c>
      <c r="F192" s="29"/>
      <c r="G192" s="28">
        <f>ROUND(_xlfn.XLOOKUP(A192,全量!A:A,全量!B:B,0)/7,1)</f>
        <v>0.3</v>
      </c>
      <c r="H192" s="2">
        <f>ROUND(_xlfn.XLOOKUP(A192,AE!A:A,AE!B:B,0)/7,1)</f>
        <v>0</v>
      </c>
      <c r="I192" s="2" t="str">
        <f>_xlfn.XLOOKUP(A192,SWFTX邮编覆盖!A:A,SWFTX邮编覆盖!B:B,"否")</f>
        <v>是</v>
      </c>
      <c r="J192" s="2" t="str">
        <f>_xlfn.XLOOKUP(A192,YW邮编覆盖!A:A,YW邮编覆盖!B:B,"否")</f>
        <v>是</v>
      </c>
    </row>
    <row r="193" spans="1:10" hidden="1">
      <c r="A193" s="3">
        <v>91030</v>
      </c>
      <c r="B193" s="1" t="s">
        <v>7</v>
      </c>
      <c r="C193" s="2" t="str">
        <f>_xlfn.XLOOKUP(B193,线路DSP对应!A:A,线路DSP对应!B:B)</f>
        <v>STA_LAX_ChinaOcean</v>
      </c>
      <c r="D193" s="4" t="s">
        <v>147</v>
      </c>
      <c r="E193" s="2" t="str">
        <f>_xlfn.XLOOKUP(A193,转单情况!A:A,转单情况!B:B)</f>
        <v>SW</v>
      </c>
      <c r="F193" s="29"/>
      <c r="G193" s="28">
        <f>ROUND(_xlfn.XLOOKUP(A193,全量!A:A,全量!B:B,0)/7,1)</f>
        <v>0</v>
      </c>
      <c r="H193" s="2">
        <f>ROUND(_xlfn.XLOOKUP(A193,AE!A:A,AE!B:B,0)/7,1)</f>
        <v>0</v>
      </c>
      <c r="I193" s="2" t="str">
        <f>_xlfn.XLOOKUP(A193,SWFTX邮编覆盖!A:A,SWFTX邮编覆盖!B:B,"否")</f>
        <v>是</v>
      </c>
      <c r="J193" s="2" t="str">
        <f>_xlfn.XLOOKUP(A193,YW邮编覆盖!A:A,YW邮编覆盖!B:B,"否")</f>
        <v>是</v>
      </c>
    </row>
    <row r="194" spans="1:10" hidden="1">
      <c r="A194" s="3">
        <v>91108</v>
      </c>
      <c r="B194" s="1" t="s">
        <v>7</v>
      </c>
      <c r="C194" s="2" t="str">
        <f>_xlfn.XLOOKUP(B194,线路DSP对应!A:A,线路DSP对应!B:B)</f>
        <v>STA_LAX_ChinaOcean</v>
      </c>
      <c r="D194" s="4" t="s">
        <v>147</v>
      </c>
      <c r="E194" s="2" t="str">
        <f>_xlfn.XLOOKUP(A194,转单情况!A:A,转单情况!B:B)</f>
        <v>SW</v>
      </c>
      <c r="G194" s="28">
        <f>ROUND(_xlfn.XLOOKUP(A194,全量!A:A,全量!B:B,0)/7,1)</f>
        <v>0.1</v>
      </c>
      <c r="H194" s="2">
        <f>ROUND(_xlfn.XLOOKUP(A194,AE!A:A,AE!B:B,0)/7,1)</f>
        <v>0</v>
      </c>
      <c r="I194" s="2" t="str">
        <f>_xlfn.XLOOKUP(A194,SWFTX邮编覆盖!A:A,SWFTX邮编覆盖!B:B,"否")</f>
        <v>是</v>
      </c>
      <c r="J194" s="2" t="str">
        <f>_xlfn.XLOOKUP(A194,YW邮编覆盖!A:A,YW邮编覆盖!B:B,"否")</f>
        <v>是</v>
      </c>
    </row>
    <row r="195" spans="1:10" hidden="1">
      <c r="A195" s="3">
        <v>91107</v>
      </c>
      <c r="B195" s="1" t="s">
        <v>7</v>
      </c>
      <c r="C195" s="2" t="str">
        <f>_xlfn.XLOOKUP(B195,线路DSP对应!A:A,线路DSP对应!B:B)</f>
        <v>STA_LAX_ChinaOcean</v>
      </c>
      <c r="D195" s="4" t="s">
        <v>147</v>
      </c>
      <c r="E195" s="2" t="str">
        <f>_xlfn.XLOOKUP(A195,转单情况!A:A,转单情况!B:B)</f>
        <v>SW</v>
      </c>
      <c r="G195" s="28">
        <f>ROUND(_xlfn.XLOOKUP(A195,全量!A:A,全量!B:B,0)/7,1)</f>
        <v>0.1</v>
      </c>
      <c r="H195" s="2">
        <f>ROUND(_xlfn.XLOOKUP(A195,AE!A:A,AE!B:B,0)/7,1)</f>
        <v>0</v>
      </c>
      <c r="I195" s="2" t="str">
        <f>_xlfn.XLOOKUP(A195,SWFTX邮编覆盖!A:A,SWFTX邮编覆盖!B:B,"否")</f>
        <v>是</v>
      </c>
      <c r="J195" s="2" t="str">
        <f>_xlfn.XLOOKUP(A195,YW邮编覆盖!A:A,YW邮编覆盖!B:B,"否")</f>
        <v>是</v>
      </c>
    </row>
    <row r="196" spans="1:10">
      <c r="A196" s="3">
        <v>91024</v>
      </c>
      <c r="B196" s="1" t="s">
        <v>7</v>
      </c>
      <c r="C196" s="2" t="str">
        <f>_xlfn.XLOOKUP(B196,线路DSP对应!A:A,线路DSP对应!B:B)</f>
        <v>STA_LAX_ChinaOcean</v>
      </c>
      <c r="D196" s="4" t="s">
        <v>147</v>
      </c>
      <c r="E196" s="2" t="str">
        <f>_xlfn.XLOOKUP(A196,转单情况!A:A,转单情况!B:B)</f>
        <v>YW</v>
      </c>
      <c r="G196" s="28">
        <f>ROUND(_xlfn.XLOOKUP(A196,全量!A:A,全量!B:B,0)/7,1)</f>
        <v>0.9</v>
      </c>
      <c r="H196" s="2">
        <f>ROUND(_xlfn.XLOOKUP(A196,AE!A:A,AE!B:B,0)/7,1)</f>
        <v>0</v>
      </c>
      <c r="I196" s="2" t="str">
        <f>_xlfn.XLOOKUP(A196,SWFTX邮编覆盖!A:A,SWFTX邮编覆盖!B:B,"否")</f>
        <v>否</v>
      </c>
      <c r="J196" s="2" t="str">
        <f>_xlfn.XLOOKUP(A196,YW邮编覆盖!A:A,YW邮编覆盖!B:B,"否")</f>
        <v>是</v>
      </c>
    </row>
    <row r="197" spans="1:10" hidden="1">
      <c r="A197" s="3">
        <v>91731</v>
      </c>
      <c r="B197" s="1" t="s">
        <v>8</v>
      </c>
      <c r="C197" s="2" t="str">
        <f>_xlfn.XLOOKUP(B197,线路DSP对应!A:A,线路DSP对应!B:B)</f>
        <v>STA_LAX_ChinaOcean</v>
      </c>
      <c r="D197" s="4" t="s">
        <v>147</v>
      </c>
      <c r="E197" s="2" t="str">
        <f>_xlfn.XLOOKUP(A197,转单情况!A:A,转单情况!B:B)</f>
        <v>SW</v>
      </c>
      <c r="G197" s="28">
        <f>ROUND(_xlfn.XLOOKUP(A197,全量!A:A,全量!B:B,0)/7,1)</f>
        <v>0.3</v>
      </c>
      <c r="H197" s="2">
        <f>ROUND(_xlfn.XLOOKUP(A197,AE!A:A,AE!B:B,0)/7,1)</f>
        <v>0</v>
      </c>
      <c r="I197" s="2" t="str">
        <f>_xlfn.XLOOKUP(A197,SWFTX邮编覆盖!A:A,SWFTX邮编覆盖!B:B,"否")</f>
        <v>是</v>
      </c>
      <c r="J197" s="2" t="str">
        <f>_xlfn.XLOOKUP(A197,YW邮编覆盖!A:A,YW邮编覆盖!B:B,"否")</f>
        <v>是</v>
      </c>
    </row>
    <row r="198" spans="1:10" hidden="1">
      <c r="A198" s="3">
        <v>91732</v>
      </c>
      <c r="B198" s="1" t="s">
        <v>8</v>
      </c>
      <c r="C198" s="2" t="str">
        <f>_xlfn.XLOOKUP(B198,线路DSP对应!A:A,线路DSP对应!B:B)</f>
        <v>STA_LAX_ChinaOcean</v>
      </c>
      <c r="D198" s="4" t="s">
        <v>147</v>
      </c>
      <c r="E198" s="2" t="str">
        <f>_xlfn.XLOOKUP(A198,转单情况!A:A,转单情况!B:B)</f>
        <v>SW</v>
      </c>
      <c r="G198" s="28">
        <f>ROUND(_xlfn.XLOOKUP(A198,全量!A:A,全量!B:B,0)/7,1)</f>
        <v>0.7</v>
      </c>
      <c r="H198" s="2">
        <f>ROUND(_xlfn.XLOOKUP(A198,AE!A:A,AE!B:B,0)/7,1)</f>
        <v>0</v>
      </c>
      <c r="I198" s="2" t="str">
        <f>_xlfn.XLOOKUP(A198,SWFTX邮编覆盖!A:A,SWFTX邮编覆盖!B:B,"否")</f>
        <v>是</v>
      </c>
      <c r="J198" s="2" t="str">
        <f>_xlfn.XLOOKUP(A198,YW邮编覆盖!A:A,YW邮编覆盖!B:B,"否")</f>
        <v>是</v>
      </c>
    </row>
    <row r="199" spans="1:10" hidden="1">
      <c r="A199" s="3">
        <v>91016</v>
      </c>
      <c r="B199" s="1" t="s">
        <v>8</v>
      </c>
      <c r="C199" s="2" t="str">
        <f>_xlfn.XLOOKUP(B199,线路DSP对应!A:A,线路DSP对应!B:B)</f>
        <v>STA_LAX_ChinaOcean</v>
      </c>
      <c r="D199" s="4" t="s">
        <v>147</v>
      </c>
      <c r="E199" s="2" t="str">
        <f>_xlfn.XLOOKUP(A199,转单情况!A:A,转单情况!B:B)</f>
        <v>SW</v>
      </c>
      <c r="F199" s="29"/>
      <c r="G199" s="28">
        <f>ROUND(_xlfn.XLOOKUP(A199,全量!A:A,全量!B:B,0)/7,1)</f>
        <v>0.1</v>
      </c>
      <c r="H199" s="2">
        <f>ROUND(_xlfn.XLOOKUP(A199,AE!A:A,AE!B:B,0)/7,1)</f>
        <v>0</v>
      </c>
      <c r="I199" s="2" t="str">
        <f>_xlfn.XLOOKUP(A199,SWFTX邮编覆盖!A:A,SWFTX邮编覆盖!B:B,"否")</f>
        <v>是</v>
      </c>
      <c r="J199" s="2" t="str">
        <f>_xlfn.XLOOKUP(A199,YW邮编覆盖!A:A,YW邮编覆盖!B:B,"否")</f>
        <v>是</v>
      </c>
    </row>
    <row r="200" spans="1:10" hidden="1">
      <c r="A200" s="3">
        <v>91010</v>
      </c>
      <c r="B200" s="1" t="s">
        <v>8</v>
      </c>
      <c r="C200" s="2" t="str">
        <f>_xlfn.XLOOKUP(B200,线路DSP对应!A:A,线路DSP对应!B:B)</f>
        <v>STA_LAX_ChinaOcean</v>
      </c>
      <c r="D200" s="4" t="s">
        <v>147</v>
      </c>
      <c r="E200" s="2" t="str">
        <f>_xlfn.XLOOKUP(A200,转单情况!A:A,转单情况!B:B)</f>
        <v>SW</v>
      </c>
      <c r="G200" s="28">
        <f>ROUND(_xlfn.XLOOKUP(A200,全量!A:A,全量!B:B,0)/7,1)</f>
        <v>1</v>
      </c>
      <c r="H200" s="2">
        <f>ROUND(_xlfn.XLOOKUP(A200,AE!A:A,AE!B:B,0)/7,1)</f>
        <v>0</v>
      </c>
      <c r="I200" s="2" t="str">
        <f>_xlfn.XLOOKUP(A200,SWFTX邮编覆盖!A:A,SWFTX邮编覆盖!B:B,"否")</f>
        <v>是</v>
      </c>
      <c r="J200" s="2" t="str">
        <f>_xlfn.XLOOKUP(A200,YW邮编覆盖!A:A,YW邮编覆盖!B:B,"否")</f>
        <v>是</v>
      </c>
    </row>
    <row r="201" spans="1:10">
      <c r="A201" s="3">
        <v>91008</v>
      </c>
      <c r="B201" s="1" t="s">
        <v>8</v>
      </c>
      <c r="C201" s="2" t="str">
        <f>_xlfn.XLOOKUP(B201,线路DSP对应!A:A,线路DSP对应!B:B)</f>
        <v>STA_LAX_ChinaOcean</v>
      </c>
      <c r="D201" s="4" t="s">
        <v>147</v>
      </c>
      <c r="E201" s="2" t="str">
        <f>_xlfn.XLOOKUP(A201,转单情况!A:A,转单情况!B:B)</f>
        <v>YW</v>
      </c>
      <c r="G201" s="28">
        <f>ROUND(_xlfn.XLOOKUP(A201,全量!A:A,全量!B:B,0)/7,1)</f>
        <v>0.1</v>
      </c>
      <c r="H201" s="2">
        <f>ROUND(_xlfn.XLOOKUP(A201,AE!A:A,AE!B:B,0)/7,1)</f>
        <v>0</v>
      </c>
      <c r="I201" s="2" t="str">
        <f>_xlfn.XLOOKUP(A201,SWFTX邮编覆盖!A:A,SWFTX邮编覆盖!B:B,"否")</f>
        <v>否</v>
      </c>
      <c r="J201" s="2" t="str">
        <f>_xlfn.XLOOKUP(A201,YW邮编覆盖!A:A,YW邮编覆盖!B:B,"否")</f>
        <v>是</v>
      </c>
    </row>
    <row r="202" spans="1:10" hidden="1">
      <c r="A202" s="3">
        <v>91006</v>
      </c>
      <c r="B202" s="1" t="s">
        <v>8</v>
      </c>
      <c r="C202" s="2" t="str">
        <f>_xlfn.XLOOKUP(B202,线路DSP对应!A:A,线路DSP对应!B:B)</f>
        <v>STA_LAX_ChinaOcean</v>
      </c>
      <c r="D202" s="4" t="s">
        <v>147</v>
      </c>
      <c r="E202" s="2" t="str">
        <f>_xlfn.XLOOKUP(A202,转单情况!A:A,转单情况!B:B)</f>
        <v>SW</v>
      </c>
      <c r="F202" s="29"/>
      <c r="G202" s="28">
        <f>ROUND(_xlfn.XLOOKUP(A202,全量!A:A,全量!B:B,0)/7,1)</f>
        <v>0.3</v>
      </c>
      <c r="H202" s="2">
        <f>ROUND(_xlfn.XLOOKUP(A202,AE!A:A,AE!B:B,0)/7,1)</f>
        <v>0</v>
      </c>
      <c r="I202" s="2" t="str">
        <f>_xlfn.XLOOKUP(A202,SWFTX邮编覆盖!A:A,SWFTX邮编覆盖!B:B,"否")</f>
        <v>是</v>
      </c>
      <c r="J202" s="2" t="str">
        <f>_xlfn.XLOOKUP(A202,YW邮编覆盖!A:A,YW邮编覆盖!B:B,"否")</f>
        <v>是</v>
      </c>
    </row>
    <row r="203" spans="1:10" hidden="1">
      <c r="A203" s="3">
        <v>91007</v>
      </c>
      <c r="B203" s="1" t="s">
        <v>8</v>
      </c>
      <c r="C203" s="2" t="str">
        <f>_xlfn.XLOOKUP(B203,线路DSP对应!A:A,线路DSP对应!B:B)</f>
        <v>STA_LAX_ChinaOcean</v>
      </c>
      <c r="D203" s="4" t="s">
        <v>147</v>
      </c>
      <c r="E203" s="2" t="str">
        <f>_xlfn.XLOOKUP(A203,转单情况!A:A,转单情况!B:B)</f>
        <v>SW</v>
      </c>
      <c r="F203" s="29"/>
      <c r="G203" s="28">
        <f>ROUND(_xlfn.XLOOKUP(A203,全量!A:A,全量!B:B,0)/7,1)</f>
        <v>0.4</v>
      </c>
      <c r="H203" s="2">
        <f>ROUND(_xlfn.XLOOKUP(A203,AE!A:A,AE!B:B,0)/7,1)</f>
        <v>0</v>
      </c>
      <c r="I203" s="2" t="str">
        <f>_xlfn.XLOOKUP(A203,SWFTX邮编覆盖!A:A,SWFTX邮编覆盖!B:B,"否")</f>
        <v>是</v>
      </c>
      <c r="J203" s="2" t="str">
        <f>_xlfn.XLOOKUP(A203,YW邮编覆盖!A:A,YW邮编覆盖!B:B,"否")</f>
        <v>是</v>
      </c>
    </row>
    <row r="204" spans="1:10" hidden="1">
      <c r="A204" s="3">
        <v>90022</v>
      </c>
      <c r="B204" s="1" t="s">
        <v>9</v>
      </c>
      <c r="C204" s="2" t="str">
        <f>_xlfn.XLOOKUP(B204,线路DSP对应!A:A,线路DSP对应!B:B)</f>
        <v>STA_LAX_JLP</v>
      </c>
      <c r="D204" s="4" t="s">
        <v>147</v>
      </c>
      <c r="E204" s="2" t="str">
        <f>_xlfn.XLOOKUP(A204,转单情况!A:A,转单情况!B:B)</f>
        <v>SW</v>
      </c>
      <c r="F204" s="29"/>
      <c r="G204" s="28">
        <f>ROUND(_xlfn.XLOOKUP(A204,全量!A:A,全量!B:B,0)/7,1)</f>
        <v>0.9</v>
      </c>
      <c r="H204" s="2">
        <f>ROUND(_xlfn.XLOOKUP(A204,AE!A:A,AE!B:B,0)/7,1)</f>
        <v>0</v>
      </c>
      <c r="I204" s="2" t="str">
        <f>_xlfn.XLOOKUP(A204,SWFTX邮编覆盖!A:A,SWFTX邮编覆盖!B:B,"否")</f>
        <v>是</v>
      </c>
      <c r="J204" s="2" t="str">
        <f>_xlfn.XLOOKUP(A204,YW邮编覆盖!A:A,YW邮编覆盖!B:B,"否")</f>
        <v>是</v>
      </c>
    </row>
    <row r="205" spans="1:10" hidden="1">
      <c r="A205" s="3">
        <v>90023</v>
      </c>
      <c r="B205" s="1" t="s">
        <v>9</v>
      </c>
      <c r="C205" s="2" t="str">
        <f>_xlfn.XLOOKUP(B205,线路DSP对应!A:A,线路DSP对应!B:B)</f>
        <v>STA_LAX_JLP</v>
      </c>
      <c r="D205" s="4" t="s">
        <v>147</v>
      </c>
      <c r="E205" s="2" t="str">
        <f>_xlfn.XLOOKUP(A205,转单情况!A:A,转单情况!B:B)</f>
        <v>SW</v>
      </c>
      <c r="F205" s="29"/>
      <c r="G205" s="28">
        <f>ROUND(_xlfn.XLOOKUP(A205,全量!A:A,全量!B:B,0)/7,1)</f>
        <v>0.4</v>
      </c>
      <c r="H205" s="2">
        <f>ROUND(_xlfn.XLOOKUP(A205,AE!A:A,AE!B:B,0)/7,1)</f>
        <v>0</v>
      </c>
      <c r="I205" s="2" t="str">
        <f>_xlfn.XLOOKUP(A205,SWFTX邮编覆盖!A:A,SWFTX邮编覆盖!B:B,"否")</f>
        <v>是</v>
      </c>
      <c r="J205" s="2" t="str">
        <f>_xlfn.XLOOKUP(A205,YW邮编覆盖!A:A,YW邮编覆盖!B:B,"否")</f>
        <v>是</v>
      </c>
    </row>
    <row r="206" spans="1:10" hidden="1">
      <c r="A206" s="3">
        <v>90063</v>
      </c>
      <c r="B206" s="1" t="s">
        <v>9</v>
      </c>
      <c r="C206" s="2" t="str">
        <f>_xlfn.XLOOKUP(B206,线路DSP对应!A:A,线路DSP对应!B:B)</f>
        <v>STA_LAX_JLP</v>
      </c>
      <c r="D206" s="4" t="s">
        <v>147</v>
      </c>
      <c r="E206" s="2" t="str">
        <f>_xlfn.XLOOKUP(A206,转单情况!A:A,转单情况!B:B)</f>
        <v>SW</v>
      </c>
      <c r="F206" s="29"/>
      <c r="G206" s="28">
        <f>ROUND(_xlfn.XLOOKUP(A206,全量!A:A,全量!B:B,0)/7,1)</f>
        <v>1.1000000000000001</v>
      </c>
      <c r="H206" s="2">
        <f>ROUND(_xlfn.XLOOKUP(A206,AE!A:A,AE!B:B,0)/7,1)</f>
        <v>0</v>
      </c>
      <c r="I206" s="2" t="str">
        <f>_xlfn.XLOOKUP(A206,SWFTX邮编覆盖!A:A,SWFTX邮编覆盖!B:B,"否")</f>
        <v>是</v>
      </c>
      <c r="J206" s="2" t="str">
        <f>_xlfn.XLOOKUP(A206,YW邮编覆盖!A:A,YW邮编覆盖!B:B,"否")</f>
        <v>是</v>
      </c>
    </row>
    <row r="207" spans="1:10" hidden="1">
      <c r="A207" s="3">
        <v>90033</v>
      </c>
      <c r="B207" s="1" t="s">
        <v>9</v>
      </c>
      <c r="C207" s="2" t="str">
        <f>_xlfn.XLOOKUP(B207,线路DSP对应!A:A,线路DSP对应!B:B)</f>
        <v>STA_LAX_JLP</v>
      </c>
      <c r="D207" s="4" t="s">
        <v>147</v>
      </c>
      <c r="E207" s="2" t="str">
        <f>_xlfn.XLOOKUP(A207,转单情况!A:A,转单情况!B:B)</f>
        <v>否</v>
      </c>
      <c r="G207" s="28">
        <f>ROUND(_xlfn.XLOOKUP(A207,全量!A:A,全量!B:B,0)/7,1)</f>
        <v>8.3000000000000007</v>
      </c>
      <c r="H207" s="2">
        <f>ROUND(_xlfn.XLOOKUP(A207,AE!A:A,AE!B:B,0)/7,1)</f>
        <v>0</v>
      </c>
      <c r="I207" s="2" t="str">
        <f>_xlfn.XLOOKUP(A207,SWFTX邮编覆盖!A:A,SWFTX邮编覆盖!B:B,"否")</f>
        <v>否</v>
      </c>
      <c r="J207" s="2" t="str">
        <f>_xlfn.XLOOKUP(A207,YW邮编覆盖!A:A,YW邮编覆盖!B:B,"否")</f>
        <v>否</v>
      </c>
    </row>
    <row r="208" spans="1:10" hidden="1">
      <c r="A208" s="3">
        <v>90031</v>
      </c>
      <c r="B208" s="1" t="s">
        <v>9</v>
      </c>
      <c r="C208" s="2" t="str">
        <f>_xlfn.XLOOKUP(B208,线路DSP对应!A:A,线路DSP对应!B:B)</f>
        <v>STA_LAX_JLP</v>
      </c>
      <c r="D208" s="4" t="s">
        <v>147</v>
      </c>
      <c r="E208" s="2" t="str">
        <f>_xlfn.XLOOKUP(A208,转单情况!A:A,转单情况!B:B)</f>
        <v>否</v>
      </c>
      <c r="G208" s="28">
        <f>ROUND(_xlfn.XLOOKUP(A208,全量!A:A,全量!B:B,0)/7,1)</f>
        <v>4.7</v>
      </c>
      <c r="H208" s="2">
        <f>ROUND(_xlfn.XLOOKUP(A208,AE!A:A,AE!B:B,0)/7,1)</f>
        <v>0</v>
      </c>
      <c r="I208" s="2" t="str">
        <f>_xlfn.XLOOKUP(A208,SWFTX邮编覆盖!A:A,SWFTX邮编覆盖!B:B,"否")</f>
        <v>否</v>
      </c>
      <c r="J208" s="2" t="str">
        <f>_xlfn.XLOOKUP(A208,YW邮编覆盖!A:A,YW邮编覆盖!B:B,"否")</f>
        <v>否</v>
      </c>
    </row>
    <row r="209" spans="1:10" hidden="1">
      <c r="A209" s="3">
        <v>90032</v>
      </c>
      <c r="B209" s="1" t="s">
        <v>9</v>
      </c>
      <c r="C209" s="2" t="str">
        <f>_xlfn.XLOOKUP(B209,线路DSP对应!A:A,线路DSP对应!B:B)</f>
        <v>STA_LAX_JLP</v>
      </c>
      <c r="D209" s="4" t="s">
        <v>147</v>
      </c>
      <c r="E209" s="2" t="str">
        <f>_xlfn.XLOOKUP(A209,转单情况!A:A,转单情况!B:B)</f>
        <v>SW</v>
      </c>
      <c r="F209" s="29"/>
      <c r="G209" s="28">
        <f>ROUND(_xlfn.XLOOKUP(A209,全量!A:A,全量!B:B,0)/7,1)</f>
        <v>0.3</v>
      </c>
      <c r="H209" s="2">
        <f>ROUND(_xlfn.XLOOKUP(A209,AE!A:A,AE!B:B,0)/7,1)</f>
        <v>0</v>
      </c>
      <c r="I209" s="2" t="str">
        <f>_xlfn.XLOOKUP(A209,SWFTX邮编覆盖!A:A,SWFTX邮编覆盖!B:B,"否")</f>
        <v>是</v>
      </c>
      <c r="J209" s="2" t="str">
        <f>_xlfn.XLOOKUP(A209,YW邮编覆盖!A:A,YW邮编覆盖!B:B,"否")</f>
        <v>是</v>
      </c>
    </row>
    <row r="210" spans="1:10" hidden="1">
      <c r="A210" s="3">
        <v>90660</v>
      </c>
      <c r="B210" s="1" t="s">
        <v>10</v>
      </c>
      <c r="C210" s="2" t="str">
        <f>_xlfn.XLOOKUP(B210,线路DSP对应!A:A,线路DSP对应!B:B)</f>
        <v>STA_LAX_JLP</v>
      </c>
      <c r="D210" s="4" t="s">
        <v>147</v>
      </c>
      <c r="E210" s="2" t="str">
        <f>_xlfn.XLOOKUP(A210,转单情况!A:A,转单情况!B:B)</f>
        <v>SW</v>
      </c>
      <c r="F210" s="29"/>
      <c r="G210" s="28">
        <f>ROUND(_xlfn.XLOOKUP(A210,全量!A:A,全量!B:B,0)/7,1)</f>
        <v>0.3</v>
      </c>
      <c r="H210" s="2">
        <f>ROUND(_xlfn.XLOOKUP(A210,AE!A:A,AE!B:B,0)/7,1)</f>
        <v>0</v>
      </c>
      <c r="I210" s="2" t="str">
        <f>_xlfn.XLOOKUP(A210,SWFTX邮编覆盖!A:A,SWFTX邮编覆盖!B:B,"否")</f>
        <v>是</v>
      </c>
      <c r="J210" s="2" t="str">
        <f>_xlfn.XLOOKUP(A210,YW邮编覆盖!A:A,YW邮编覆盖!B:B,"否")</f>
        <v>是</v>
      </c>
    </row>
    <row r="211" spans="1:10" hidden="1">
      <c r="A211" s="3">
        <v>90601</v>
      </c>
      <c r="B211" s="1" t="s">
        <v>10</v>
      </c>
      <c r="C211" s="2" t="str">
        <f>_xlfn.XLOOKUP(B211,线路DSP对应!A:A,线路DSP对应!B:B)</f>
        <v>STA_LAX_JLP</v>
      </c>
      <c r="D211" s="4" t="s">
        <v>147</v>
      </c>
      <c r="E211" s="2" t="str">
        <f>_xlfn.XLOOKUP(A211,转单情况!A:A,转单情况!B:B)</f>
        <v>SW</v>
      </c>
      <c r="G211" s="28">
        <f>ROUND(_xlfn.XLOOKUP(A211,全量!A:A,全量!B:B,0)/7,1)</f>
        <v>0.3</v>
      </c>
      <c r="H211" s="2">
        <f>ROUND(_xlfn.XLOOKUP(A211,AE!A:A,AE!B:B,0)/7,1)</f>
        <v>0</v>
      </c>
      <c r="I211" s="2" t="str">
        <f>_xlfn.XLOOKUP(A211,SWFTX邮编覆盖!A:A,SWFTX邮编覆盖!B:B,"否")</f>
        <v>是</v>
      </c>
      <c r="J211" s="2" t="str">
        <f>_xlfn.XLOOKUP(A211,YW邮编覆盖!A:A,YW邮编覆盖!B:B,"否")</f>
        <v>是</v>
      </c>
    </row>
    <row r="212" spans="1:10" hidden="1">
      <c r="A212" s="3">
        <v>90602</v>
      </c>
      <c r="B212" s="1" t="s">
        <v>10</v>
      </c>
      <c r="C212" s="2" t="str">
        <f>_xlfn.XLOOKUP(B212,线路DSP对应!A:A,线路DSP对应!B:B)</f>
        <v>STA_LAX_JLP</v>
      </c>
      <c r="D212" s="4" t="s">
        <v>147</v>
      </c>
      <c r="E212" s="2" t="str">
        <f>_xlfn.XLOOKUP(A212,转单情况!A:A,转单情况!B:B)</f>
        <v>SW</v>
      </c>
      <c r="F212" s="29"/>
      <c r="G212" s="28">
        <f>ROUND(_xlfn.XLOOKUP(A212,全量!A:A,全量!B:B,0)/7,1)</f>
        <v>0.1</v>
      </c>
      <c r="H212" s="2">
        <f>ROUND(_xlfn.XLOOKUP(A212,AE!A:A,AE!B:B,0)/7,1)</f>
        <v>0</v>
      </c>
      <c r="I212" s="2" t="str">
        <f>_xlfn.XLOOKUP(A212,SWFTX邮编覆盖!A:A,SWFTX邮编覆盖!B:B,"否")</f>
        <v>是</v>
      </c>
      <c r="J212" s="2" t="str">
        <f>_xlfn.XLOOKUP(A212,YW邮编覆盖!A:A,YW邮编覆盖!B:B,"否")</f>
        <v>是</v>
      </c>
    </row>
    <row r="213" spans="1:10" hidden="1">
      <c r="A213" s="3">
        <v>90603</v>
      </c>
      <c r="B213" s="1" t="s">
        <v>10</v>
      </c>
      <c r="C213" s="2" t="str">
        <f>_xlfn.XLOOKUP(B213,线路DSP对应!A:A,线路DSP对应!B:B)</f>
        <v>STA_LAX_JLP</v>
      </c>
      <c r="D213" s="4" t="s">
        <v>147</v>
      </c>
      <c r="E213" s="2" t="str">
        <f>_xlfn.XLOOKUP(A213,转单情况!A:A,转单情况!B:B)</f>
        <v>SW</v>
      </c>
      <c r="G213" s="28">
        <f>ROUND(_xlfn.XLOOKUP(A213,全量!A:A,全量!B:B,0)/7,1)</f>
        <v>0.1</v>
      </c>
      <c r="H213" s="2">
        <f>ROUND(_xlfn.XLOOKUP(A213,AE!A:A,AE!B:B,0)/7,1)</f>
        <v>0</v>
      </c>
      <c r="I213" s="2" t="str">
        <f>_xlfn.XLOOKUP(A213,SWFTX邮编覆盖!A:A,SWFTX邮编覆盖!B:B,"否")</f>
        <v>是</v>
      </c>
      <c r="J213" s="2" t="str">
        <f>_xlfn.XLOOKUP(A213,YW邮编覆盖!A:A,YW邮编覆盖!B:B,"否")</f>
        <v>是</v>
      </c>
    </row>
    <row r="214" spans="1:10" hidden="1">
      <c r="A214" s="3">
        <v>90604</v>
      </c>
      <c r="B214" s="1" t="s">
        <v>10</v>
      </c>
      <c r="C214" s="2" t="str">
        <f>_xlfn.XLOOKUP(B214,线路DSP对应!A:A,线路DSP对应!B:B)</f>
        <v>STA_LAX_JLP</v>
      </c>
      <c r="D214" s="4" t="s">
        <v>147</v>
      </c>
      <c r="E214" s="2" t="str">
        <f>_xlfn.XLOOKUP(A214,转单情况!A:A,转单情况!B:B)</f>
        <v>SW</v>
      </c>
      <c r="F214" s="29"/>
      <c r="G214" s="28">
        <f>ROUND(_xlfn.XLOOKUP(A214,全量!A:A,全量!B:B,0)/7,1)</f>
        <v>0</v>
      </c>
      <c r="H214" s="2">
        <f>ROUND(_xlfn.XLOOKUP(A214,AE!A:A,AE!B:B,0)/7,1)</f>
        <v>0</v>
      </c>
      <c r="I214" s="2" t="str">
        <f>_xlfn.XLOOKUP(A214,SWFTX邮编覆盖!A:A,SWFTX邮编覆盖!B:B,"否")</f>
        <v>是</v>
      </c>
      <c r="J214" s="2" t="str">
        <f>_xlfn.XLOOKUP(A214,YW邮编覆盖!A:A,YW邮编覆盖!B:B,"否")</f>
        <v>是</v>
      </c>
    </row>
    <row r="215" spans="1:10" hidden="1">
      <c r="A215" s="3">
        <v>90605</v>
      </c>
      <c r="B215" s="1" t="s">
        <v>10</v>
      </c>
      <c r="C215" s="2" t="str">
        <f>_xlfn.XLOOKUP(B215,线路DSP对应!A:A,线路DSP对应!B:B)</f>
        <v>STA_LAX_JLP</v>
      </c>
      <c r="D215" s="4" t="s">
        <v>147</v>
      </c>
      <c r="E215" s="2" t="str">
        <f>_xlfn.XLOOKUP(A215,转单情况!A:A,转单情况!B:B)</f>
        <v>否</v>
      </c>
      <c r="G215" s="28">
        <f>ROUND(_xlfn.XLOOKUP(A215,全量!A:A,全量!B:B,0)/7,1)</f>
        <v>9</v>
      </c>
      <c r="H215" s="2">
        <f>ROUND(_xlfn.XLOOKUP(A215,AE!A:A,AE!B:B,0)/7,1)</f>
        <v>8.9</v>
      </c>
      <c r="I215" s="2" t="str">
        <f>_xlfn.XLOOKUP(A215,SWFTX邮编覆盖!A:A,SWFTX邮编覆盖!B:B,"否")</f>
        <v>是</v>
      </c>
      <c r="J215" s="2" t="str">
        <f>_xlfn.XLOOKUP(A215,YW邮编覆盖!A:A,YW邮编覆盖!B:B,"否")</f>
        <v>是</v>
      </c>
    </row>
    <row r="216" spans="1:10" hidden="1">
      <c r="A216" s="3">
        <v>90606</v>
      </c>
      <c r="B216" s="1" t="s">
        <v>10</v>
      </c>
      <c r="C216" s="2" t="str">
        <f>_xlfn.XLOOKUP(B216,线路DSP对应!A:A,线路DSP对应!B:B)</f>
        <v>STA_LAX_JLP</v>
      </c>
      <c r="D216" s="4" t="s">
        <v>147</v>
      </c>
      <c r="E216" s="2" t="str">
        <f>_xlfn.XLOOKUP(A216,转单情况!A:A,转单情况!B:B)</f>
        <v>SW</v>
      </c>
      <c r="F216" s="29"/>
      <c r="G216" s="28">
        <f>ROUND(_xlfn.XLOOKUP(A216,全量!A:A,全量!B:B,0)/7,1)</f>
        <v>0.3</v>
      </c>
      <c r="H216" s="2">
        <f>ROUND(_xlfn.XLOOKUP(A216,AE!A:A,AE!B:B,0)/7,1)</f>
        <v>0</v>
      </c>
      <c r="I216" s="2" t="str">
        <f>_xlfn.XLOOKUP(A216,SWFTX邮编覆盖!A:A,SWFTX邮编覆盖!B:B,"否")</f>
        <v>是</v>
      </c>
      <c r="J216" s="2" t="str">
        <f>_xlfn.XLOOKUP(A216,YW邮编覆盖!A:A,YW邮编覆盖!B:B,"否")</f>
        <v>是</v>
      </c>
    </row>
    <row r="217" spans="1:10" hidden="1">
      <c r="A217" s="3">
        <v>90670</v>
      </c>
      <c r="B217" s="1" t="s">
        <v>10</v>
      </c>
      <c r="C217" s="2" t="str">
        <f>_xlfn.XLOOKUP(B217,线路DSP对应!A:A,线路DSP对应!B:B)</f>
        <v>STA_LAX_JLP</v>
      </c>
      <c r="D217" s="4" t="s">
        <v>147</v>
      </c>
      <c r="E217" s="2" t="str">
        <f>_xlfn.XLOOKUP(A217,转单情况!A:A,转单情况!B:B)</f>
        <v>SW</v>
      </c>
      <c r="G217" s="28">
        <f>ROUND(_xlfn.XLOOKUP(A217,全量!A:A,全量!B:B,0)/7,1)</f>
        <v>3.9</v>
      </c>
      <c r="H217" s="2">
        <f>ROUND(_xlfn.XLOOKUP(A217,AE!A:A,AE!B:B,0)/7,1)</f>
        <v>3.9</v>
      </c>
      <c r="I217" s="2" t="str">
        <f>_xlfn.XLOOKUP(A217,SWFTX邮编覆盖!A:A,SWFTX邮编覆盖!B:B,"否")</f>
        <v>是</v>
      </c>
      <c r="J217" s="2" t="str">
        <f>_xlfn.XLOOKUP(A217,YW邮编覆盖!A:A,YW邮编覆盖!B:B,"否")</f>
        <v>是</v>
      </c>
    </row>
    <row r="218" spans="1:10" hidden="1">
      <c r="A218" s="3">
        <v>91745</v>
      </c>
      <c r="B218" s="1" t="s">
        <v>11</v>
      </c>
      <c r="C218" s="2" t="str">
        <f>_xlfn.XLOOKUP(B218,线路DSP对应!A:A,线路DSP对应!B:B)</f>
        <v>STA_LAX_ChinaOcean</v>
      </c>
      <c r="D218" s="4" t="s">
        <v>147</v>
      </c>
      <c r="E218" s="2" t="str">
        <f>_xlfn.XLOOKUP(A218,转单情况!A:A,转单情况!B:B)</f>
        <v>SW</v>
      </c>
      <c r="G218" s="28">
        <f>ROUND(_xlfn.XLOOKUP(A218,全量!A:A,全量!B:B,0)/7,1)</f>
        <v>0.9</v>
      </c>
      <c r="H218" s="2">
        <f>ROUND(_xlfn.XLOOKUP(A218,AE!A:A,AE!B:B,0)/7,1)</f>
        <v>0</v>
      </c>
      <c r="I218" s="2" t="str">
        <f>_xlfn.XLOOKUP(A218,SWFTX邮编覆盖!A:A,SWFTX邮编覆盖!B:B,"否")</f>
        <v>是</v>
      </c>
      <c r="J218" s="2" t="str">
        <f>_xlfn.XLOOKUP(A218,YW邮编覆盖!A:A,YW邮编覆盖!B:B,"否")</f>
        <v>是</v>
      </c>
    </row>
    <row r="219" spans="1:10" hidden="1">
      <c r="A219" s="3">
        <v>91744</v>
      </c>
      <c r="B219" s="1" t="s">
        <v>11</v>
      </c>
      <c r="C219" s="2" t="str">
        <f>_xlfn.XLOOKUP(B219,线路DSP对应!A:A,线路DSP对应!B:B)</f>
        <v>STA_LAX_ChinaOcean</v>
      </c>
      <c r="D219" s="4" t="s">
        <v>147</v>
      </c>
      <c r="E219" s="2" t="str">
        <f>_xlfn.XLOOKUP(A219,转单情况!A:A,转单情况!B:B)</f>
        <v>SW</v>
      </c>
      <c r="G219" s="28">
        <f>ROUND(_xlfn.XLOOKUP(A219,全量!A:A,全量!B:B,0)/7,1)</f>
        <v>1.9</v>
      </c>
      <c r="H219" s="2">
        <f>ROUND(_xlfn.XLOOKUP(A219,AE!A:A,AE!B:B,0)/7,1)</f>
        <v>0.1</v>
      </c>
      <c r="I219" s="2" t="str">
        <f>_xlfn.XLOOKUP(A219,SWFTX邮编覆盖!A:A,SWFTX邮编覆盖!B:B,"否")</f>
        <v>是</v>
      </c>
      <c r="J219" s="2" t="str">
        <f>_xlfn.XLOOKUP(A219,YW邮编覆盖!A:A,YW邮编覆盖!B:B,"否")</f>
        <v>是</v>
      </c>
    </row>
    <row r="220" spans="1:10" hidden="1">
      <c r="A220" s="3">
        <v>91746</v>
      </c>
      <c r="B220" s="1" t="s">
        <v>11</v>
      </c>
      <c r="C220" s="2" t="str">
        <f>_xlfn.XLOOKUP(B220,线路DSP对应!A:A,线路DSP对应!B:B)</f>
        <v>STA_LAX_ChinaOcean</v>
      </c>
      <c r="D220" s="4" t="s">
        <v>147</v>
      </c>
      <c r="E220" s="2" t="str">
        <f>_xlfn.XLOOKUP(A220,转单情况!A:A,转单情况!B:B)</f>
        <v>SW</v>
      </c>
      <c r="G220" s="28">
        <f>ROUND(_xlfn.XLOOKUP(A220,全量!A:A,全量!B:B,0)/7,1)</f>
        <v>0.1</v>
      </c>
      <c r="H220" s="2">
        <f>ROUND(_xlfn.XLOOKUP(A220,AE!A:A,AE!B:B,0)/7,1)</f>
        <v>0</v>
      </c>
      <c r="I220" s="2" t="str">
        <f>_xlfn.XLOOKUP(A220,SWFTX邮编覆盖!A:A,SWFTX邮编覆盖!B:B,"否")</f>
        <v>是</v>
      </c>
      <c r="J220" s="2" t="str">
        <f>_xlfn.XLOOKUP(A220,YW邮编覆盖!A:A,YW邮编覆盖!B:B,"否")</f>
        <v>是</v>
      </c>
    </row>
    <row r="221" spans="1:10" hidden="1">
      <c r="A221" s="3">
        <v>91706</v>
      </c>
      <c r="B221" s="1" t="s">
        <v>11</v>
      </c>
      <c r="C221" s="2" t="str">
        <f>_xlfn.XLOOKUP(B221,线路DSP对应!A:A,线路DSP对应!B:B)</f>
        <v>STA_LAX_ChinaOcean</v>
      </c>
      <c r="D221" s="4" t="s">
        <v>147</v>
      </c>
      <c r="E221" s="2" t="str">
        <f>_xlfn.XLOOKUP(A221,转单情况!A:A,转单情况!B:B)</f>
        <v>SW</v>
      </c>
      <c r="G221" s="28">
        <f>ROUND(_xlfn.XLOOKUP(A221,全量!A:A,全量!B:B,0)/7,1)</f>
        <v>1.1000000000000001</v>
      </c>
      <c r="H221" s="2">
        <f>ROUND(_xlfn.XLOOKUP(A221,AE!A:A,AE!B:B,0)/7,1)</f>
        <v>0.1</v>
      </c>
      <c r="I221" s="2" t="str">
        <f>_xlfn.XLOOKUP(A221,SWFTX邮编覆盖!A:A,SWFTX邮编覆盖!B:B,"否")</f>
        <v>是</v>
      </c>
      <c r="J221" s="2" t="str">
        <f>_xlfn.XLOOKUP(A221,YW邮编覆盖!A:A,YW邮编覆盖!B:B,"否")</f>
        <v>是</v>
      </c>
    </row>
    <row r="222" spans="1:10" hidden="1">
      <c r="A222" s="3">
        <v>90262</v>
      </c>
      <c r="B222" s="1" t="s">
        <v>12</v>
      </c>
      <c r="C222" s="2" t="str">
        <f>_xlfn.XLOOKUP(B222,线路DSP对应!A:A,线路DSP对应!B:B)</f>
        <v>STA_LAX_ChinaOcean</v>
      </c>
      <c r="D222" s="4" t="s">
        <v>147</v>
      </c>
      <c r="E222" s="2" t="str">
        <f>_xlfn.XLOOKUP(A222,转单情况!A:A,转单情况!B:B)</f>
        <v>SW</v>
      </c>
      <c r="F222" s="29"/>
      <c r="G222" s="28">
        <f>ROUND(_xlfn.XLOOKUP(A222,全量!A:A,全量!B:B,0)/7,1)</f>
        <v>16</v>
      </c>
      <c r="H222" s="2">
        <f>ROUND(_xlfn.XLOOKUP(A222,AE!A:A,AE!B:B,0)/7,1)</f>
        <v>15.6</v>
      </c>
      <c r="I222" s="2" t="str">
        <f>_xlfn.XLOOKUP(A222,SWFTX邮编覆盖!A:A,SWFTX邮编覆盖!B:B,"否")</f>
        <v>是</v>
      </c>
      <c r="J222" s="2" t="str">
        <f>_xlfn.XLOOKUP(A222,YW邮编覆盖!A:A,YW邮编覆盖!B:B,"否")</f>
        <v>是</v>
      </c>
    </row>
    <row r="223" spans="1:10" hidden="1">
      <c r="A223" s="3">
        <v>90002</v>
      </c>
      <c r="B223" s="1" t="s">
        <v>12</v>
      </c>
      <c r="C223" s="2" t="str">
        <f>_xlfn.XLOOKUP(B223,线路DSP对应!A:A,线路DSP对应!B:B)</f>
        <v>STA_LAX_ChinaOcean</v>
      </c>
      <c r="D223" s="4" t="s">
        <v>147</v>
      </c>
      <c r="E223" s="2" t="str">
        <f>_xlfn.XLOOKUP(A223,转单情况!A:A,转单情况!B:B)</f>
        <v>SW</v>
      </c>
      <c r="F223" s="29"/>
      <c r="G223" s="28">
        <f>ROUND(_xlfn.XLOOKUP(A223,全量!A:A,全量!B:B,0)/7,1)</f>
        <v>0.1</v>
      </c>
      <c r="H223" s="2">
        <f>ROUND(_xlfn.XLOOKUP(A223,AE!A:A,AE!B:B,0)/7,1)</f>
        <v>0</v>
      </c>
      <c r="I223" s="2" t="str">
        <f>_xlfn.XLOOKUP(A223,SWFTX邮编覆盖!A:A,SWFTX邮编覆盖!B:B,"否")</f>
        <v>是</v>
      </c>
      <c r="J223" s="2" t="str">
        <f>_xlfn.XLOOKUP(A223,YW邮编覆盖!A:A,YW邮编覆盖!B:B,"否")</f>
        <v>是</v>
      </c>
    </row>
    <row r="224" spans="1:10" hidden="1">
      <c r="A224" s="3">
        <v>90003</v>
      </c>
      <c r="B224" s="1" t="s">
        <v>12</v>
      </c>
      <c r="C224" s="2" t="str">
        <f>_xlfn.XLOOKUP(B224,线路DSP对应!A:A,线路DSP对应!B:B)</f>
        <v>STA_LAX_ChinaOcean</v>
      </c>
      <c r="D224" s="4" t="s">
        <v>147</v>
      </c>
      <c r="E224" s="2" t="str">
        <f>_xlfn.XLOOKUP(A224,转单情况!A:A,转单情况!B:B)</f>
        <v>SW</v>
      </c>
      <c r="F224" s="29"/>
      <c r="G224" s="28">
        <f>ROUND(_xlfn.XLOOKUP(A224,全量!A:A,全量!B:B,0)/7,1)</f>
        <v>0.3</v>
      </c>
      <c r="H224" s="2">
        <f>ROUND(_xlfn.XLOOKUP(A224,AE!A:A,AE!B:B,0)/7,1)</f>
        <v>0</v>
      </c>
      <c r="I224" s="2" t="str">
        <f>_xlfn.XLOOKUP(A224,SWFTX邮编覆盖!A:A,SWFTX邮编覆盖!B:B,"否")</f>
        <v>是</v>
      </c>
      <c r="J224" s="2" t="str">
        <f>_xlfn.XLOOKUP(A224,YW邮编覆盖!A:A,YW邮编覆盖!B:B,"否")</f>
        <v>是</v>
      </c>
    </row>
    <row r="225" spans="1:10" hidden="1">
      <c r="A225" s="3">
        <v>90011</v>
      </c>
      <c r="B225" s="1" t="s">
        <v>12</v>
      </c>
      <c r="C225" s="2" t="str">
        <f>_xlfn.XLOOKUP(B225,线路DSP对应!A:A,线路DSP对应!B:B)</f>
        <v>STA_LAX_ChinaOcean</v>
      </c>
      <c r="D225" s="4" t="s">
        <v>147</v>
      </c>
      <c r="E225" s="2" t="str">
        <f>_xlfn.XLOOKUP(A225,转单情况!A:A,转单情况!B:B)</f>
        <v>SW</v>
      </c>
      <c r="F225" s="29"/>
      <c r="G225" s="28">
        <f>ROUND(_xlfn.XLOOKUP(A225,全量!A:A,全量!B:B,0)/7,1)</f>
        <v>0.4</v>
      </c>
      <c r="H225" s="2">
        <f>ROUND(_xlfn.XLOOKUP(A225,AE!A:A,AE!B:B,0)/7,1)</f>
        <v>0</v>
      </c>
      <c r="I225" s="2" t="str">
        <f>_xlfn.XLOOKUP(A225,SWFTX邮编覆盖!A:A,SWFTX邮编覆盖!B:B,"否")</f>
        <v>是</v>
      </c>
      <c r="J225" s="2" t="str">
        <f>_xlfn.XLOOKUP(A225,YW邮编覆盖!A:A,YW邮编覆盖!B:B,"否")</f>
        <v>是</v>
      </c>
    </row>
    <row r="226" spans="1:10" hidden="1">
      <c r="A226" s="3">
        <v>90001</v>
      </c>
      <c r="B226" s="1" t="s">
        <v>12</v>
      </c>
      <c r="C226" s="2" t="str">
        <f>_xlfn.XLOOKUP(B226,线路DSP对应!A:A,线路DSP对应!B:B)</f>
        <v>STA_LAX_ChinaOcean</v>
      </c>
      <c r="D226" s="4" t="s">
        <v>147</v>
      </c>
      <c r="E226" s="2" t="str">
        <f>_xlfn.XLOOKUP(A226,转单情况!A:A,转单情况!B:B)</f>
        <v>SW</v>
      </c>
      <c r="F226" s="29"/>
      <c r="G226" s="28">
        <f>ROUND(_xlfn.XLOOKUP(A226,全量!A:A,全量!B:B,0)/7,1)</f>
        <v>0.3</v>
      </c>
      <c r="H226" s="2">
        <f>ROUND(_xlfn.XLOOKUP(A226,AE!A:A,AE!B:B,0)/7,1)</f>
        <v>0</v>
      </c>
      <c r="I226" s="2" t="str">
        <f>_xlfn.XLOOKUP(A226,SWFTX邮编覆盖!A:A,SWFTX邮编覆盖!B:B,"否")</f>
        <v>是</v>
      </c>
      <c r="J226" s="2" t="str">
        <f>_xlfn.XLOOKUP(A226,YW邮编覆盖!A:A,YW邮编覆盖!B:B,"否")</f>
        <v>是</v>
      </c>
    </row>
    <row r="227" spans="1:10" hidden="1">
      <c r="A227" s="3">
        <v>90059</v>
      </c>
      <c r="B227" s="1" t="s">
        <v>12</v>
      </c>
      <c r="C227" s="2" t="str">
        <f>_xlfn.XLOOKUP(B227,线路DSP对应!A:A,线路DSP对应!B:B)</f>
        <v>STA_LAX_ChinaOcean</v>
      </c>
      <c r="D227" s="4" t="s">
        <v>147</v>
      </c>
      <c r="E227" s="2" t="str">
        <f>_xlfn.XLOOKUP(A227,转单情况!A:A,转单情况!B:B)</f>
        <v>SW</v>
      </c>
      <c r="F227" s="29"/>
      <c r="G227" s="28">
        <f>ROUND(_xlfn.XLOOKUP(A227,全量!A:A,全量!B:B,0)/7,1)</f>
        <v>0.1</v>
      </c>
      <c r="H227" s="2">
        <f>ROUND(_xlfn.XLOOKUP(A227,AE!A:A,AE!B:B,0)/7,1)</f>
        <v>0</v>
      </c>
      <c r="I227" s="2" t="str">
        <f>_xlfn.XLOOKUP(A227,SWFTX邮编覆盖!A:A,SWFTX邮编覆盖!B:B,"否")</f>
        <v>是</v>
      </c>
      <c r="J227" s="2" t="str">
        <f>_xlfn.XLOOKUP(A227,YW邮编覆盖!A:A,YW邮编覆盖!B:B,"否")</f>
        <v>是</v>
      </c>
    </row>
    <row r="228" spans="1:10" hidden="1">
      <c r="A228" s="3">
        <v>90058</v>
      </c>
      <c r="B228" s="1" t="s">
        <v>12</v>
      </c>
      <c r="C228" s="2" t="str">
        <f>_xlfn.XLOOKUP(B228,线路DSP对应!A:A,线路DSP对应!B:B)</f>
        <v>STA_LAX_ChinaOcean</v>
      </c>
      <c r="D228" s="4" t="s">
        <v>147</v>
      </c>
      <c r="E228" s="2" t="str">
        <f>_xlfn.XLOOKUP(A228,转单情况!A:A,转单情况!B:B)</f>
        <v>SW</v>
      </c>
      <c r="F228" s="29"/>
      <c r="G228" s="28">
        <f>ROUND(_xlfn.XLOOKUP(A228,全量!A:A,全量!B:B,0)/7,1)</f>
        <v>0</v>
      </c>
      <c r="H228" s="2">
        <f>ROUND(_xlfn.XLOOKUP(A228,AE!A:A,AE!B:B,0)/7,1)</f>
        <v>0</v>
      </c>
      <c r="I228" s="2" t="str">
        <f>_xlfn.XLOOKUP(A228,SWFTX邮编覆盖!A:A,SWFTX邮编覆盖!B:B,"否")</f>
        <v>是</v>
      </c>
      <c r="J228" s="2" t="str">
        <f>_xlfn.XLOOKUP(A228,YW邮编覆盖!A:A,YW邮编覆盖!B:B,"否")</f>
        <v>否</v>
      </c>
    </row>
    <row r="229" spans="1:10" hidden="1">
      <c r="A229" s="3">
        <v>90255</v>
      </c>
      <c r="B229" s="1" t="s">
        <v>12</v>
      </c>
      <c r="C229" s="2" t="str">
        <f>_xlfn.XLOOKUP(B229,线路DSP对应!A:A,线路DSP对应!B:B)</f>
        <v>STA_LAX_ChinaOcean</v>
      </c>
      <c r="D229" s="4" t="s">
        <v>147</v>
      </c>
      <c r="E229" s="2" t="str">
        <f>_xlfn.XLOOKUP(A229,转单情况!A:A,转单情况!B:B)</f>
        <v>SW</v>
      </c>
      <c r="F229" s="29"/>
      <c r="G229" s="28">
        <f>ROUND(_xlfn.XLOOKUP(A229,全量!A:A,全量!B:B,0)/7,1)</f>
        <v>0.1</v>
      </c>
      <c r="H229" s="2">
        <f>ROUND(_xlfn.XLOOKUP(A229,AE!A:A,AE!B:B,0)/7,1)</f>
        <v>0</v>
      </c>
      <c r="I229" s="2" t="str">
        <f>_xlfn.XLOOKUP(A229,SWFTX邮编覆盖!A:A,SWFTX邮编覆盖!B:B,"否")</f>
        <v>是</v>
      </c>
      <c r="J229" s="2" t="str">
        <f>_xlfn.XLOOKUP(A229,YW邮编覆盖!A:A,YW邮编覆盖!B:B,"否")</f>
        <v>是</v>
      </c>
    </row>
    <row r="230" spans="1:10" hidden="1">
      <c r="A230" s="3">
        <v>90240</v>
      </c>
      <c r="B230" s="1" t="s">
        <v>13</v>
      </c>
      <c r="C230" s="2" t="str">
        <f>_xlfn.XLOOKUP(B230,线路DSP对应!A:A,线路DSP对应!B:B)</f>
        <v>STA_LAX_ChinaOcean</v>
      </c>
      <c r="D230" s="4" t="s">
        <v>147</v>
      </c>
      <c r="E230" s="2" t="str">
        <f>_xlfn.XLOOKUP(A230,转单情况!A:A,转单情况!B:B)</f>
        <v>SW</v>
      </c>
      <c r="F230" s="29"/>
      <c r="G230" s="28">
        <f>ROUND(_xlfn.XLOOKUP(A230,全量!A:A,全量!B:B,0)/7,1)</f>
        <v>0.1</v>
      </c>
      <c r="H230" s="2">
        <f>ROUND(_xlfn.XLOOKUP(A230,AE!A:A,AE!B:B,0)/7,1)</f>
        <v>0</v>
      </c>
      <c r="I230" s="2" t="str">
        <f>_xlfn.XLOOKUP(A230,SWFTX邮编覆盖!A:A,SWFTX邮编覆盖!B:B,"否")</f>
        <v>是</v>
      </c>
      <c r="J230" s="2" t="str">
        <f>_xlfn.XLOOKUP(A230,YW邮编覆盖!A:A,YW邮编覆盖!B:B,"否")</f>
        <v>是</v>
      </c>
    </row>
    <row r="231" spans="1:10" hidden="1">
      <c r="A231" s="3">
        <v>90241</v>
      </c>
      <c r="B231" s="1" t="s">
        <v>13</v>
      </c>
      <c r="C231" s="2" t="str">
        <f>_xlfn.XLOOKUP(B231,线路DSP对应!A:A,线路DSP对应!B:B)</f>
        <v>STA_LAX_ChinaOcean</v>
      </c>
      <c r="D231" s="4" t="s">
        <v>147</v>
      </c>
      <c r="E231" s="2" t="str">
        <f>_xlfn.XLOOKUP(A231,转单情况!A:A,转单情况!B:B)</f>
        <v>SW</v>
      </c>
      <c r="F231" s="29"/>
      <c r="G231" s="28">
        <f>ROUND(_xlfn.XLOOKUP(A231,全量!A:A,全量!B:B,0)/7,1)</f>
        <v>1</v>
      </c>
      <c r="H231" s="2">
        <f>ROUND(_xlfn.XLOOKUP(A231,AE!A:A,AE!B:B,0)/7,1)</f>
        <v>0</v>
      </c>
      <c r="I231" s="2" t="str">
        <f>_xlfn.XLOOKUP(A231,SWFTX邮编覆盖!A:A,SWFTX邮编覆盖!B:B,"否")</f>
        <v>是</v>
      </c>
      <c r="J231" s="2" t="str">
        <f>_xlfn.XLOOKUP(A231,YW邮编覆盖!A:A,YW邮编覆盖!B:B,"否")</f>
        <v>是</v>
      </c>
    </row>
    <row r="232" spans="1:10" hidden="1">
      <c r="A232" s="3">
        <v>90242</v>
      </c>
      <c r="B232" s="1" t="s">
        <v>13</v>
      </c>
      <c r="C232" s="2" t="str">
        <f>_xlfn.XLOOKUP(B232,线路DSP对应!A:A,线路DSP对应!B:B)</f>
        <v>STA_LAX_ChinaOcean</v>
      </c>
      <c r="D232" s="4" t="s">
        <v>147</v>
      </c>
      <c r="E232" s="2" t="str">
        <f>_xlfn.XLOOKUP(A232,转单情况!A:A,转单情况!B:B)</f>
        <v>SW</v>
      </c>
      <c r="F232" s="29"/>
      <c r="G232" s="28">
        <f>ROUND(_xlfn.XLOOKUP(A232,全量!A:A,全量!B:B,0)/7,1)</f>
        <v>0.4</v>
      </c>
      <c r="H232" s="2">
        <f>ROUND(_xlfn.XLOOKUP(A232,AE!A:A,AE!B:B,0)/7,1)</f>
        <v>0</v>
      </c>
      <c r="I232" s="2" t="str">
        <f>_xlfn.XLOOKUP(A232,SWFTX邮编覆盖!A:A,SWFTX邮编覆盖!B:B,"否")</f>
        <v>是</v>
      </c>
      <c r="J232" s="2" t="str">
        <f>_xlfn.XLOOKUP(A232,YW邮编覆盖!A:A,YW邮编覆盖!B:B,"否")</f>
        <v>是</v>
      </c>
    </row>
    <row r="233" spans="1:10" hidden="1">
      <c r="A233" s="3">
        <v>90706</v>
      </c>
      <c r="B233" s="1" t="s">
        <v>13</v>
      </c>
      <c r="C233" s="2" t="str">
        <f>_xlfn.XLOOKUP(B233,线路DSP对应!A:A,线路DSP对应!B:B)</f>
        <v>STA_LAX_ChinaOcean</v>
      </c>
      <c r="D233" s="4" t="s">
        <v>147</v>
      </c>
      <c r="E233" s="2" t="str">
        <f>_xlfn.XLOOKUP(A233,转单情况!A:A,转单情况!B:B)</f>
        <v>SW</v>
      </c>
      <c r="F233" s="29"/>
      <c r="G233" s="28">
        <f>ROUND(_xlfn.XLOOKUP(A233,全量!A:A,全量!B:B,0)/7,1)</f>
        <v>0.7</v>
      </c>
      <c r="H233" s="2">
        <f>ROUND(_xlfn.XLOOKUP(A233,AE!A:A,AE!B:B,0)/7,1)</f>
        <v>0</v>
      </c>
      <c r="I233" s="2" t="str">
        <f>_xlfn.XLOOKUP(A233,SWFTX邮编覆盖!A:A,SWFTX邮编覆盖!B:B,"否")</f>
        <v>是</v>
      </c>
      <c r="J233" s="2" t="str">
        <f>_xlfn.XLOOKUP(A233,YW邮编覆盖!A:A,YW邮编覆盖!B:B,"否")</f>
        <v>是</v>
      </c>
    </row>
    <row r="234" spans="1:10" hidden="1">
      <c r="A234" s="3">
        <v>90723</v>
      </c>
      <c r="B234" s="1" t="s">
        <v>13</v>
      </c>
      <c r="C234" s="2" t="str">
        <f>_xlfn.XLOOKUP(B234,线路DSP对应!A:A,线路DSP对应!B:B)</f>
        <v>STA_LAX_ChinaOcean</v>
      </c>
      <c r="D234" s="4" t="s">
        <v>147</v>
      </c>
      <c r="E234" s="2" t="str">
        <f>_xlfn.XLOOKUP(A234,转单情况!A:A,转单情况!B:B)</f>
        <v>SW</v>
      </c>
      <c r="F234" s="29"/>
      <c r="G234" s="28">
        <f>ROUND(_xlfn.XLOOKUP(A234,全量!A:A,全量!B:B,0)/7,1)</f>
        <v>0.7</v>
      </c>
      <c r="H234" s="2">
        <f>ROUND(_xlfn.XLOOKUP(A234,AE!A:A,AE!B:B,0)/7,1)</f>
        <v>0</v>
      </c>
      <c r="I234" s="2" t="str">
        <f>_xlfn.XLOOKUP(A234,SWFTX邮编覆盖!A:A,SWFTX邮编覆盖!B:B,"否")</f>
        <v>是</v>
      </c>
      <c r="J234" s="2" t="str">
        <f>_xlfn.XLOOKUP(A234,YW邮编覆盖!A:A,YW邮编覆盖!B:B,"否")</f>
        <v>是</v>
      </c>
    </row>
    <row r="235" spans="1:10" hidden="1">
      <c r="A235" s="3">
        <v>90040</v>
      </c>
      <c r="B235" s="1" t="s">
        <v>14</v>
      </c>
      <c r="C235" s="2" t="str">
        <f>_xlfn.XLOOKUP(B235,线路DSP对应!A:A,线路DSP对应!B:B)</f>
        <v>STA_LAX_ChinaOcean</v>
      </c>
      <c r="D235" s="4" t="s">
        <v>147</v>
      </c>
      <c r="E235" s="2" t="str">
        <f>_xlfn.XLOOKUP(A235,转单情况!A:A,转单情况!B:B)</f>
        <v>SW</v>
      </c>
      <c r="F235" s="29"/>
      <c r="G235" s="28">
        <f>ROUND(_xlfn.XLOOKUP(A235,全量!A:A,全量!B:B,0)/7,1)</f>
        <v>4.0999999999999996</v>
      </c>
      <c r="H235" s="2">
        <f>ROUND(_xlfn.XLOOKUP(A235,AE!A:A,AE!B:B,0)/7,1)</f>
        <v>4</v>
      </c>
      <c r="I235" s="2" t="str">
        <f>_xlfn.XLOOKUP(A235,SWFTX邮编覆盖!A:A,SWFTX邮编覆盖!B:B,"否")</f>
        <v>是</v>
      </c>
      <c r="J235" s="2" t="str">
        <f>_xlfn.XLOOKUP(A235,YW邮编覆盖!A:A,YW邮编覆盖!B:B,"否")</f>
        <v>是</v>
      </c>
    </row>
    <row r="236" spans="1:10" hidden="1">
      <c r="A236" s="3">
        <v>90270</v>
      </c>
      <c r="B236" s="1" t="s">
        <v>14</v>
      </c>
      <c r="C236" s="2" t="str">
        <f>_xlfn.XLOOKUP(B236,线路DSP对应!A:A,线路DSP对应!B:B)</f>
        <v>STA_LAX_ChinaOcean</v>
      </c>
      <c r="D236" s="4" t="s">
        <v>147</v>
      </c>
      <c r="E236" s="2" t="str">
        <f>_xlfn.XLOOKUP(A236,转单情况!A:A,转单情况!B:B)</f>
        <v>SW</v>
      </c>
      <c r="F236" s="29"/>
      <c r="G236" s="28">
        <f>ROUND(_xlfn.XLOOKUP(A236,全量!A:A,全量!B:B,0)/7,1)</f>
        <v>6.9</v>
      </c>
      <c r="H236" s="2">
        <f>ROUND(_xlfn.XLOOKUP(A236,AE!A:A,AE!B:B,0)/7,1)</f>
        <v>6.7</v>
      </c>
      <c r="I236" s="2" t="str">
        <f>_xlfn.XLOOKUP(A236,SWFTX邮编覆盖!A:A,SWFTX邮编覆盖!B:B,"否")</f>
        <v>是</v>
      </c>
      <c r="J236" s="2" t="str">
        <f>_xlfn.XLOOKUP(A236,YW邮编覆盖!A:A,YW邮编覆盖!B:B,"否")</f>
        <v>是</v>
      </c>
    </row>
    <row r="237" spans="1:10" hidden="1">
      <c r="A237" s="3">
        <v>90201</v>
      </c>
      <c r="B237" s="1" t="s">
        <v>14</v>
      </c>
      <c r="C237" s="2" t="str">
        <f>_xlfn.XLOOKUP(B237,线路DSP对应!A:A,线路DSP对应!B:B)</f>
        <v>STA_LAX_ChinaOcean</v>
      </c>
      <c r="D237" s="4" t="s">
        <v>147</v>
      </c>
      <c r="E237" s="2" t="str">
        <f>_xlfn.XLOOKUP(A237,转单情况!A:A,转单情况!B:B)</f>
        <v>SW</v>
      </c>
      <c r="F237" s="29"/>
      <c r="G237" s="28">
        <f>ROUND(_xlfn.XLOOKUP(A237,全量!A:A,全量!B:B,0)/7,1)</f>
        <v>0.6</v>
      </c>
      <c r="H237" s="2">
        <f>ROUND(_xlfn.XLOOKUP(A237,AE!A:A,AE!B:B,0)/7,1)</f>
        <v>0</v>
      </c>
      <c r="I237" s="2" t="str">
        <f>_xlfn.XLOOKUP(A237,SWFTX邮编覆盖!A:A,SWFTX邮编覆盖!B:B,"否")</f>
        <v>是</v>
      </c>
      <c r="J237" s="2" t="str">
        <f>_xlfn.XLOOKUP(A237,YW邮编覆盖!A:A,YW邮编覆盖!B:B,"否")</f>
        <v>是</v>
      </c>
    </row>
    <row r="238" spans="1:10" hidden="1">
      <c r="A238" s="3">
        <v>90280</v>
      </c>
      <c r="B238" s="1" t="s">
        <v>14</v>
      </c>
      <c r="C238" s="2" t="str">
        <f>_xlfn.XLOOKUP(B238,线路DSP对应!A:A,线路DSP对应!B:B)</f>
        <v>STA_LAX_ChinaOcean</v>
      </c>
      <c r="D238" s="4" t="s">
        <v>147</v>
      </c>
      <c r="E238" s="2" t="str">
        <f>_xlfn.XLOOKUP(A238,转单情况!A:A,转单情况!B:B)</f>
        <v>SW</v>
      </c>
      <c r="F238" s="29"/>
      <c r="G238" s="28">
        <f>ROUND(_xlfn.XLOOKUP(A238,全量!A:A,全量!B:B,0)/7,1)</f>
        <v>0.4</v>
      </c>
      <c r="H238" s="2">
        <f>ROUND(_xlfn.XLOOKUP(A238,AE!A:A,AE!B:B,0)/7,1)</f>
        <v>0</v>
      </c>
      <c r="I238" s="2" t="str">
        <f>_xlfn.XLOOKUP(A238,SWFTX邮编覆盖!A:A,SWFTX邮编覆盖!B:B,"否")</f>
        <v>是</v>
      </c>
      <c r="J238" s="2" t="str">
        <f>_xlfn.XLOOKUP(A238,YW邮编覆盖!A:A,YW邮编覆盖!B:B,"否")</f>
        <v>是</v>
      </c>
    </row>
    <row r="239" spans="1:10" hidden="1">
      <c r="A239" s="3">
        <v>90650</v>
      </c>
      <c r="B239" s="1" t="s">
        <v>15</v>
      </c>
      <c r="C239" s="2" t="str">
        <f>_xlfn.XLOOKUP(B239,线路DSP对应!A:A,线路DSP对应!B:B)</f>
        <v>STA_LAX_ChinaOcean</v>
      </c>
      <c r="D239" s="4" t="s">
        <v>147</v>
      </c>
      <c r="E239" s="2" t="str">
        <f>_xlfn.XLOOKUP(A239,转单情况!A:A,转单情况!B:B)</f>
        <v>SW</v>
      </c>
      <c r="F239" s="29"/>
      <c r="G239" s="28">
        <f>ROUND(_xlfn.XLOOKUP(A239,全量!A:A,全量!B:B,0)/7,1)</f>
        <v>0.6</v>
      </c>
      <c r="H239" s="2">
        <f>ROUND(_xlfn.XLOOKUP(A239,AE!A:A,AE!B:B,0)/7,1)</f>
        <v>0</v>
      </c>
      <c r="I239" s="2" t="str">
        <f>_xlfn.XLOOKUP(A239,SWFTX邮编覆盖!A:A,SWFTX邮编覆盖!B:B,"否")</f>
        <v>是</v>
      </c>
      <c r="J239" s="2" t="str">
        <f>_xlfn.XLOOKUP(A239,YW邮编覆盖!A:A,YW邮编覆盖!B:B,"否")</f>
        <v>是</v>
      </c>
    </row>
    <row r="240" spans="1:10" hidden="1">
      <c r="A240" s="3">
        <v>90638</v>
      </c>
      <c r="B240" s="1" t="s">
        <v>15</v>
      </c>
      <c r="C240" s="2" t="str">
        <f>_xlfn.XLOOKUP(B240,线路DSP对应!A:A,线路DSP对应!B:B)</f>
        <v>STA_LAX_ChinaOcean</v>
      </c>
      <c r="D240" s="4" t="s">
        <v>147</v>
      </c>
      <c r="E240" s="2" t="str">
        <f>_xlfn.XLOOKUP(A240,转单情况!A:A,转单情况!B:B)</f>
        <v>SW</v>
      </c>
      <c r="F240" s="29"/>
      <c r="G240" s="28">
        <f>ROUND(_xlfn.XLOOKUP(A240,全量!A:A,全量!B:B,0)/7,1)</f>
        <v>0.1</v>
      </c>
      <c r="H240" s="2">
        <f>ROUND(_xlfn.XLOOKUP(A240,AE!A:A,AE!B:B,0)/7,1)</f>
        <v>0</v>
      </c>
      <c r="I240" s="2" t="str">
        <f>_xlfn.XLOOKUP(A240,SWFTX邮编覆盖!A:A,SWFTX邮编覆盖!B:B,"否")</f>
        <v>是</v>
      </c>
      <c r="J240" s="2" t="str">
        <f>_xlfn.XLOOKUP(A240,YW邮编覆盖!A:A,YW邮编覆盖!B:B,"否")</f>
        <v>是</v>
      </c>
    </row>
    <row r="241" spans="1:10" hidden="1">
      <c r="A241" s="3">
        <v>90639</v>
      </c>
      <c r="B241" s="1" t="s">
        <v>15</v>
      </c>
      <c r="C241" s="2" t="str">
        <f>_xlfn.XLOOKUP(B241,线路DSP对应!A:A,线路DSP对应!B:B)</f>
        <v>STA_LAX_ChinaOcean</v>
      </c>
      <c r="D241" s="4" t="s">
        <v>147</v>
      </c>
      <c r="E241" s="2" t="str">
        <f>_xlfn.XLOOKUP(A241,转单情况!A:A,转单情况!B:B)</f>
        <v>SW</v>
      </c>
      <c r="G241" s="28">
        <f>ROUND(_xlfn.XLOOKUP(A241,全量!A:A,全量!B:B,0)/7,1)</f>
        <v>0.1</v>
      </c>
      <c r="H241" s="2">
        <f>ROUND(_xlfn.XLOOKUP(A241,AE!A:A,AE!B:B,0)/7,1)</f>
        <v>0.1</v>
      </c>
      <c r="I241" s="2" t="str">
        <f>_xlfn.XLOOKUP(A241,SWFTX邮编覆盖!A:A,SWFTX邮编覆盖!B:B,"否")</f>
        <v>是</v>
      </c>
      <c r="J241" s="2" t="str">
        <f>_xlfn.XLOOKUP(A241,YW邮编覆盖!A:A,YW邮编覆盖!B:B,"否")</f>
        <v>是</v>
      </c>
    </row>
    <row r="242" spans="1:10" hidden="1">
      <c r="A242" s="3">
        <v>90701</v>
      </c>
      <c r="B242" s="1" t="s">
        <v>15</v>
      </c>
      <c r="C242" s="2" t="str">
        <f>_xlfn.XLOOKUP(B242,线路DSP对应!A:A,线路DSP对应!B:B)</f>
        <v>STA_LAX_ChinaOcean</v>
      </c>
      <c r="D242" s="4" t="s">
        <v>147</v>
      </c>
      <c r="E242" s="2" t="str">
        <f>_xlfn.XLOOKUP(A242,转单情况!A:A,转单情况!B:B)</f>
        <v>SW</v>
      </c>
      <c r="F242" s="29"/>
      <c r="G242" s="28">
        <f>ROUND(_xlfn.XLOOKUP(A242,全量!A:A,全量!B:B,0)/7,1)</f>
        <v>0</v>
      </c>
      <c r="H242" s="2">
        <f>ROUND(_xlfn.XLOOKUP(A242,AE!A:A,AE!B:B,0)/7,1)</f>
        <v>0</v>
      </c>
      <c r="I242" s="2" t="str">
        <f>_xlfn.XLOOKUP(A242,SWFTX邮编覆盖!A:A,SWFTX邮编覆盖!B:B,"否")</f>
        <v>是</v>
      </c>
      <c r="J242" s="2" t="str">
        <f>_xlfn.XLOOKUP(A242,YW邮编覆盖!A:A,YW邮编覆盖!B:B,"否")</f>
        <v>是</v>
      </c>
    </row>
    <row r="243" spans="1:10" hidden="1">
      <c r="A243" s="3">
        <v>90703</v>
      </c>
      <c r="B243" s="1" t="s">
        <v>15</v>
      </c>
      <c r="C243" s="2" t="str">
        <f>_xlfn.XLOOKUP(B243,线路DSP对应!A:A,线路DSP对应!B:B)</f>
        <v>STA_LAX_ChinaOcean</v>
      </c>
      <c r="D243" s="4" t="s">
        <v>147</v>
      </c>
      <c r="E243" s="2" t="str">
        <f>_xlfn.XLOOKUP(A243,转单情况!A:A,转单情况!B:B)</f>
        <v>SW</v>
      </c>
      <c r="F243" s="29"/>
      <c r="G243" s="28">
        <f>ROUND(_xlfn.XLOOKUP(A243,全量!A:A,全量!B:B,0)/7,1)</f>
        <v>0</v>
      </c>
      <c r="H243" s="2">
        <f>ROUND(_xlfn.XLOOKUP(A243,AE!A:A,AE!B:B,0)/7,1)</f>
        <v>0</v>
      </c>
      <c r="I243" s="2" t="str">
        <f>_xlfn.XLOOKUP(A243,SWFTX邮编覆盖!A:A,SWFTX邮编覆盖!B:B,"否")</f>
        <v>是</v>
      </c>
      <c r="J243" s="2" t="str">
        <f>_xlfn.XLOOKUP(A243,YW邮编覆盖!A:A,YW邮编覆盖!B:B,"否")</f>
        <v>是</v>
      </c>
    </row>
    <row r="244" spans="1:10" hidden="1">
      <c r="A244" s="3">
        <v>91106</v>
      </c>
      <c r="B244" s="1" t="s">
        <v>16</v>
      </c>
      <c r="C244" s="2" t="str">
        <f>_xlfn.XLOOKUP(B244,线路DSP对应!A:A,线路DSP对应!B:B)</f>
        <v>STA_LAX_JLP</v>
      </c>
      <c r="D244" s="4" t="s">
        <v>147</v>
      </c>
      <c r="E244" s="2" t="str">
        <f>_xlfn.XLOOKUP(A244,转单情况!A:A,转单情况!B:B)</f>
        <v>SW</v>
      </c>
      <c r="G244" s="28">
        <f>ROUND(_xlfn.XLOOKUP(A244,全量!A:A,全量!B:B,0)/7,1)</f>
        <v>0.1</v>
      </c>
      <c r="H244" s="2">
        <f>ROUND(_xlfn.XLOOKUP(A244,AE!A:A,AE!B:B,0)/7,1)</f>
        <v>0</v>
      </c>
      <c r="I244" s="2" t="str">
        <f>_xlfn.XLOOKUP(A244,SWFTX邮编覆盖!A:A,SWFTX邮编覆盖!B:B,"否")</f>
        <v>是</v>
      </c>
      <c r="J244" s="2" t="str">
        <f>_xlfn.XLOOKUP(A244,YW邮编覆盖!A:A,YW邮编覆盖!B:B,"否")</f>
        <v>是</v>
      </c>
    </row>
    <row r="245" spans="1:10">
      <c r="A245" s="3">
        <v>91101</v>
      </c>
      <c r="B245" s="1" t="s">
        <v>16</v>
      </c>
      <c r="C245" s="2" t="str">
        <f>_xlfn.XLOOKUP(B245,线路DSP对应!A:A,线路DSP对应!B:B)</f>
        <v>STA_LAX_JLP</v>
      </c>
      <c r="D245" s="4" t="s">
        <v>147</v>
      </c>
      <c r="E245" s="2" t="str">
        <f>_xlfn.XLOOKUP(A245,转单情况!A:A,转单情况!B:B)</f>
        <v>YW</v>
      </c>
      <c r="G245" s="28">
        <f>ROUND(_xlfn.XLOOKUP(A245,全量!A:A,全量!B:B,0)/7,1)</f>
        <v>0.1</v>
      </c>
      <c r="H245" s="2">
        <f>ROUND(_xlfn.XLOOKUP(A245,AE!A:A,AE!B:B,0)/7,1)</f>
        <v>0</v>
      </c>
      <c r="I245" s="2" t="str">
        <f>_xlfn.XLOOKUP(A245,SWFTX邮编覆盖!A:A,SWFTX邮编覆盖!B:B,"否")</f>
        <v>否</v>
      </c>
      <c r="J245" s="2" t="str">
        <f>_xlfn.XLOOKUP(A245,YW邮编覆盖!A:A,YW邮编覆盖!B:B,"否")</f>
        <v>是</v>
      </c>
    </row>
    <row r="246" spans="1:10">
      <c r="A246" s="3">
        <v>91104</v>
      </c>
      <c r="B246" s="1" t="s">
        <v>16</v>
      </c>
      <c r="C246" s="2" t="str">
        <f>_xlfn.XLOOKUP(B246,线路DSP对应!A:A,线路DSP对应!B:B)</f>
        <v>STA_LAX_JLP</v>
      </c>
      <c r="D246" s="4" t="s">
        <v>147</v>
      </c>
      <c r="E246" s="2" t="str">
        <f>_xlfn.XLOOKUP(A246,转单情况!A:A,转单情况!B:B)</f>
        <v>YW</v>
      </c>
      <c r="G246" s="28">
        <f>ROUND(_xlfn.XLOOKUP(A246,全量!A:A,全量!B:B,0)/7,1)</f>
        <v>4.0999999999999996</v>
      </c>
      <c r="H246" s="2">
        <f>ROUND(_xlfn.XLOOKUP(A246,AE!A:A,AE!B:B,0)/7,1)</f>
        <v>0</v>
      </c>
      <c r="I246" s="2" t="str">
        <f>_xlfn.XLOOKUP(A246,SWFTX邮编覆盖!A:A,SWFTX邮编覆盖!B:B,"否")</f>
        <v>否</v>
      </c>
      <c r="J246" s="2" t="str">
        <f>_xlfn.XLOOKUP(A246,YW邮编覆盖!A:A,YW邮编覆盖!B:B,"否")</f>
        <v>是</v>
      </c>
    </row>
    <row r="247" spans="1:10" hidden="1">
      <c r="A247" s="3">
        <v>91110</v>
      </c>
      <c r="B247" s="1" t="s">
        <v>16</v>
      </c>
      <c r="C247" s="2" t="str">
        <f>_xlfn.XLOOKUP(B247,线路DSP对应!A:A,线路DSP对应!B:B)</f>
        <v>STA_LAX_JLP</v>
      </c>
      <c r="D247" s="4" t="s">
        <v>147</v>
      </c>
      <c r="E247" s="2" t="str">
        <f>_xlfn.XLOOKUP(A247,转单情况!A:A,转单情况!B:B)</f>
        <v>否</v>
      </c>
      <c r="G247" s="28">
        <f>ROUND(_xlfn.XLOOKUP(A247,全量!A:A,全量!B:B,0)/7,1)</f>
        <v>0</v>
      </c>
      <c r="H247" s="2">
        <f>ROUND(_xlfn.XLOOKUP(A247,AE!A:A,AE!B:B,0)/7,1)</f>
        <v>0</v>
      </c>
      <c r="I247" s="2" t="str">
        <f>_xlfn.XLOOKUP(A247,SWFTX邮编覆盖!A:A,SWFTX邮编覆盖!B:B,"否")</f>
        <v>否</v>
      </c>
      <c r="J247" s="2" t="str">
        <f>_xlfn.XLOOKUP(A247,YW邮编覆盖!A:A,YW邮编覆盖!B:B,"否")</f>
        <v>否</v>
      </c>
    </row>
    <row r="248" spans="1:10" hidden="1">
      <c r="A248" s="3">
        <v>91124</v>
      </c>
      <c r="B248" s="1" t="s">
        <v>16</v>
      </c>
      <c r="C248" s="2" t="str">
        <f>_xlfn.XLOOKUP(B248,线路DSP对应!A:A,线路DSP对应!B:B)</f>
        <v>STA_LAX_JLP</v>
      </c>
      <c r="D248" s="4" t="s">
        <v>147</v>
      </c>
      <c r="E248" s="2" t="str">
        <f>_xlfn.XLOOKUP(A248,转单情况!A:A,转单情况!B:B)</f>
        <v>否</v>
      </c>
      <c r="G248" s="28">
        <f>ROUND(_xlfn.XLOOKUP(A248,全量!A:A,全量!B:B,0)/7,1)</f>
        <v>0</v>
      </c>
      <c r="H248" s="2">
        <f>ROUND(_xlfn.XLOOKUP(A248,AE!A:A,AE!B:B,0)/7,1)</f>
        <v>0</v>
      </c>
      <c r="I248" s="2" t="str">
        <f>_xlfn.XLOOKUP(A248,SWFTX邮编覆盖!A:A,SWFTX邮编覆盖!B:B,"否")</f>
        <v>否</v>
      </c>
      <c r="J248" s="2" t="str">
        <f>_xlfn.XLOOKUP(A248,YW邮编覆盖!A:A,YW邮编覆盖!B:B,"否")</f>
        <v>否</v>
      </c>
    </row>
    <row r="249" spans="1:10" hidden="1">
      <c r="A249" s="3">
        <v>91125</v>
      </c>
      <c r="B249" s="1" t="s">
        <v>16</v>
      </c>
      <c r="C249" s="2" t="str">
        <f>_xlfn.XLOOKUP(B249,线路DSP对应!A:A,线路DSP对应!B:B)</f>
        <v>STA_LAX_JLP</v>
      </c>
      <c r="D249" s="4" t="s">
        <v>147</v>
      </c>
      <c r="E249" s="2" t="str">
        <f>_xlfn.XLOOKUP(A249,转单情况!A:A,转单情况!B:B)</f>
        <v>否</v>
      </c>
      <c r="F249" s="2" t="s">
        <v>202</v>
      </c>
      <c r="G249" s="28">
        <f>ROUND(_xlfn.XLOOKUP(A249,全量!A:A,全量!B:B,0)/7,1)</f>
        <v>0</v>
      </c>
      <c r="H249" s="2">
        <f>ROUND(_xlfn.XLOOKUP(A249,AE!A:A,AE!B:B,0)/7,1)</f>
        <v>0</v>
      </c>
      <c r="I249" s="2" t="str">
        <f>_xlfn.XLOOKUP(A249,SWFTX邮编覆盖!A:A,SWFTX邮编覆盖!B:B,"否")</f>
        <v>否</v>
      </c>
      <c r="J249" s="2" t="str">
        <f>_xlfn.XLOOKUP(A249,YW邮编覆盖!A:A,YW邮编覆盖!B:B,"否")</f>
        <v>否</v>
      </c>
    </row>
    <row r="250" spans="1:10" hidden="1">
      <c r="A250" s="3">
        <v>91126</v>
      </c>
      <c r="B250" s="1" t="s">
        <v>16</v>
      </c>
      <c r="C250" s="2" t="str">
        <f>_xlfn.XLOOKUP(B250,线路DSP对应!A:A,线路DSP对应!B:B)</f>
        <v>STA_LAX_JLP</v>
      </c>
      <c r="D250" s="4" t="s">
        <v>147</v>
      </c>
      <c r="E250" s="2" t="str">
        <f>_xlfn.XLOOKUP(A250,转单情况!A:A,转单情况!B:B)</f>
        <v>否</v>
      </c>
      <c r="G250" s="28">
        <f>ROUND(_xlfn.XLOOKUP(A250,全量!A:A,全量!B:B,0)/7,1)</f>
        <v>0</v>
      </c>
      <c r="H250" s="2">
        <f>ROUND(_xlfn.XLOOKUP(A250,AE!A:A,AE!B:B,0)/7,1)</f>
        <v>0</v>
      </c>
      <c r="I250" s="2" t="str">
        <f>_xlfn.XLOOKUP(A250,SWFTX邮编覆盖!A:A,SWFTX邮编覆盖!B:B,"否")</f>
        <v>否</v>
      </c>
      <c r="J250" s="2" t="str">
        <f>_xlfn.XLOOKUP(A250,YW邮编覆盖!A:A,YW邮编覆盖!B:B,"否")</f>
        <v>否</v>
      </c>
    </row>
    <row r="251" spans="1:10" hidden="1">
      <c r="A251" s="3">
        <v>91184</v>
      </c>
      <c r="B251" s="1" t="s">
        <v>16</v>
      </c>
      <c r="C251" s="2" t="str">
        <f>_xlfn.XLOOKUP(B251,线路DSP对应!A:A,线路DSP对应!B:B)</f>
        <v>STA_LAX_JLP</v>
      </c>
      <c r="D251" s="4" t="s">
        <v>147</v>
      </c>
      <c r="E251" s="2" t="str">
        <f>_xlfn.XLOOKUP(A251,转单情况!A:A,转单情况!B:B)</f>
        <v>否</v>
      </c>
      <c r="G251" s="28">
        <f>ROUND(_xlfn.XLOOKUP(A251,全量!A:A,全量!B:B,0)/7,1)</f>
        <v>0</v>
      </c>
      <c r="H251" s="2">
        <f>ROUND(_xlfn.XLOOKUP(A251,AE!A:A,AE!B:B,0)/7,1)</f>
        <v>0</v>
      </c>
      <c r="I251" s="2" t="str">
        <f>_xlfn.XLOOKUP(A251,SWFTX邮编覆盖!A:A,SWFTX邮编覆盖!B:B,"否")</f>
        <v>否</v>
      </c>
      <c r="J251" s="2" t="str">
        <f>_xlfn.XLOOKUP(A251,YW邮编覆盖!A:A,YW邮编覆盖!B:B,"否")</f>
        <v>否</v>
      </c>
    </row>
    <row r="252" spans="1:10">
      <c r="A252" s="3">
        <v>91105</v>
      </c>
      <c r="B252" s="1" t="s">
        <v>16</v>
      </c>
      <c r="C252" s="2" t="str">
        <f>_xlfn.XLOOKUP(B252,线路DSP对应!A:A,线路DSP对应!B:B)</f>
        <v>STA_LAX_JLP</v>
      </c>
      <c r="D252" s="4" t="s">
        <v>147</v>
      </c>
      <c r="E252" s="2" t="str">
        <f>_xlfn.XLOOKUP(A252,转单情况!A:A,转单情况!B:B)</f>
        <v>YW</v>
      </c>
      <c r="G252" s="28">
        <f>ROUND(_xlfn.XLOOKUP(A252,全量!A:A,全量!B:B,0)/7,1)</f>
        <v>1</v>
      </c>
      <c r="H252" s="2">
        <f>ROUND(_xlfn.XLOOKUP(A252,AE!A:A,AE!B:B,0)/7,1)</f>
        <v>0</v>
      </c>
      <c r="I252" s="2" t="str">
        <f>_xlfn.XLOOKUP(A252,SWFTX邮编覆盖!A:A,SWFTX邮编覆盖!B:B,"否")</f>
        <v>否</v>
      </c>
      <c r="J252" s="2" t="str">
        <f>_xlfn.XLOOKUP(A252,YW邮编覆盖!A:A,YW邮编覆盖!B:B,"否")</f>
        <v>是</v>
      </c>
    </row>
    <row r="253" spans="1:10" hidden="1">
      <c r="A253" s="3">
        <v>91103</v>
      </c>
      <c r="B253" s="1" t="s">
        <v>16</v>
      </c>
      <c r="C253" s="2" t="str">
        <f>_xlfn.XLOOKUP(B253,线路DSP对应!A:A,线路DSP对应!B:B)</f>
        <v>STA_LAX_JLP</v>
      </c>
      <c r="D253" s="4" t="s">
        <v>147</v>
      </c>
      <c r="E253" s="2" t="str">
        <f>_xlfn.XLOOKUP(A253,转单情况!A:A,转单情况!B:B)</f>
        <v>SW</v>
      </c>
      <c r="G253" s="28">
        <f>ROUND(_xlfn.XLOOKUP(A253,全量!A:A,全量!B:B,0)/7,1)</f>
        <v>0.3</v>
      </c>
      <c r="H253" s="2">
        <f>ROUND(_xlfn.XLOOKUP(A253,AE!A:A,AE!B:B,0)/7,1)</f>
        <v>0</v>
      </c>
      <c r="I253" s="2" t="str">
        <f>_xlfn.XLOOKUP(A253,SWFTX邮编覆盖!A:A,SWFTX邮编覆盖!B:B,"否")</f>
        <v>是</v>
      </c>
      <c r="J253" s="2" t="str">
        <f>_xlfn.XLOOKUP(A253,YW邮编覆盖!A:A,YW邮编覆盖!B:B,"否")</f>
        <v>是</v>
      </c>
    </row>
    <row r="254" spans="1:10" hidden="1">
      <c r="A254" s="3">
        <v>91001</v>
      </c>
      <c r="B254" s="1" t="s">
        <v>16</v>
      </c>
      <c r="C254" s="2" t="str">
        <f>_xlfn.XLOOKUP(B254,线路DSP对应!A:A,线路DSP对应!B:B)</f>
        <v>STA_LAX_JLP</v>
      </c>
      <c r="D254" s="4" t="s">
        <v>147</v>
      </c>
      <c r="E254" s="2" t="str">
        <f>_xlfn.XLOOKUP(A254,转单情况!A:A,转单情况!B:B)</f>
        <v>SW</v>
      </c>
      <c r="G254" s="28">
        <f>ROUND(_xlfn.XLOOKUP(A254,全量!A:A,全量!B:B,0)/7,1)</f>
        <v>0</v>
      </c>
      <c r="H254" s="2">
        <f>ROUND(_xlfn.XLOOKUP(A254,AE!A:A,AE!B:B,0)/7,1)</f>
        <v>0</v>
      </c>
      <c r="I254" s="2" t="str">
        <f>_xlfn.XLOOKUP(A254,SWFTX邮编覆盖!A:A,SWFTX邮编覆盖!B:B,"否")</f>
        <v>是</v>
      </c>
      <c r="J254" s="2" t="str">
        <f>_xlfn.XLOOKUP(A254,YW邮编覆盖!A:A,YW邮编覆盖!B:B,"否")</f>
        <v>否</v>
      </c>
    </row>
    <row r="255" spans="1:10" hidden="1">
      <c r="A255" s="3">
        <v>91123</v>
      </c>
      <c r="B255" s="1" t="s">
        <v>16</v>
      </c>
      <c r="C255" s="2" t="str">
        <f>_xlfn.XLOOKUP(B255,线路DSP对应!A:A,线路DSP对应!B:B)</f>
        <v>STA_LAX_JLP</v>
      </c>
      <c r="D255" s="4" t="s">
        <v>147</v>
      </c>
      <c r="E255" s="2" t="str">
        <f>_xlfn.XLOOKUP(A255,转单情况!A:A,转单情况!B:B)</f>
        <v>否</v>
      </c>
      <c r="G255" s="28">
        <f>ROUND(_xlfn.XLOOKUP(A255,全量!A:A,全量!B:B,0)/7,1)</f>
        <v>0</v>
      </c>
      <c r="H255" s="2">
        <f>ROUND(_xlfn.XLOOKUP(A255,AE!A:A,AE!B:B,0)/7,1)</f>
        <v>0</v>
      </c>
      <c r="I255" s="2" t="str">
        <f>_xlfn.XLOOKUP(A255,SWFTX邮编覆盖!A:A,SWFTX邮编覆盖!B:B,"否")</f>
        <v>否</v>
      </c>
      <c r="J255" s="2" t="str">
        <f>_xlfn.XLOOKUP(A255,YW邮编覆盖!A:A,YW邮编覆盖!B:B,"否")</f>
        <v>否</v>
      </c>
    </row>
    <row r="256" spans="1:10" hidden="1">
      <c r="A256" s="3">
        <v>90004</v>
      </c>
      <c r="B256" s="1" t="s">
        <v>17</v>
      </c>
      <c r="C256" s="2" t="str">
        <f>_xlfn.XLOOKUP(B256,线路DSP对应!A:A,线路DSP对应!B:B)</f>
        <v>STA_LAX_ChinaOcean</v>
      </c>
      <c r="D256" s="4" t="s">
        <v>147</v>
      </c>
      <c r="E256" s="2" t="str">
        <f>_xlfn.XLOOKUP(A256,转单情况!A:A,转单情况!B:B)</f>
        <v>SW</v>
      </c>
      <c r="F256" s="29"/>
      <c r="G256" s="28">
        <f>ROUND(_xlfn.XLOOKUP(A256,全量!A:A,全量!B:B,0)/7,1)</f>
        <v>0.9</v>
      </c>
      <c r="H256" s="2">
        <f>ROUND(_xlfn.XLOOKUP(A256,AE!A:A,AE!B:B,0)/7,1)</f>
        <v>0</v>
      </c>
      <c r="I256" s="2" t="str">
        <f>_xlfn.XLOOKUP(A256,SWFTX邮编覆盖!A:A,SWFTX邮编覆盖!B:B,"否")</f>
        <v>是</v>
      </c>
      <c r="J256" s="2" t="str">
        <f>_xlfn.XLOOKUP(A256,YW邮编覆盖!A:A,YW邮编覆盖!B:B,"否")</f>
        <v>是</v>
      </c>
    </row>
    <row r="257" spans="1:10">
      <c r="A257" s="3">
        <v>90036</v>
      </c>
      <c r="B257" s="1" t="s">
        <v>17</v>
      </c>
      <c r="C257" s="2" t="str">
        <f>_xlfn.XLOOKUP(B257,线路DSP对应!A:A,线路DSP对应!B:B)</f>
        <v>STA_LAX_ChinaOcean</v>
      </c>
      <c r="D257" s="4" t="s">
        <v>147</v>
      </c>
      <c r="E257" s="2" t="str">
        <f>_xlfn.XLOOKUP(A257,转单情况!A:A,转单情况!B:B)</f>
        <v>YW</v>
      </c>
      <c r="G257" s="28">
        <f>ROUND(_xlfn.XLOOKUP(A257,全量!A:A,全量!B:B,0)/7,1)</f>
        <v>1</v>
      </c>
      <c r="H257" s="2">
        <f>ROUND(_xlfn.XLOOKUP(A257,AE!A:A,AE!B:B,0)/7,1)</f>
        <v>0</v>
      </c>
      <c r="I257" s="2" t="str">
        <f>_xlfn.XLOOKUP(A257,SWFTX邮编覆盖!A:A,SWFTX邮编覆盖!B:B,"否")</f>
        <v>否</v>
      </c>
      <c r="J257" s="2" t="str">
        <f>_xlfn.XLOOKUP(A257,YW邮编覆盖!A:A,YW邮编覆盖!B:B,"否")</f>
        <v>是</v>
      </c>
    </row>
    <row r="258" spans="1:10" hidden="1">
      <c r="A258" s="3">
        <v>90027</v>
      </c>
      <c r="B258" s="1" t="s">
        <v>17</v>
      </c>
      <c r="C258" s="2" t="str">
        <f>_xlfn.XLOOKUP(B258,线路DSP对应!A:A,线路DSP对应!B:B)</f>
        <v>STA_LAX_ChinaOcean</v>
      </c>
      <c r="D258" s="4" t="s">
        <v>147</v>
      </c>
      <c r="E258" s="2" t="str">
        <f>_xlfn.XLOOKUP(A258,转单情况!A:A,转单情况!B:B)</f>
        <v>SW</v>
      </c>
      <c r="F258" s="29"/>
      <c r="G258" s="28">
        <f>ROUND(_xlfn.XLOOKUP(A258,全量!A:A,全量!B:B,0)/7,1)</f>
        <v>0.6</v>
      </c>
      <c r="H258" s="2">
        <f>ROUND(_xlfn.XLOOKUP(A258,AE!A:A,AE!B:B,0)/7,1)</f>
        <v>0</v>
      </c>
      <c r="I258" s="2" t="str">
        <f>_xlfn.XLOOKUP(A258,SWFTX邮编覆盖!A:A,SWFTX邮编覆盖!B:B,"否")</f>
        <v>是</v>
      </c>
      <c r="J258" s="2" t="str">
        <f>_xlfn.XLOOKUP(A258,YW邮编覆盖!A:A,YW邮编覆盖!B:B,"否")</f>
        <v>是</v>
      </c>
    </row>
    <row r="259" spans="1:10" hidden="1">
      <c r="A259" s="3">
        <v>90028</v>
      </c>
      <c r="B259" s="1" t="s">
        <v>17</v>
      </c>
      <c r="C259" s="2" t="str">
        <f>_xlfn.XLOOKUP(B259,线路DSP对应!A:A,线路DSP对应!B:B)</f>
        <v>STA_LAX_ChinaOcean</v>
      </c>
      <c r="D259" s="4" t="s">
        <v>147</v>
      </c>
      <c r="E259" s="2" t="str">
        <f>_xlfn.XLOOKUP(A259,转单情况!A:A,转单情况!B:B)</f>
        <v>SW</v>
      </c>
      <c r="F259" s="29"/>
      <c r="G259" s="28">
        <f>ROUND(_xlfn.XLOOKUP(A259,全量!A:A,全量!B:B,0)/7,1)</f>
        <v>0</v>
      </c>
      <c r="H259" s="2">
        <f>ROUND(_xlfn.XLOOKUP(A259,AE!A:A,AE!B:B,0)/7,1)</f>
        <v>0</v>
      </c>
      <c r="I259" s="2" t="str">
        <f>_xlfn.XLOOKUP(A259,SWFTX邮编覆盖!A:A,SWFTX邮编覆盖!B:B,"否")</f>
        <v>是</v>
      </c>
      <c r="J259" s="2" t="str">
        <f>_xlfn.XLOOKUP(A259,YW邮编覆盖!A:A,YW邮编覆盖!B:B,"否")</f>
        <v>是</v>
      </c>
    </row>
    <row r="260" spans="1:10" hidden="1">
      <c r="A260" s="3">
        <v>90029</v>
      </c>
      <c r="B260" s="1" t="s">
        <v>17</v>
      </c>
      <c r="C260" s="2" t="str">
        <f>_xlfn.XLOOKUP(B260,线路DSP对应!A:A,线路DSP对应!B:B)</f>
        <v>STA_LAX_ChinaOcean</v>
      </c>
      <c r="D260" s="4" t="s">
        <v>147</v>
      </c>
      <c r="E260" s="2" t="str">
        <f>_xlfn.XLOOKUP(A260,转单情况!A:A,转单情况!B:B)</f>
        <v>SW</v>
      </c>
      <c r="F260" s="29"/>
      <c r="G260" s="28">
        <f>ROUND(_xlfn.XLOOKUP(A260,全量!A:A,全量!B:B,0)/7,1)</f>
        <v>0.3</v>
      </c>
      <c r="H260" s="2">
        <f>ROUND(_xlfn.XLOOKUP(A260,AE!A:A,AE!B:B,0)/7,1)</f>
        <v>0</v>
      </c>
      <c r="I260" s="2" t="str">
        <f>_xlfn.XLOOKUP(A260,SWFTX邮编覆盖!A:A,SWFTX邮编覆盖!B:B,"否")</f>
        <v>是</v>
      </c>
      <c r="J260" s="2" t="str">
        <f>_xlfn.XLOOKUP(A260,YW邮编覆盖!A:A,YW邮编覆盖!B:B,"否")</f>
        <v>是</v>
      </c>
    </row>
    <row r="261" spans="1:10" hidden="1">
      <c r="A261" s="3">
        <v>90038</v>
      </c>
      <c r="B261" s="1" t="s">
        <v>17</v>
      </c>
      <c r="C261" s="2" t="str">
        <f>_xlfn.XLOOKUP(B261,线路DSP对应!A:A,线路DSP对应!B:B)</f>
        <v>STA_LAX_ChinaOcean</v>
      </c>
      <c r="D261" s="4" t="s">
        <v>147</v>
      </c>
      <c r="E261" s="2" t="str">
        <f>_xlfn.XLOOKUP(A261,转单情况!A:A,转单情况!B:B)</f>
        <v>SW</v>
      </c>
      <c r="F261" s="29"/>
      <c r="G261" s="28">
        <f>ROUND(_xlfn.XLOOKUP(A261,全量!A:A,全量!B:B,0)/7,1)</f>
        <v>0.3</v>
      </c>
      <c r="H261" s="2">
        <f>ROUND(_xlfn.XLOOKUP(A261,AE!A:A,AE!B:B,0)/7,1)</f>
        <v>0</v>
      </c>
      <c r="I261" s="2" t="str">
        <f>_xlfn.XLOOKUP(A261,SWFTX邮编覆盖!A:A,SWFTX邮编覆盖!B:B,"否")</f>
        <v>是</v>
      </c>
      <c r="J261" s="2" t="str">
        <f>_xlfn.XLOOKUP(A261,YW邮编覆盖!A:A,YW邮编覆盖!B:B,"否")</f>
        <v>是</v>
      </c>
    </row>
    <row r="262" spans="1:10" hidden="1">
      <c r="A262" s="3">
        <v>90717</v>
      </c>
      <c r="B262" s="1" t="s">
        <v>18</v>
      </c>
      <c r="C262" s="2" t="str">
        <f>_xlfn.XLOOKUP(B262,线路DSP对应!A:A,线路DSP对应!B:B)</f>
        <v>STA_LAX_JLP</v>
      </c>
      <c r="D262" s="4" t="s">
        <v>147</v>
      </c>
      <c r="E262" s="2" t="str">
        <f>_xlfn.XLOOKUP(A262,转单情况!A:A,转单情况!B:B)</f>
        <v>SW</v>
      </c>
      <c r="F262" s="29"/>
      <c r="G262" s="28">
        <f>ROUND(_xlfn.XLOOKUP(A262,全量!A:A,全量!B:B,0)/7,1)</f>
        <v>5.6</v>
      </c>
      <c r="H262" s="2">
        <f>ROUND(_xlfn.XLOOKUP(A262,AE!A:A,AE!B:B,0)/7,1)</f>
        <v>5.6</v>
      </c>
      <c r="I262" s="2" t="str">
        <f>_xlfn.XLOOKUP(A262,SWFTX邮编覆盖!A:A,SWFTX邮编覆盖!B:B,"否")</f>
        <v>是</v>
      </c>
      <c r="J262" s="2" t="str">
        <f>_xlfn.XLOOKUP(A262,YW邮编覆盖!A:A,YW邮编覆盖!B:B,"否")</f>
        <v>是</v>
      </c>
    </row>
    <row r="263" spans="1:10" hidden="1">
      <c r="A263" s="3">
        <v>90710</v>
      </c>
      <c r="B263" s="1" t="s">
        <v>18</v>
      </c>
      <c r="C263" s="2" t="str">
        <f>_xlfn.XLOOKUP(B263,线路DSP对应!A:A,线路DSP对应!B:B)</f>
        <v>STA_LAX_JLP</v>
      </c>
      <c r="D263" s="4" t="s">
        <v>147</v>
      </c>
      <c r="E263" s="2" t="str">
        <f>_xlfn.XLOOKUP(A263,转单情况!A:A,转单情况!B:B)</f>
        <v>SW</v>
      </c>
      <c r="F263" s="29"/>
      <c r="G263" s="28">
        <f>ROUND(_xlfn.XLOOKUP(A263,全量!A:A,全量!B:B,0)/7,1)</f>
        <v>0</v>
      </c>
      <c r="H263" s="2">
        <f>ROUND(_xlfn.XLOOKUP(A263,AE!A:A,AE!B:B,0)/7,1)</f>
        <v>0</v>
      </c>
      <c r="I263" s="2" t="str">
        <f>_xlfn.XLOOKUP(A263,SWFTX邮编覆盖!A:A,SWFTX邮编覆盖!B:B,"否")</f>
        <v>是</v>
      </c>
      <c r="J263" s="2" t="str">
        <f>_xlfn.XLOOKUP(A263,YW邮编覆盖!A:A,YW邮编覆盖!B:B,"否")</f>
        <v>是</v>
      </c>
    </row>
    <row r="264" spans="1:10" hidden="1">
      <c r="A264" s="3">
        <v>90745</v>
      </c>
      <c r="B264" s="1" t="s">
        <v>18</v>
      </c>
      <c r="C264" s="2" t="str">
        <f>_xlfn.XLOOKUP(B264,线路DSP对应!A:A,线路DSP对应!B:B)</f>
        <v>STA_LAX_JLP</v>
      </c>
      <c r="D264" s="4" t="s">
        <v>147</v>
      </c>
      <c r="E264" s="2" t="str">
        <f>_xlfn.XLOOKUP(A264,转单情况!A:A,转单情况!B:B)</f>
        <v>SW</v>
      </c>
      <c r="F264" s="29"/>
      <c r="G264" s="28">
        <f>ROUND(_xlfn.XLOOKUP(A264,全量!A:A,全量!B:B,0)/7,1)</f>
        <v>0.4</v>
      </c>
      <c r="H264" s="2">
        <f>ROUND(_xlfn.XLOOKUP(A264,AE!A:A,AE!B:B,0)/7,1)</f>
        <v>0</v>
      </c>
      <c r="I264" s="2" t="str">
        <f>_xlfn.XLOOKUP(A264,SWFTX邮编覆盖!A:A,SWFTX邮编覆盖!B:B,"否")</f>
        <v>是</v>
      </c>
      <c r="J264" s="2" t="str">
        <f>_xlfn.XLOOKUP(A264,YW邮编覆盖!A:A,YW邮编覆盖!B:B,"否")</f>
        <v>是</v>
      </c>
    </row>
    <row r="265" spans="1:10" hidden="1">
      <c r="A265" s="3">
        <v>90746</v>
      </c>
      <c r="B265" s="1" t="s">
        <v>18</v>
      </c>
      <c r="C265" s="2" t="str">
        <f>_xlfn.XLOOKUP(B265,线路DSP对应!A:A,线路DSP对应!B:B)</f>
        <v>STA_LAX_JLP</v>
      </c>
      <c r="D265" s="4" t="s">
        <v>147</v>
      </c>
      <c r="E265" s="2" t="str">
        <f>_xlfn.XLOOKUP(A265,转单情况!A:A,转单情况!B:B)</f>
        <v>SW</v>
      </c>
      <c r="F265" s="29"/>
      <c r="G265" s="28">
        <f>ROUND(_xlfn.XLOOKUP(A265,全量!A:A,全量!B:B,0)/7,1)</f>
        <v>0</v>
      </c>
      <c r="H265" s="2">
        <f>ROUND(_xlfn.XLOOKUP(A265,AE!A:A,AE!B:B,0)/7,1)</f>
        <v>0</v>
      </c>
      <c r="I265" s="2" t="str">
        <f>_xlfn.XLOOKUP(A265,SWFTX邮编覆盖!A:A,SWFTX邮编覆盖!B:B,"否")</f>
        <v>是</v>
      </c>
      <c r="J265" s="2" t="str">
        <f>_xlfn.XLOOKUP(A265,YW邮编覆盖!A:A,YW邮编覆盖!B:B,"否")</f>
        <v>是</v>
      </c>
    </row>
    <row r="266" spans="1:10" hidden="1">
      <c r="A266" s="3">
        <v>90747</v>
      </c>
      <c r="B266" s="1" t="s">
        <v>18</v>
      </c>
      <c r="C266" s="2" t="str">
        <f>_xlfn.XLOOKUP(B266,线路DSP对应!A:A,线路DSP对应!B:B)</f>
        <v>STA_LAX_JLP</v>
      </c>
      <c r="D266" s="4" t="s">
        <v>147</v>
      </c>
      <c r="E266" s="2" t="str">
        <f>_xlfn.XLOOKUP(A266,转单情况!A:A,转单情况!B:B)</f>
        <v>否</v>
      </c>
      <c r="F266" s="2" t="s">
        <v>202</v>
      </c>
      <c r="G266" s="28">
        <f>ROUND(_xlfn.XLOOKUP(A266,全量!A:A,全量!B:B,0)/7,1)</f>
        <v>0</v>
      </c>
      <c r="H266" s="2">
        <f>ROUND(_xlfn.XLOOKUP(A266,AE!A:A,AE!B:B,0)/7,1)</f>
        <v>0</v>
      </c>
      <c r="I266" s="2" t="str">
        <f>_xlfn.XLOOKUP(A266,SWFTX邮编覆盖!A:A,SWFTX邮编覆盖!B:B,"否")</f>
        <v>否</v>
      </c>
      <c r="J266" s="2" t="str">
        <f>_xlfn.XLOOKUP(A266,YW邮编覆盖!A:A,YW邮编覆盖!B:B,"否")</f>
        <v>否</v>
      </c>
    </row>
    <row r="267" spans="1:10" hidden="1">
      <c r="A267" s="3">
        <v>90744</v>
      </c>
      <c r="B267" s="1" t="s">
        <v>18</v>
      </c>
      <c r="C267" s="2" t="str">
        <f>_xlfn.XLOOKUP(B267,线路DSP对应!A:A,线路DSP对应!B:B)</f>
        <v>STA_LAX_JLP</v>
      </c>
      <c r="D267" s="4" t="s">
        <v>147</v>
      </c>
      <c r="E267" s="2" t="str">
        <f>_xlfn.XLOOKUP(A267,转单情况!A:A,转单情况!B:B)</f>
        <v>SW</v>
      </c>
      <c r="F267" s="29"/>
      <c r="G267" s="28">
        <f>ROUND(_xlfn.XLOOKUP(A267,全量!A:A,全量!B:B,0)/7,1)</f>
        <v>0.4</v>
      </c>
      <c r="H267" s="2">
        <f>ROUND(_xlfn.XLOOKUP(A267,AE!A:A,AE!B:B,0)/7,1)</f>
        <v>0</v>
      </c>
      <c r="I267" s="2" t="str">
        <f>_xlfn.XLOOKUP(A267,SWFTX邮编覆盖!A:A,SWFTX邮编覆盖!B:B,"否")</f>
        <v>是</v>
      </c>
      <c r="J267" s="2" t="str">
        <f>_xlfn.XLOOKUP(A267,YW邮编覆盖!A:A,YW邮编覆盖!B:B,"否")</f>
        <v>是</v>
      </c>
    </row>
    <row r="268" spans="1:10">
      <c r="A268" s="3">
        <v>90802</v>
      </c>
      <c r="B268" s="1" t="s">
        <v>20</v>
      </c>
      <c r="C268" s="2" t="str">
        <f>_xlfn.XLOOKUP(B268,线路DSP对应!A:A,线路DSP对应!B:B)</f>
        <v>STA_LAX_JLP</v>
      </c>
      <c r="D268" s="4" t="s">
        <v>147</v>
      </c>
      <c r="E268" s="2" t="str">
        <f>_xlfn.XLOOKUP(A268,转单情况!A:A,转单情况!B:B)</f>
        <v>YW</v>
      </c>
      <c r="G268" s="28">
        <f>ROUND(_xlfn.XLOOKUP(A268,全量!A:A,全量!B:B,0)/7,1)</f>
        <v>1.9</v>
      </c>
      <c r="H268" s="2">
        <f>ROUND(_xlfn.XLOOKUP(A268,AE!A:A,AE!B:B,0)/7,1)</f>
        <v>0</v>
      </c>
      <c r="I268" s="2" t="str">
        <f>_xlfn.XLOOKUP(A268,SWFTX邮编覆盖!A:A,SWFTX邮编覆盖!B:B,"否")</f>
        <v>否</v>
      </c>
      <c r="J268" s="2" t="str">
        <f>_xlfn.XLOOKUP(A268,YW邮编覆盖!A:A,YW邮编覆盖!B:B,"否")</f>
        <v>是</v>
      </c>
    </row>
    <row r="269" spans="1:10" hidden="1">
      <c r="A269" s="3">
        <v>90831</v>
      </c>
      <c r="B269" s="1" t="s">
        <v>20</v>
      </c>
      <c r="C269" s="2" t="str">
        <f>_xlfn.XLOOKUP(B269,线路DSP对应!A:A,线路DSP对应!B:B)</f>
        <v>STA_LAX_JLP</v>
      </c>
      <c r="D269" s="4" t="s">
        <v>147</v>
      </c>
      <c r="E269" s="2" t="str">
        <f>_xlfn.XLOOKUP(A269,转单情况!A:A,转单情况!B:B)</f>
        <v>否</v>
      </c>
      <c r="F269" s="2" t="s">
        <v>202</v>
      </c>
      <c r="G269" s="28">
        <f>ROUND(_xlfn.XLOOKUP(A269,全量!A:A,全量!B:B,0)/7,1)</f>
        <v>0</v>
      </c>
      <c r="H269" s="2">
        <f>ROUND(_xlfn.XLOOKUP(A269,AE!A:A,AE!B:B,0)/7,1)</f>
        <v>0</v>
      </c>
      <c r="I269" s="2" t="str">
        <f>_xlfn.XLOOKUP(A269,SWFTX邮编覆盖!A:A,SWFTX邮编覆盖!B:B,"否")</f>
        <v>否</v>
      </c>
      <c r="J269" s="2" t="str">
        <f>_xlfn.XLOOKUP(A269,YW邮编覆盖!A:A,YW邮编覆盖!B:B,"否")</f>
        <v>否</v>
      </c>
    </row>
    <row r="270" spans="1:10" hidden="1">
      <c r="A270" s="3">
        <v>90803</v>
      </c>
      <c r="B270" s="1" t="s">
        <v>20</v>
      </c>
      <c r="C270" s="2" t="str">
        <f>_xlfn.XLOOKUP(B270,线路DSP对应!A:A,线路DSP对应!B:B)</f>
        <v>STA_LAX_JLP</v>
      </c>
      <c r="D270" s="4" t="s">
        <v>147</v>
      </c>
      <c r="E270" s="2" t="str">
        <f>_xlfn.XLOOKUP(A270,转单情况!A:A,转单情况!B:B)</f>
        <v>SW</v>
      </c>
      <c r="G270" s="28">
        <f>ROUND(_xlfn.XLOOKUP(A270,全量!A:A,全量!B:B,0)/7,1)</f>
        <v>0.4</v>
      </c>
      <c r="H270" s="2">
        <f>ROUND(_xlfn.XLOOKUP(A270,AE!A:A,AE!B:B,0)/7,1)</f>
        <v>0</v>
      </c>
      <c r="I270" s="2" t="str">
        <f>_xlfn.XLOOKUP(A270,SWFTX邮编覆盖!A:A,SWFTX邮编覆盖!B:B,"否")</f>
        <v>是</v>
      </c>
      <c r="J270" s="2" t="str">
        <f>_xlfn.XLOOKUP(A270,YW邮编覆盖!A:A,YW邮编覆盖!B:B,"否")</f>
        <v>是</v>
      </c>
    </row>
    <row r="271" spans="1:10" hidden="1">
      <c r="A271" s="3">
        <v>90813</v>
      </c>
      <c r="B271" s="1" t="s">
        <v>20</v>
      </c>
      <c r="C271" s="2" t="str">
        <f>_xlfn.XLOOKUP(B271,线路DSP对应!A:A,线路DSP对应!B:B)</f>
        <v>STA_LAX_JLP</v>
      </c>
      <c r="D271" s="4" t="s">
        <v>147</v>
      </c>
      <c r="E271" s="2" t="str">
        <f>_xlfn.XLOOKUP(A271,转单情况!A:A,转单情况!B:B)</f>
        <v>SW</v>
      </c>
      <c r="F271" s="29"/>
      <c r="G271" s="28">
        <f>ROUND(_xlfn.XLOOKUP(A271,全量!A:A,全量!B:B,0)/7,1)</f>
        <v>13.3</v>
      </c>
      <c r="H271" s="2">
        <f>ROUND(_xlfn.XLOOKUP(A271,AE!A:A,AE!B:B,0)/7,1)</f>
        <v>13</v>
      </c>
      <c r="I271" s="2" t="str">
        <f>_xlfn.XLOOKUP(A271,SWFTX邮编覆盖!A:A,SWFTX邮编覆盖!B:B,"否")</f>
        <v>是</v>
      </c>
      <c r="J271" s="2" t="str">
        <f>_xlfn.XLOOKUP(A271,YW邮编覆盖!A:A,YW邮编覆盖!B:B,"否")</f>
        <v>是</v>
      </c>
    </row>
    <row r="272" spans="1:10" hidden="1">
      <c r="A272" s="3">
        <v>90814</v>
      </c>
      <c r="B272" s="1" t="s">
        <v>20</v>
      </c>
      <c r="C272" s="2" t="str">
        <f>_xlfn.XLOOKUP(B272,线路DSP对应!A:A,线路DSP对应!B:B)</f>
        <v>STA_LAX_JLP</v>
      </c>
      <c r="D272" s="4" t="s">
        <v>147</v>
      </c>
      <c r="E272" s="2" t="str">
        <f>_xlfn.XLOOKUP(A272,转单情况!A:A,转单情况!B:B)</f>
        <v>SW</v>
      </c>
      <c r="G272" s="28">
        <f>ROUND(_xlfn.XLOOKUP(A272,全量!A:A,全量!B:B,0)/7,1)</f>
        <v>4.3</v>
      </c>
      <c r="H272" s="2">
        <f>ROUND(_xlfn.XLOOKUP(A272,AE!A:A,AE!B:B,0)/7,1)</f>
        <v>4.3</v>
      </c>
      <c r="I272" s="2" t="str">
        <f>_xlfn.XLOOKUP(A272,SWFTX邮编覆盖!A:A,SWFTX邮编覆盖!B:B,"否")</f>
        <v>是</v>
      </c>
      <c r="J272" s="2" t="str">
        <f>_xlfn.XLOOKUP(A272,YW邮编覆盖!A:A,YW邮编覆盖!B:B,"否")</f>
        <v>是</v>
      </c>
    </row>
    <row r="273" spans="1:10" hidden="1">
      <c r="A273" s="3">
        <v>90804</v>
      </c>
      <c r="B273" s="1" t="s">
        <v>20</v>
      </c>
      <c r="C273" s="2" t="str">
        <f>_xlfn.XLOOKUP(B273,线路DSP对应!A:A,线路DSP对应!B:B)</f>
        <v>STA_LAX_JLP</v>
      </c>
      <c r="D273" s="4" t="s">
        <v>147</v>
      </c>
      <c r="E273" s="2" t="str">
        <f>_xlfn.XLOOKUP(A273,转单情况!A:A,转单情况!B:B)</f>
        <v>SW</v>
      </c>
      <c r="F273" s="29"/>
      <c r="G273" s="28">
        <f>ROUND(_xlfn.XLOOKUP(A273,全量!A:A,全量!B:B,0)/7,1)</f>
        <v>0.3</v>
      </c>
      <c r="H273" s="2">
        <f>ROUND(_xlfn.XLOOKUP(A273,AE!A:A,AE!B:B,0)/7,1)</f>
        <v>0</v>
      </c>
      <c r="I273" s="2" t="str">
        <f>_xlfn.XLOOKUP(A273,SWFTX邮编覆盖!A:A,SWFTX邮编覆盖!B:B,"否")</f>
        <v>是</v>
      </c>
      <c r="J273" s="2" t="str">
        <f>_xlfn.XLOOKUP(A273,YW邮编覆盖!A:A,YW邮编覆盖!B:B,"否")</f>
        <v>是</v>
      </c>
    </row>
    <row r="274" spans="1:10" hidden="1">
      <c r="A274" s="3">
        <v>90806</v>
      </c>
      <c r="B274" s="1" t="s">
        <v>20</v>
      </c>
      <c r="C274" s="2" t="str">
        <f>_xlfn.XLOOKUP(B274,线路DSP对应!A:A,线路DSP对应!B:B)</f>
        <v>STA_LAX_JLP</v>
      </c>
      <c r="D274" s="4" t="s">
        <v>147</v>
      </c>
      <c r="E274" s="2" t="str">
        <f>_xlfn.XLOOKUP(A274,转单情况!A:A,转单情况!B:B)</f>
        <v>SW</v>
      </c>
      <c r="F274" s="29"/>
      <c r="G274" s="28">
        <f>ROUND(_xlfn.XLOOKUP(A274,全量!A:A,全量!B:B,0)/7,1)</f>
        <v>0.1</v>
      </c>
      <c r="H274" s="2">
        <f>ROUND(_xlfn.XLOOKUP(A274,AE!A:A,AE!B:B,0)/7,1)</f>
        <v>0</v>
      </c>
      <c r="I274" s="2" t="str">
        <f>_xlfn.XLOOKUP(A274,SWFTX邮编覆盖!A:A,SWFTX邮编覆盖!B:B,"否")</f>
        <v>是</v>
      </c>
      <c r="J274" s="2" t="str">
        <f>_xlfn.XLOOKUP(A274,YW邮编覆盖!A:A,YW邮编覆盖!B:B,"否")</f>
        <v>是</v>
      </c>
    </row>
    <row r="275" spans="1:10" hidden="1">
      <c r="A275" s="3">
        <v>90810</v>
      </c>
      <c r="B275" s="1" t="s">
        <v>20</v>
      </c>
      <c r="C275" s="2" t="str">
        <f>_xlfn.XLOOKUP(B275,线路DSP对应!A:A,线路DSP对应!B:B)</f>
        <v>STA_LAX_JLP</v>
      </c>
      <c r="D275" s="4" t="s">
        <v>147</v>
      </c>
      <c r="E275" s="2" t="str">
        <f>_xlfn.XLOOKUP(A275,转单情况!A:A,转单情况!B:B)</f>
        <v>SW</v>
      </c>
      <c r="F275" s="29"/>
      <c r="G275" s="28">
        <f>ROUND(_xlfn.XLOOKUP(A275,全量!A:A,全量!B:B,0)/7,1)</f>
        <v>0</v>
      </c>
      <c r="H275" s="2">
        <f>ROUND(_xlfn.XLOOKUP(A275,AE!A:A,AE!B:B,0)/7,1)</f>
        <v>0</v>
      </c>
      <c r="I275" s="2" t="str">
        <f>_xlfn.XLOOKUP(A275,SWFTX邮编覆盖!A:A,SWFTX邮编覆盖!B:B,"否")</f>
        <v>是</v>
      </c>
      <c r="J275" s="2" t="str">
        <f>_xlfn.XLOOKUP(A275,YW邮编覆盖!A:A,YW邮编覆盖!B:B,"否")</f>
        <v>是</v>
      </c>
    </row>
    <row r="276" spans="1:10" hidden="1">
      <c r="A276" s="3">
        <v>90822</v>
      </c>
      <c r="B276" s="1" t="s">
        <v>20</v>
      </c>
      <c r="C276" s="2" t="str">
        <f>_xlfn.XLOOKUP(B276,线路DSP对应!A:A,线路DSP对应!B:B)</f>
        <v>STA_LAX_JLP</v>
      </c>
      <c r="D276" s="4" t="s">
        <v>147</v>
      </c>
      <c r="E276" s="2" t="str">
        <f>_xlfn.XLOOKUP(A276,转单情况!A:A,转单情况!B:B)</f>
        <v>否</v>
      </c>
      <c r="F276" s="2" t="s">
        <v>202</v>
      </c>
      <c r="G276" s="28">
        <f>ROUND(_xlfn.XLOOKUP(A276,全量!A:A,全量!B:B,0)/7,1)</f>
        <v>0</v>
      </c>
      <c r="H276" s="2">
        <f>ROUND(_xlfn.XLOOKUP(A276,AE!A:A,AE!B:B,0)/7,1)</f>
        <v>0</v>
      </c>
      <c r="I276" s="2" t="str">
        <f>_xlfn.XLOOKUP(A276,SWFTX邮编覆盖!A:A,SWFTX邮编覆盖!B:B,"否")</f>
        <v>否</v>
      </c>
      <c r="J276" s="2" t="str">
        <f>_xlfn.XLOOKUP(A276,YW邮编覆盖!A:A,YW邮编覆盖!B:B,"否")</f>
        <v>否</v>
      </c>
    </row>
    <row r="277" spans="1:10" hidden="1">
      <c r="A277" s="3">
        <v>90755</v>
      </c>
      <c r="B277" s="1" t="s">
        <v>20</v>
      </c>
      <c r="C277" s="2" t="str">
        <f>_xlfn.XLOOKUP(B277,线路DSP对应!A:A,线路DSP对应!B:B)</f>
        <v>STA_LAX_JLP</v>
      </c>
      <c r="D277" s="4" t="s">
        <v>147</v>
      </c>
      <c r="E277" s="2" t="str">
        <f>_xlfn.XLOOKUP(A277,转单情况!A:A,转单情况!B:B)</f>
        <v>SW</v>
      </c>
      <c r="G277" s="28">
        <f>ROUND(_xlfn.XLOOKUP(A277,全量!A:A,全量!B:B,0)/7,1)</f>
        <v>0</v>
      </c>
      <c r="H277" s="2">
        <f>ROUND(_xlfn.XLOOKUP(A277,AE!A:A,AE!B:B,0)/7,1)</f>
        <v>0</v>
      </c>
      <c r="I277" s="2" t="str">
        <f>_xlfn.XLOOKUP(A277,SWFTX邮编覆盖!A:A,SWFTX邮编覆盖!B:B,"否")</f>
        <v>是</v>
      </c>
      <c r="J277" s="2" t="str">
        <f>_xlfn.XLOOKUP(A277,YW邮编覆盖!A:A,YW邮编覆盖!B:B,"否")</f>
        <v>是</v>
      </c>
    </row>
    <row r="278" spans="1:10" hidden="1">
      <c r="A278" s="3">
        <v>90840</v>
      </c>
      <c r="B278" s="1" t="s">
        <v>20</v>
      </c>
      <c r="C278" s="2" t="str">
        <f>_xlfn.XLOOKUP(B278,线路DSP对应!A:A,线路DSP对应!B:B)</f>
        <v>STA_LAX_JLP</v>
      </c>
      <c r="D278" s="4" t="s">
        <v>147</v>
      </c>
      <c r="E278" s="2" t="str">
        <f>_xlfn.XLOOKUP(A278,转单情况!A:A,转单情况!B:B)</f>
        <v>否</v>
      </c>
      <c r="F278" s="2" t="s">
        <v>202</v>
      </c>
      <c r="G278" s="28">
        <f>ROUND(_xlfn.XLOOKUP(A278,全量!A:A,全量!B:B,0)/7,1)</f>
        <v>0</v>
      </c>
      <c r="H278" s="2">
        <f>ROUND(_xlfn.XLOOKUP(A278,AE!A:A,AE!B:B,0)/7,1)</f>
        <v>0</v>
      </c>
      <c r="I278" s="2" t="str">
        <f>_xlfn.XLOOKUP(A278,SWFTX邮编覆盖!A:A,SWFTX邮编覆盖!B:B,"否")</f>
        <v>否</v>
      </c>
      <c r="J278" s="2" t="str">
        <f>_xlfn.XLOOKUP(A278,YW邮编覆盖!A:A,YW邮编覆盖!B:B,"否")</f>
        <v>否</v>
      </c>
    </row>
    <row r="279" spans="1:10" hidden="1">
      <c r="A279" s="3">
        <v>90833</v>
      </c>
      <c r="B279" s="1" t="s">
        <v>20</v>
      </c>
      <c r="C279" s="2" t="str">
        <f>_xlfn.XLOOKUP(B279,线路DSP对应!A:A,线路DSP对应!B:B)</f>
        <v>STA_LAX_JLP</v>
      </c>
      <c r="D279" s="4" t="s">
        <v>147</v>
      </c>
      <c r="E279" s="2" t="str">
        <f>_xlfn.XLOOKUP(A279,转单情况!A:A,转单情况!B:B)</f>
        <v>否</v>
      </c>
      <c r="G279" s="28">
        <f>ROUND(_xlfn.XLOOKUP(A279,全量!A:A,全量!B:B,0)/7,1)</f>
        <v>0</v>
      </c>
      <c r="H279" s="2">
        <f>ROUND(_xlfn.XLOOKUP(A279,AE!A:A,AE!B:B,0)/7,1)</f>
        <v>0</v>
      </c>
      <c r="I279" s="2" t="str">
        <f>_xlfn.XLOOKUP(A279,SWFTX邮编覆盖!A:A,SWFTX邮编覆盖!B:B,"否")</f>
        <v>否</v>
      </c>
      <c r="J279" s="2" t="str">
        <f>_xlfn.XLOOKUP(A279,YW邮编覆盖!A:A,YW邮编覆盖!B:B,"否")</f>
        <v>否</v>
      </c>
    </row>
    <row r="280" spans="1:10" hidden="1">
      <c r="A280" s="3">
        <v>90834</v>
      </c>
      <c r="B280" s="1" t="s">
        <v>20</v>
      </c>
      <c r="C280" s="2" t="str">
        <f>_xlfn.XLOOKUP(B280,线路DSP对应!A:A,线路DSP对应!B:B)</f>
        <v>STA_LAX_JLP</v>
      </c>
      <c r="D280" s="4" t="s">
        <v>147</v>
      </c>
      <c r="E280" s="2" t="str">
        <f>_xlfn.XLOOKUP(A280,转单情况!A:A,转单情况!B:B)</f>
        <v>否</v>
      </c>
      <c r="G280" s="28">
        <f>ROUND(_xlfn.XLOOKUP(A280,全量!A:A,全量!B:B,0)/7,1)</f>
        <v>0</v>
      </c>
      <c r="H280" s="2">
        <f>ROUND(_xlfn.XLOOKUP(A280,AE!A:A,AE!B:B,0)/7,1)</f>
        <v>0</v>
      </c>
      <c r="I280" s="2" t="str">
        <f>_xlfn.XLOOKUP(A280,SWFTX邮编覆盖!A:A,SWFTX邮编覆盖!B:B,"否")</f>
        <v>否</v>
      </c>
      <c r="J280" s="2" t="str">
        <f>_xlfn.XLOOKUP(A280,YW邮编覆盖!A:A,YW邮编覆盖!B:B,"否")</f>
        <v>否</v>
      </c>
    </row>
    <row r="281" spans="1:10" hidden="1">
      <c r="A281" s="3">
        <v>90835</v>
      </c>
      <c r="B281" s="1" t="s">
        <v>20</v>
      </c>
      <c r="C281" s="2" t="str">
        <f>_xlfn.XLOOKUP(B281,线路DSP对应!A:A,线路DSP对应!B:B)</f>
        <v>STA_LAX_JLP</v>
      </c>
      <c r="D281" s="4" t="s">
        <v>147</v>
      </c>
      <c r="E281" s="2" t="str">
        <f>_xlfn.XLOOKUP(A281,转单情况!A:A,转单情况!B:B)</f>
        <v>否</v>
      </c>
      <c r="G281" s="28">
        <f>ROUND(_xlfn.XLOOKUP(A281,全量!A:A,全量!B:B,0)/7,1)</f>
        <v>0</v>
      </c>
      <c r="H281" s="2">
        <f>ROUND(_xlfn.XLOOKUP(A281,AE!A:A,AE!B:B,0)/7,1)</f>
        <v>0</v>
      </c>
      <c r="I281" s="2" t="str">
        <f>_xlfn.XLOOKUP(A281,SWFTX邮编覆盖!A:A,SWFTX邮编覆盖!B:B,"否")</f>
        <v>否</v>
      </c>
      <c r="J281" s="2" t="str">
        <f>_xlfn.XLOOKUP(A281,YW邮编覆盖!A:A,YW邮编覆盖!B:B,"否")</f>
        <v>否</v>
      </c>
    </row>
    <row r="282" spans="1:10" hidden="1">
      <c r="A282" s="3">
        <v>90899</v>
      </c>
      <c r="B282" s="1" t="s">
        <v>20</v>
      </c>
      <c r="C282" s="2" t="str">
        <f>_xlfn.XLOOKUP(B282,线路DSP对应!A:A,线路DSP对应!B:B)</f>
        <v>STA_LAX_JLP</v>
      </c>
      <c r="D282" s="4" t="s">
        <v>147</v>
      </c>
      <c r="E282" s="2" t="str">
        <f>_xlfn.XLOOKUP(A282,转单情况!A:A,转单情况!B:B)</f>
        <v>否</v>
      </c>
      <c r="G282" s="28">
        <f>ROUND(_xlfn.XLOOKUP(A282,全量!A:A,全量!B:B,0)/7,1)</f>
        <v>0</v>
      </c>
      <c r="H282" s="2">
        <f>ROUND(_xlfn.XLOOKUP(A282,AE!A:A,AE!B:B,0)/7,1)</f>
        <v>0</v>
      </c>
      <c r="I282" s="2" t="str">
        <f>_xlfn.XLOOKUP(A282,SWFTX邮编覆盖!A:A,SWFTX邮编覆盖!B:B,"否")</f>
        <v>否</v>
      </c>
      <c r="J282" s="2" t="str">
        <f>_xlfn.XLOOKUP(A282,YW邮编覆盖!A:A,YW邮编覆盖!B:B,"否")</f>
        <v>否</v>
      </c>
    </row>
    <row r="283" spans="1:10" hidden="1">
      <c r="A283" s="3">
        <v>90805</v>
      </c>
      <c r="B283" s="1" t="s">
        <v>21</v>
      </c>
      <c r="C283" s="2" t="str">
        <f>_xlfn.XLOOKUP(B283,线路DSP对应!A:A,线路DSP对应!B:B)</f>
        <v>STA_LAX_ChinaOcean</v>
      </c>
      <c r="D283" s="4" t="s">
        <v>147</v>
      </c>
      <c r="E283" s="2" t="str">
        <f>_xlfn.XLOOKUP(A283,转单情况!A:A,转单情况!B:B)</f>
        <v>SW</v>
      </c>
      <c r="F283" s="29"/>
      <c r="G283" s="28">
        <f>ROUND(_xlfn.XLOOKUP(A283,全量!A:A,全量!B:B,0)/7,1)</f>
        <v>0.6</v>
      </c>
      <c r="H283" s="2">
        <f>ROUND(_xlfn.XLOOKUP(A283,AE!A:A,AE!B:B,0)/7,1)</f>
        <v>0</v>
      </c>
      <c r="I283" s="2" t="str">
        <f>_xlfn.XLOOKUP(A283,SWFTX邮编覆盖!A:A,SWFTX邮编覆盖!B:B,"否")</f>
        <v>是</v>
      </c>
      <c r="J283" s="2" t="str">
        <f>_xlfn.XLOOKUP(A283,YW邮编覆盖!A:A,YW邮编覆盖!B:B,"否")</f>
        <v>是</v>
      </c>
    </row>
    <row r="284" spans="1:10" hidden="1">
      <c r="A284" s="3">
        <v>90716</v>
      </c>
      <c r="B284" s="1" t="s">
        <v>21</v>
      </c>
      <c r="C284" s="2" t="str">
        <f>_xlfn.XLOOKUP(B284,线路DSP对应!A:A,线路DSP对应!B:B)</f>
        <v>STA_LAX_ChinaOcean</v>
      </c>
      <c r="D284" s="4" t="s">
        <v>147</v>
      </c>
      <c r="E284" s="2" t="str">
        <f>_xlfn.XLOOKUP(A284,转单情况!A:A,转单情况!B:B)</f>
        <v>SW</v>
      </c>
      <c r="F284" s="29"/>
      <c r="G284" s="28">
        <f>ROUND(_xlfn.XLOOKUP(A284,全量!A:A,全量!B:B,0)/7,1)</f>
        <v>4.9000000000000004</v>
      </c>
      <c r="H284" s="2">
        <f>ROUND(_xlfn.XLOOKUP(A284,AE!A:A,AE!B:B,0)/7,1)</f>
        <v>4.9000000000000004</v>
      </c>
      <c r="I284" s="2" t="str">
        <f>_xlfn.XLOOKUP(A284,SWFTX邮编覆盖!A:A,SWFTX邮编覆盖!B:B,"否")</f>
        <v>是</v>
      </c>
      <c r="J284" s="2" t="str">
        <f>_xlfn.XLOOKUP(A284,YW邮编覆盖!A:A,YW邮编覆盖!B:B,"否")</f>
        <v>是</v>
      </c>
    </row>
    <row r="285" spans="1:10" hidden="1">
      <c r="A285" s="3">
        <v>90715</v>
      </c>
      <c r="B285" s="1" t="s">
        <v>21</v>
      </c>
      <c r="C285" s="2" t="str">
        <f>_xlfn.XLOOKUP(B285,线路DSP对应!A:A,线路DSP对应!B:B)</f>
        <v>STA_LAX_ChinaOcean</v>
      </c>
      <c r="D285" s="4" t="s">
        <v>147</v>
      </c>
      <c r="E285" s="2" t="str">
        <f>_xlfn.XLOOKUP(A285,转单情况!A:A,转单情况!B:B)</f>
        <v>SW</v>
      </c>
      <c r="F285" s="29"/>
      <c r="G285" s="28">
        <f>ROUND(_xlfn.XLOOKUP(A285,全量!A:A,全量!B:B,0)/7,1)</f>
        <v>0.1</v>
      </c>
      <c r="H285" s="2">
        <f>ROUND(_xlfn.XLOOKUP(A285,AE!A:A,AE!B:B,0)/7,1)</f>
        <v>0</v>
      </c>
      <c r="I285" s="2" t="str">
        <f>_xlfn.XLOOKUP(A285,SWFTX邮编覆盖!A:A,SWFTX邮编覆盖!B:B,"否")</f>
        <v>是</v>
      </c>
      <c r="J285" s="2" t="str">
        <f>_xlfn.XLOOKUP(A285,YW邮编覆盖!A:A,YW邮编覆盖!B:B,"否")</f>
        <v>是</v>
      </c>
    </row>
    <row r="286" spans="1:10" hidden="1">
      <c r="A286" s="3">
        <v>90713</v>
      </c>
      <c r="B286" s="1" t="s">
        <v>21</v>
      </c>
      <c r="C286" s="2" t="str">
        <f>_xlfn.XLOOKUP(B286,线路DSP对应!A:A,线路DSP对应!B:B)</f>
        <v>STA_LAX_ChinaOcean</v>
      </c>
      <c r="D286" s="4" t="s">
        <v>147</v>
      </c>
      <c r="E286" s="2" t="str">
        <f>_xlfn.XLOOKUP(A286,转单情况!A:A,转单情况!B:B)</f>
        <v>SW</v>
      </c>
      <c r="F286" s="29"/>
      <c r="G286" s="28">
        <f>ROUND(_xlfn.XLOOKUP(A286,全量!A:A,全量!B:B,0)/7,1)</f>
        <v>0.6</v>
      </c>
      <c r="H286" s="2">
        <f>ROUND(_xlfn.XLOOKUP(A286,AE!A:A,AE!B:B,0)/7,1)</f>
        <v>0</v>
      </c>
      <c r="I286" s="2" t="str">
        <f>_xlfn.XLOOKUP(A286,SWFTX邮编覆盖!A:A,SWFTX邮编覆盖!B:B,"否")</f>
        <v>是</v>
      </c>
      <c r="J286" s="2" t="str">
        <f>_xlfn.XLOOKUP(A286,YW邮编覆盖!A:A,YW邮编覆盖!B:B,"否")</f>
        <v>是</v>
      </c>
    </row>
    <row r="287" spans="1:10" hidden="1">
      <c r="A287" s="3">
        <v>90712</v>
      </c>
      <c r="B287" s="1" t="s">
        <v>21</v>
      </c>
      <c r="C287" s="2" t="str">
        <f>_xlfn.XLOOKUP(B287,线路DSP对应!A:A,线路DSP对应!B:B)</f>
        <v>STA_LAX_ChinaOcean</v>
      </c>
      <c r="D287" s="4" t="s">
        <v>147</v>
      </c>
      <c r="E287" s="2" t="str">
        <f>_xlfn.XLOOKUP(A287,转单情况!A:A,转单情况!B:B)</f>
        <v>SW</v>
      </c>
      <c r="F287" s="29"/>
      <c r="G287" s="28">
        <f>ROUND(_xlfn.XLOOKUP(A287,全量!A:A,全量!B:B,0)/7,1)</f>
        <v>0.4</v>
      </c>
      <c r="H287" s="2">
        <f>ROUND(_xlfn.XLOOKUP(A287,AE!A:A,AE!B:B,0)/7,1)</f>
        <v>0</v>
      </c>
      <c r="I287" s="2" t="str">
        <f>_xlfn.XLOOKUP(A287,SWFTX邮编覆盖!A:A,SWFTX邮编覆盖!B:B,"否")</f>
        <v>是</v>
      </c>
      <c r="J287" s="2" t="str">
        <f>_xlfn.XLOOKUP(A287,YW邮编覆盖!A:A,YW邮编覆盖!B:B,"否")</f>
        <v>是</v>
      </c>
    </row>
    <row r="288" spans="1:10" hidden="1">
      <c r="A288" s="3">
        <v>90815</v>
      </c>
      <c r="B288" s="1" t="s">
        <v>21</v>
      </c>
      <c r="C288" s="2" t="str">
        <f>_xlfn.XLOOKUP(B288,线路DSP对应!A:A,线路DSP对应!B:B)</f>
        <v>STA_LAX_ChinaOcean</v>
      </c>
      <c r="D288" s="4" t="s">
        <v>147</v>
      </c>
      <c r="E288" s="2" t="str">
        <f>_xlfn.XLOOKUP(A288,转单情况!A:A,转单情况!B:B)</f>
        <v>SW</v>
      </c>
      <c r="F288" s="29"/>
      <c r="G288" s="28">
        <f>ROUND(_xlfn.XLOOKUP(A288,全量!A:A,全量!B:B,0)/7,1)</f>
        <v>0.1</v>
      </c>
      <c r="H288" s="2">
        <f>ROUND(_xlfn.XLOOKUP(A288,AE!A:A,AE!B:B,0)/7,1)</f>
        <v>0</v>
      </c>
      <c r="I288" s="2" t="str">
        <f>_xlfn.XLOOKUP(A288,SWFTX邮编覆盖!A:A,SWFTX邮编覆盖!B:B,"否")</f>
        <v>是</v>
      </c>
      <c r="J288" s="2" t="str">
        <f>_xlfn.XLOOKUP(A288,YW邮编覆盖!A:A,YW邮编覆盖!B:B,"否")</f>
        <v>是</v>
      </c>
    </row>
    <row r="289" spans="1:10" hidden="1">
      <c r="A289" s="3">
        <v>90808</v>
      </c>
      <c r="B289" s="1" t="s">
        <v>21</v>
      </c>
      <c r="C289" s="2" t="str">
        <f>_xlfn.XLOOKUP(B289,线路DSP对应!A:A,线路DSP对应!B:B)</f>
        <v>STA_LAX_ChinaOcean</v>
      </c>
      <c r="D289" s="4" t="s">
        <v>147</v>
      </c>
      <c r="E289" s="2" t="str">
        <f>_xlfn.XLOOKUP(A289,转单情况!A:A,转单情况!B:B)</f>
        <v>SW</v>
      </c>
      <c r="F289" s="29"/>
      <c r="G289" s="28">
        <f>ROUND(_xlfn.XLOOKUP(A289,全量!A:A,全量!B:B,0)/7,1)</f>
        <v>9.3000000000000007</v>
      </c>
      <c r="H289" s="2">
        <f>ROUND(_xlfn.XLOOKUP(A289,AE!A:A,AE!B:B,0)/7,1)</f>
        <v>8.9</v>
      </c>
      <c r="I289" s="2" t="str">
        <f>_xlfn.XLOOKUP(A289,SWFTX邮编覆盖!A:A,SWFTX邮编覆盖!B:B,"否")</f>
        <v>是</v>
      </c>
      <c r="J289" s="2" t="str">
        <f>_xlfn.XLOOKUP(A289,YW邮编覆盖!A:A,YW邮编覆盖!B:B,"否")</f>
        <v>是</v>
      </c>
    </row>
    <row r="290" spans="1:10" hidden="1">
      <c r="A290" s="3">
        <v>90807</v>
      </c>
      <c r="B290" s="1" t="s">
        <v>21</v>
      </c>
      <c r="C290" s="2" t="str">
        <f>_xlfn.XLOOKUP(B290,线路DSP对应!A:A,线路DSP对应!B:B)</f>
        <v>STA_LAX_ChinaOcean</v>
      </c>
      <c r="D290" s="4" t="s">
        <v>147</v>
      </c>
      <c r="E290" s="2" t="str">
        <f>_xlfn.XLOOKUP(A290,转单情况!A:A,转单情况!B:B)</f>
        <v>SW</v>
      </c>
      <c r="F290" s="29"/>
      <c r="G290" s="28">
        <f>ROUND(_xlfn.XLOOKUP(A290,全量!A:A,全量!B:B,0)/7,1)</f>
        <v>0.3</v>
      </c>
      <c r="H290" s="2">
        <f>ROUND(_xlfn.XLOOKUP(A290,AE!A:A,AE!B:B,0)/7,1)</f>
        <v>0</v>
      </c>
      <c r="I290" s="2" t="str">
        <f>_xlfn.XLOOKUP(A290,SWFTX邮编覆盖!A:A,SWFTX邮编覆盖!B:B,"否")</f>
        <v>是</v>
      </c>
      <c r="J290" s="2" t="str">
        <f>_xlfn.XLOOKUP(A290,YW邮编覆盖!A:A,YW邮编覆盖!B:B,"否")</f>
        <v>是</v>
      </c>
    </row>
    <row r="291" spans="1:10" hidden="1">
      <c r="A291" s="3">
        <v>90504</v>
      </c>
      <c r="B291" s="1" t="s">
        <v>22</v>
      </c>
      <c r="C291" s="2" t="str">
        <f>_xlfn.XLOOKUP(B291,线路DSP对应!A:A,线路DSP对应!B:B)</f>
        <v>STA_LAX_JLP</v>
      </c>
      <c r="D291" s="4" t="s">
        <v>147</v>
      </c>
      <c r="E291" s="2" t="str">
        <f>_xlfn.XLOOKUP(A291,转单情况!A:A,转单情况!B:B)</f>
        <v>SW</v>
      </c>
      <c r="F291" s="29"/>
      <c r="G291" s="28">
        <f>ROUND(_xlfn.XLOOKUP(A291,全量!A:A,全量!B:B,0)/7,1)</f>
        <v>0</v>
      </c>
      <c r="H291" s="2">
        <f>ROUND(_xlfn.XLOOKUP(A291,AE!A:A,AE!B:B,0)/7,1)</f>
        <v>0</v>
      </c>
      <c r="I291" s="2" t="str">
        <f>_xlfn.XLOOKUP(A291,SWFTX邮编覆盖!A:A,SWFTX邮编覆盖!B:B,"否")</f>
        <v>是</v>
      </c>
      <c r="J291" s="2" t="str">
        <f>_xlfn.XLOOKUP(A291,YW邮编覆盖!A:A,YW邮编覆盖!B:B,"否")</f>
        <v>是</v>
      </c>
    </row>
    <row r="292" spans="1:10" hidden="1">
      <c r="A292" s="3">
        <v>90503</v>
      </c>
      <c r="B292" s="1" t="s">
        <v>22</v>
      </c>
      <c r="C292" s="2" t="str">
        <f>_xlfn.XLOOKUP(B292,线路DSP对应!A:A,线路DSP对应!B:B)</f>
        <v>STA_LAX_JLP</v>
      </c>
      <c r="D292" s="4" t="s">
        <v>147</v>
      </c>
      <c r="E292" s="2" t="str">
        <f>_xlfn.XLOOKUP(A292,转单情况!A:A,转单情况!B:B)</f>
        <v>SW</v>
      </c>
      <c r="F292" s="29"/>
      <c r="G292" s="28">
        <f>ROUND(_xlfn.XLOOKUP(A292,全量!A:A,全量!B:B,0)/7,1)</f>
        <v>0.4</v>
      </c>
      <c r="H292" s="2">
        <f>ROUND(_xlfn.XLOOKUP(A292,AE!A:A,AE!B:B,0)/7,1)</f>
        <v>0</v>
      </c>
      <c r="I292" s="2" t="str">
        <f>_xlfn.XLOOKUP(A292,SWFTX邮编覆盖!A:A,SWFTX邮编覆盖!B:B,"否")</f>
        <v>是</v>
      </c>
      <c r="J292" s="2" t="str">
        <f>_xlfn.XLOOKUP(A292,YW邮编覆盖!A:A,YW邮编覆盖!B:B,"否")</f>
        <v>是</v>
      </c>
    </row>
    <row r="293" spans="1:10" hidden="1">
      <c r="A293" s="3">
        <v>90502</v>
      </c>
      <c r="B293" s="1" t="s">
        <v>22</v>
      </c>
      <c r="C293" s="2" t="str">
        <f>_xlfn.XLOOKUP(B293,线路DSP对应!A:A,线路DSP对应!B:B)</f>
        <v>STA_LAX_JLP</v>
      </c>
      <c r="D293" s="4" t="s">
        <v>147</v>
      </c>
      <c r="E293" s="2" t="str">
        <f>_xlfn.XLOOKUP(A293,转单情况!A:A,转单情况!B:B)</f>
        <v>SW</v>
      </c>
      <c r="F293" s="29"/>
      <c r="G293" s="28">
        <f>ROUND(_xlfn.XLOOKUP(A293,全量!A:A,全量!B:B,0)/7,1)</f>
        <v>7</v>
      </c>
      <c r="H293" s="2">
        <f>ROUND(_xlfn.XLOOKUP(A293,AE!A:A,AE!B:B,0)/7,1)</f>
        <v>6.9</v>
      </c>
      <c r="I293" s="2" t="str">
        <f>_xlfn.XLOOKUP(A293,SWFTX邮编覆盖!A:A,SWFTX邮编覆盖!B:B,"否")</f>
        <v>是</v>
      </c>
      <c r="J293" s="2" t="str">
        <f>_xlfn.XLOOKUP(A293,YW邮编覆盖!A:A,YW邮编覆盖!B:B,"否")</f>
        <v>是</v>
      </c>
    </row>
    <row r="294" spans="1:10" hidden="1">
      <c r="A294" s="3">
        <v>90254</v>
      </c>
      <c r="B294" s="1" t="s">
        <v>22</v>
      </c>
      <c r="C294" s="2" t="str">
        <f>_xlfn.XLOOKUP(B294,线路DSP对应!A:A,线路DSP对应!B:B)</f>
        <v>STA_LAX_JLP</v>
      </c>
      <c r="D294" s="4" t="s">
        <v>147</v>
      </c>
      <c r="E294" s="2" t="str">
        <f>_xlfn.XLOOKUP(A294,转单情况!A:A,转单情况!B:B)</f>
        <v>SW</v>
      </c>
      <c r="G294" s="28">
        <f>ROUND(_xlfn.XLOOKUP(A294,全量!A:A,全量!B:B,0)/7,1)</f>
        <v>0.4</v>
      </c>
      <c r="H294" s="2">
        <f>ROUND(_xlfn.XLOOKUP(A294,AE!A:A,AE!B:B,0)/7,1)</f>
        <v>0</v>
      </c>
      <c r="I294" s="2" t="str">
        <f>_xlfn.XLOOKUP(A294,SWFTX邮编覆盖!A:A,SWFTX邮编覆盖!B:B,"否")</f>
        <v>是</v>
      </c>
      <c r="J294" s="2" t="str">
        <f>_xlfn.XLOOKUP(A294,YW邮编覆盖!A:A,YW邮编覆盖!B:B,"否")</f>
        <v>是</v>
      </c>
    </row>
    <row r="295" spans="1:10" hidden="1">
      <c r="A295" s="3">
        <v>90277</v>
      </c>
      <c r="B295" s="1" t="s">
        <v>22</v>
      </c>
      <c r="C295" s="2" t="str">
        <f>_xlfn.XLOOKUP(B295,线路DSP对应!A:A,线路DSP对应!B:B)</f>
        <v>STA_LAX_JLP</v>
      </c>
      <c r="D295" s="4" t="s">
        <v>147</v>
      </c>
      <c r="E295" s="2" t="str">
        <f>_xlfn.XLOOKUP(A295,转单情况!A:A,转单情况!B:B)</f>
        <v>SW</v>
      </c>
      <c r="F295" s="29"/>
      <c r="G295" s="28">
        <f>ROUND(_xlfn.XLOOKUP(A295,全量!A:A,全量!B:B,0)/7,1)</f>
        <v>0.4</v>
      </c>
      <c r="H295" s="2">
        <f>ROUND(_xlfn.XLOOKUP(A295,AE!A:A,AE!B:B,0)/7,1)</f>
        <v>0</v>
      </c>
      <c r="I295" s="2" t="str">
        <f>_xlfn.XLOOKUP(A295,SWFTX邮编覆盖!A:A,SWFTX邮编覆盖!B:B,"否")</f>
        <v>是</v>
      </c>
      <c r="J295" s="2" t="str">
        <f>_xlfn.XLOOKUP(A295,YW邮编覆盖!A:A,YW邮编覆盖!B:B,"否")</f>
        <v>是</v>
      </c>
    </row>
    <row r="296" spans="1:10" hidden="1">
      <c r="A296" s="3">
        <v>90505</v>
      </c>
      <c r="B296" s="1" t="s">
        <v>22</v>
      </c>
      <c r="C296" s="2" t="str">
        <f>_xlfn.XLOOKUP(B296,线路DSP对应!A:A,线路DSP对应!B:B)</f>
        <v>STA_LAX_JLP</v>
      </c>
      <c r="D296" s="4" t="s">
        <v>147</v>
      </c>
      <c r="E296" s="2" t="str">
        <f>_xlfn.XLOOKUP(A296,转单情况!A:A,转单情况!B:B)</f>
        <v>SW</v>
      </c>
      <c r="F296" s="29"/>
      <c r="G296" s="28">
        <f>ROUND(_xlfn.XLOOKUP(A296,全量!A:A,全量!B:B,0)/7,1)</f>
        <v>0.6</v>
      </c>
      <c r="H296" s="2">
        <f>ROUND(_xlfn.XLOOKUP(A296,AE!A:A,AE!B:B,0)/7,1)</f>
        <v>0</v>
      </c>
      <c r="I296" s="2" t="str">
        <f>_xlfn.XLOOKUP(A296,SWFTX邮编覆盖!A:A,SWFTX邮编覆盖!B:B,"否")</f>
        <v>是</v>
      </c>
      <c r="J296" s="2" t="str">
        <f>_xlfn.XLOOKUP(A296,YW邮编覆盖!A:A,YW邮编覆盖!B:B,"否")</f>
        <v>是</v>
      </c>
    </row>
    <row r="297" spans="1:10" hidden="1">
      <c r="A297" s="3">
        <v>90506</v>
      </c>
      <c r="B297" s="1" t="s">
        <v>22</v>
      </c>
      <c r="C297" s="2" t="str">
        <f>_xlfn.XLOOKUP(B297,线路DSP对应!A:A,线路DSP对应!B:B)</f>
        <v>STA_LAX_JLP</v>
      </c>
      <c r="D297" s="4" t="s">
        <v>147</v>
      </c>
      <c r="E297" s="2" t="str">
        <f>_xlfn.XLOOKUP(A297,转单情况!A:A,转单情况!B:B)</f>
        <v>否</v>
      </c>
      <c r="F297" s="2" t="s">
        <v>202</v>
      </c>
      <c r="G297" s="28">
        <f>ROUND(_xlfn.XLOOKUP(A297,全量!A:A,全量!B:B,0)/7,1)</f>
        <v>0</v>
      </c>
      <c r="H297" s="2">
        <f>ROUND(_xlfn.XLOOKUP(A297,AE!A:A,AE!B:B,0)/7,1)</f>
        <v>0</v>
      </c>
      <c r="I297" s="2" t="str">
        <f>_xlfn.XLOOKUP(A297,SWFTX邮编覆盖!A:A,SWFTX邮编覆盖!B:B,"否")</f>
        <v>否</v>
      </c>
      <c r="J297" s="2" t="str">
        <f>_xlfn.XLOOKUP(A297,YW邮编覆盖!A:A,YW邮编覆盖!B:B,"否")</f>
        <v>否</v>
      </c>
    </row>
    <row r="298" spans="1:10" hidden="1">
      <c r="A298" s="3">
        <v>90501</v>
      </c>
      <c r="B298" s="1" t="s">
        <v>22</v>
      </c>
      <c r="C298" s="2" t="str">
        <f>_xlfn.XLOOKUP(B298,线路DSP对应!A:A,线路DSP对应!B:B)</f>
        <v>STA_LAX_JLP</v>
      </c>
      <c r="D298" s="4" t="s">
        <v>147</v>
      </c>
      <c r="E298" s="2" t="str">
        <f>_xlfn.XLOOKUP(A298,转单情况!A:A,转单情况!B:B)</f>
        <v>SW</v>
      </c>
      <c r="F298" s="29"/>
      <c r="G298" s="28">
        <f>ROUND(_xlfn.XLOOKUP(A298,全量!A:A,全量!B:B,0)/7,1)</f>
        <v>0.1</v>
      </c>
      <c r="H298" s="2">
        <f>ROUND(_xlfn.XLOOKUP(A298,AE!A:A,AE!B:B,0)/7,1)</f>
        <v>0</v>
      </c>
      <c r="I298" s="2" t="str">
        <f>_xlfn.XLOOKUP(A298,SWFTX邮编覆盖!A:A,SWFTX邮编覆盖!B:B,"否")</f>
        <v>是</v>
      </c>
      <c r="J298" s="2" t="str">
        <f>_xlfn.XLOOKUP(A298,YW邮编覆盖!A:A,YW邮编覆盖!B:B,"否")</f>
        <v>是</v>
      </c>
    </row>
    <row r="299" spans="1:10" hidden="1">
      <c r="A299" s="3">
        <v>90274</v>
      </c>
      <c r="B299" s="1" t="s">
        <v>23</v>
      </c>
      <c r="C299" s="2" t="str">
        <f>_xlfn.XLOOKUP(B299,线路DSP对应!A:A,线路DSP对应!B:B)</f>
        <v>STA_LAX_ChinaOcean</v>
      </c>
      <c r="D299" s="4" t="s">
        <v>147</v>
      </c>
      <c r="E299" s="2" t="str">
        <f>_xlfn.XLOOKUP(A299,转单情况!A:A,转单情况!B:B)</f>
        <v>SW</v>
      </c>
      <c r="G299" s="28">
        <f>ROUND(_xlfn.XLOOKUP(A299,全量!A:A,全量!B:B,0)/7,1)</f>
        <v>0.1</v>
      </c>
      <c r="H299" s="2">
        <f>ROUND(_xlfn.XLOOKUP(A299,AE!A:A,AE!B:B,0)/7,1)</f>
        <v>0</v>
      </c>
      <c r="I299" s="2" t="str">
        <f>_xlfn.XLOOKUP(A299,SWFTX邮编覆盖!A:A,SWFTX邮编覆盖!B:B,"否")</f>
        <v>是</v>
      </c>
      <c r="J299" s="2" t="str">
        <f>_xlfn.XLOOKUP(A299,YW邮编覆盖!A:A,YW邮编覆盖!B:B,"否")</f>
        <v>是</v>
      </c>
    </row>
    <row r="300" spans="1:10" hidden="1">
      <c r="A300" s="3">
        <v>90275</v>
      </c>
      <c r="B300" s="1" t="s">
        <v>23</v>
      </c>
      <c r="C300" s="2" t="str">
        <f>_xlfn.XLOOKUP(B300,线路DSP对应!A:A,线路DSP对应!B:B)</f>
        <v>STA_LAX_ChinaOcean</v>
      </c>
      <c r="D300" s="4" t="s">
        <v>147</v>
      </c>
      <c r="E300" s="2" t="str">
        <f>_xlfn.XLOOKUP(A300,转单情况!A:A,转单情况!B:B)</f>
        <v>SW</v>
      </c>
      <c r="G300" s="28">
        <f>ROUND(_xlfn.XLOOKUP(A300,全量!A:A,全量!B:B,0)/7,1)</f>
        <v>0.1</v>
      </c>
      <c r="H300" s="2">
        <f>ROUND(_xlfn.XLOOKUP(A300,AE!A:A,AE!B:B,0)/7,1)</f>
        <v>0</v>
      </c>
      <c r="I300" s="2" t="str">
        <f>_xlfn.XLOOKUP(A300,SWFTX邮编覆盖!A:A,SWFTX邮编覆盖!B:B,"否")</f>
        <v>是</v>
      </c>
      <c r="J300" s="2" t="str">
        <f>_xlfn.XLOOKUP(A300,YW邮编覆盖!A:A,YW邮编覆盖!B:B,"否")</f>
        <v>是</v>
      </c>
    </row>
    <row r="301" spans="1:10" hidden="1">
      <c r="A301" s="3">
        <v>90731</v>
      </c>
      <c r="B301" s="1" t="s">
        <v>23</v>
      </c>
      <c r="C301" s="2" t="str">
        <f>_xlfn.XLOOKUP(B301,线路DSP对应!A:A,线路DSP对应!B:B)</f>
        <v>STA_LAX_ChinaOcean</v>
      </c>
      <c r="D301" s="4" t="s">
        <v>147</v>
      </c>
      <c r="E301" s="2" t="str">
        <f>_xlfn.XLOOKUP(A301,转单情况!A:A,转单情况!B:B)</f>
        <v>SW</v>
      </c>
      <c r="G301" s="28">
        <f>ROUND(_xlfn.XLOOKUP(A301,全量!A:A,全量!B:B,0)/7,1)</f>
        <v>0.3</v>
      </c>
      <c r="H301" s="2">
        <f>ROUND(_xlfn.XLOOKUP(A301,AE!A:A,AE!B:B,0)/7,1)</f>
        <v>0</v>
      </c>
      <c r="I301" s="2" t="str">
        <f>_xlfn.XLOOKUP(A301,SWFTX邮编覆盖!A:A,SWFTX邮编覆盖!B:B,"否")</f>
        <v>是</v>
      </c>
      <c r="J301" s="2" t="str">
        <f>_xlfn.XLOOKUP(A301,YW邮编覆盖!A:A,YW邮编覆盖!B:B,"否")</f>
        <v>是</v>
      </c>
    </row>
    <row r="302" spans="1:10" hidden="1">
      <c r="A302" s="3">
        <v>90732</v>
      </c>
      <c r="B302" s="1" t="s">
        <v>23</v>
      </c>
      <c r="C302" s="2" t="str">
        <f>_xlfn.XLOOKUP(B302,线路DSP对应!A:A,线路DSP对应!B:B)</f>
        <v>STA_LAX_ChinaOcean</v>
      </c>
      <c r="D302" s="4" t="s">
        <v>147</v>
      </c>
      <c r="E302" s="2" t="str">
        <f>_xlfn.XLOOKUP(A302,转单情况!A:A,转单情况!B:B)</f>
        <v>SW</v>
      </c>
      <c r="G302" s="28">
        <f>ROUND(_xlfn.XLOOKUP(A302,全量!A:A,全量!B:B,0)/7,1)</f>
        <v>0</v>
      </c>
      <c r="H302" s="2">
        <f>ROUND(_xlfn.XLOOKUP(A302,AE!A:A,AE!B:B,0)/7,1)</f>
        <v>0</v>
      </c>
      <c r="I302" s="2" t="str">
        <f>_xlfn.XLOOKUP(A302,SWFTX邮编覆盖!A:A,SWFTX邮编覆盖!B:B,"否")</f>
        <v>是</v>
      </c>
      <c r="J302" s="2" t="str">
        <f>_xlfn.XLOOKUP(A302,YW邮编覆盖!A:A,YW邮编覆盖!B:B,"否")</f>
        <v>是</v>
      </c>
    </row>
    <row r="303" spans="1:10" hidden="1">
      <c r="A303" s="3">
        <v>90034</v>
      </c>
      <c r="B303" s="1" t="s">
        <v>24</v>
      </c>
      <c r="C303" s="2" t="str">
        <f>_xlfn.XLOOKUP(B303,线路DSP对应!A:A,线路DSP对应!B:B)</f>
        <v>STA_LAX_JLP</v>
      </c>
      <c r="D303" s="4" t="s">
        <v>147</v>
      </c>
      <c r="E303" s="2" t="str">
        <f>_xlfn.XLOOKUP(A303,转单情况!A:A,转单情况!B:B)</f>
        <v>SW</v>
      </c>
      <c r="G303" s="28">
        <f>ROUND(_xlfn.XLOOKUP(A303,全量!A:A,全量!B:B,0)/7,1)</f>
        <v>0.1</v>
      </c>
      <c r="H303" s="2">
        <f>ROUND(_xlfn.XLOOKUP(A303,AE!A:A,AE!B:B,0)/7,1)</f>
        <v>0</v>
      </c>
      <c r="I303" s="2" t="str">
        <f>_xlfn.XLOOKUP(A303,SWFTX邮编覆盖!A:A,SWFTX邮编覆盖!B:B,"否")</f>
        <v>是</v>
      </c>
      <c r="J303" s="2" t="str">
        <f>_xlfn.XLOOKUP(A303,YW邮编覆盖!A:A,YW邮编覆盖!B:B,"否")</f>
        <v>是</v>
      </c>
    </row>
    <row r="304" spans="1:10" hidden="1">
      <c r="A304" s="3">
        <v>90232</v>
      </c>
      <c r="B304" s="1" t="s">
        <v>24</v>
      </c>
      <c r="C304" s="2" t="str">
        <f>_xlfn.XLOOKUP(B304,线路DSP对应!A:A,线路DSP对应!B:B)</f>
        <v>STA_LAX_JLP</v>
      </c>
      <c r="D304" s="4" t="s">
        <v>147</v>
      </c>
      <c r="E304" s="2" t="str">
        <f>_xlfn.XLOOKUP(A304,转单情况!A:A,转单情况!B:B)</f>
        <v>SW</v>
      </c>
      <c r="G304" s="28">
        <f>ROUND(_xlfn.XLOOKUP(A304,全量!A:A,全量!B:B,0)/7,1)</f>
        <v>0.1</v>
      </c>
      <c r="H304" s="2">
        <f>ROUND(_xlfn.XLOOKUP(A304,AE!A:A,AE!B:B,0)/7,1)</f>
        <v>0</v>
      </c>
      <c r="I304" s="2" t="str">
        <f>_xlfn.XLOOKUP(A304,SWFTX邮编覆盖!A:A,SWFTX邮编覆盖!B:B,"否")</f>
        <v>是</v>
      </c>
      <c r="J304" s="2" t="str">
        <f>_xlfn.XLOOKUP(A304,YW邮编覆盖!A:A,YW邮编覆盖!B:B,"否")</f>
        <v>是</v>
      </c>
    </row>
    <row r="305" spans="1:10" hidden="1">
      <c r="A305" s="3">
        <v>90035</v>
      </c>
      <c r="B305" s="1" t="s">
        <v>24</v>
      </c>
      <c r="C305" s="2" t="str">
        <f>_xlfn.XLOOKUP(B305,线路DSP对应!A:A,线路DSP对应!B:B)</f>
        <v>STA_LAX_JLP</v>
      </c>
      <c r="D305" s="4" t="s">
        <v>147</v>
      </c>
      <c r="E305" s="2" t="str">
        <f>_xlfn.XLOOKUP(A305,转单情况!A:A,转单情况!B:B)</f>
        <v>SW</v>
      </c>
      <c r="G305" s="28">
        <f>ROUND(_xlfn.XLOOKUP(A305,全量!A:A,全量!B:B,0)/7,1)</f>
        <v>0.3</v>
      </c>
      <c r="H305" s="2">
        <f>ROUND(_xlfn.XLOOKUP(A305,AE!A:A,AE!B:B,0)/7,1)</f>
        <v>0</v>
      </c>
      <c r="I305" s="2" t="str">
        <f>_xlfn.XLOOKUP(A305,SWFTX邮编覆盖!A:A,SWFTX邮编覆盖!B:B,"否")</f>
        <v>是</v>
      </c>
      <c r="J305" s="2" t="str">
        <f>_xlfn.XLOOKUP(A305,YW邮编覆盖!A:A,YW邮编覆盖!B:B,"否")</f>
        <v>是</v>
      </c>
    </row>
    <row r="306" spans="1:10" hidden="1">
      <c r="A306" s="3">
        <v>90064</v>
      </c>
      <c r="B306" s="1" t="s">
        <v>24</v>
      </c>
      <c r="C306" s="2" t="str">
        <f>_xlfn.XLOOKUP(B306,线路DSP对应!A:A,线路DSP对应!B:B)</f>
        <v>STA_LAX_JLP</v>
      </c>
      <c r="D306" s="4" t="s">
        <v>147</v>
      </c>
      <c r="E306" s="2" t="str">
        <f>_xlfn.XLOOKUP(A306,转单情况!A:A,转单情况!B:B)</f>
        <v>SW</v>
      </c>
      <c r="G306" s="28">
        <f>ROUND(_xlfn.XLOOKUP(A306,全量!A:A,全量!B:B,0)/7,1)</f>
        <v>0.4</v>
      </c>
      <c r="H306" s="2">
        <f>ROUND(_xlfn.XLOOKUP(A306,AE!A:A,AE!B:B,0)/7,1)</f>
        <v>0</v>
      </c>
      <c r="I306" s="2" t="str">
        <f>_xlfn.XLOOKUP(A306,SWFTX邮编覆盖!A:A,SWFTX邮编覆盖!B:B,"否")</f>
        <v>是</v>
      </c>
      <c r="J306" s="2" t="str">
        <f>_xlfn.XLOOKUP(A306,YW邮编覆盖!A:A,YW邮编覆盖!B:B,"否")</f>
        <v>是</v>
      </c>
    </row>
    <row r="307" spans="1:10" hidden="1">
      <c r="A307" s="3">
        <v>90233</v>
      </c>
      <c r="B307" s="1" t="s">
        <v>24</v>
      </c>
      <c r="C307" s="2" t="str">
        <f>_xlfn.XLOOKUP(B307,线路DSP对应!A:A,线路DSP对应!B:B)</f>
        <v>STA_LAX_JLP</v>
      </c>
      <c r="D307" s="4" t="s">
        <v>147</v>
      </c>
      <c r="E307" s="2" t="str">
        <f>_xlfn.XLOOKUP(A307,转单情况!A:A,转单情况!B:B)</f>
        <v>否</v>
      </c>
      <c r="G307" s="28">
        <f>ROUND(_xlfn.XLOOKUP(A307,全量!A:A,全量!B:B,0)/7,1)</f>
        <v>0</v>
      </c>
      <c r="H307" s="2">
        <f>ROUND(_xlfn.XLOOKUP(A307,AE!A:A,AE!B:B,0)/7,1)</f>
        <v>0</v>
      </c>
      <c r="I307" s="2" t="str">
        <f>_xlfn.XLOOKUP(A307,SWFTX邮编覆盖!A:A,SWFTX邮编覆盖!B:B,"否")</f>
        <v>否</v>
      </c>
      <c r="J307" s="2" t="str">
        <f>_xlfn.XLOOKUP(A307,YW邮编覆盖!A:A,YW邮编覆盖!B:B,"否")</f>
        <v>否</v>
      </c>
    </row>
    <row r="308" spans="1:10" hidden="1">
      <c r="A308" s="3">
        <v>90037</v>
      </c>
      <c r="B308" s="1" t="s">
        <v>25</v>
      </c>
      <c r="C308" s="2" t="str">
        <f>_xlfn.XLOOKUP(B308,线路DSP对应!A:A,线路DSP对应!B:B)</f>
        <v>STA_LAX_JLP</v>
      </c>
      <c r="D308" s="4" t="s">
        <v>147</v>
      </c>
      <c r="E308" s="2" t="str">
        <f>_xlfn.XLOOKUP(A308,转单情况!A:A,转单情况!B:B)</f>
        <v>SW</v>
      </c>
      <c r="G308" s="28">
        <f>ROUND(_xlfn.XLOOKUP(A308,全量!A:A,全量!B:B,0)/7,1)</f>
        <v>0.3</v>
      </c>
      <c r="H308" s="2">
        <f>ROUND(_xlfn.XLOOKUP(A308,AE!A:A,AE!B:B,0)/7,1)</f>
        <v>0</v>
      </c>
      <c r="I308" s="2" t="str">
        <f>_xlfn.XLOOKUP(A308,SWFTX邮编覆盖!A:A,SWFTX邮编覆盖!B:B,"否")</f>
        <v>是</v>
      </c>
      <c r="J308" s="2" t="str">
        <f>_xlfn.XLOOKUP(A308,YW邮编覆盖!A:A,YW邮编覆盖!B:B,"否")</f>
        <v>是</v>
      </c>
    </row>
    <row r="309" spans="1:10" hidden="1">
      <c r="A309" s="3">
        <v>90018</v>
      </c>
      <c r="B309" s="1" t="s">
        <v>25</v>
      </c>
      <c r="C309" s="2" t="str">
        <f>_xlfn.XLOOKUP(B309,线路DSP对应!A:A,线路DSP对应!B:B)</f>
        <v>STA_LAX_JLP</v>
      </c>
      <c r="D309" s="4" t="s">
        <v>147</v>
      </c>
      <c r="E309" s="2" t="str">
        <f>_xlfn.XLOOKUP(A309,转单情况!A:A,转单情况!B:B)</f>
        <v>SW</v>
      </c>
      <c r="G309" s="28">
        <f>ROUND(_xlfn.XLOOKUP(A309,全量!A:A,全量!B:B,0)/7,1)</f>
        <v>0.4</v>
      </c>
      <c r="H309" s="2">
        <f>ROUND(_xlfn.XLOOKUP(A309,AE!A:A,AE!B:B,0)/7,1)</f>
        <v>0</v>
      </c>
      <c r="I309" s="2" t="str">
        <f>_xlfn.XLOOKUP(A309,SWFTX邮编覆盖!A:A,SWFTX邮编覆盖!B:B,"否")</f>
        <v>是</v>
      </c>
      <c r="J309" s="2" t="str">
        <f>_xlfn.XLOOKUP(A309,YW邮编覆盖!A:A,YW邮编覆盖!B:B,"否")</f>
        <v>是</v>
      </c>
    </row>
    <row r="310" spans="1:10" hidden="1">
      <c r="A310" s="3">
        <v>90019</v>
      </c>
      <c r="B310" s="1" t="s">
        <v>25</v>
      </c>
      <c r="C310" s="2" t="str">
        <f>_xlfn.XLOOKUP(B310,线路DSP对应!A:A,线路DSP对应!B:B)</f>
        <v>STA_LAX_JLP</v>
      </c>
      <c r="D310" s="4" t="s">
        <v>147</v>
      </c>
      <c r="E310" s="2" t="str">
        <f>_xlfn.XLOOKUP(A310,转单情况!A:A,转单情况!B:B)</f>
        <v>SW</v>
      </c>
      <c r="F310" s="29"/>
      <c r="G310" s="28">
        <f>ROUND(_xlfn.XLOOKUP(A310,全量!A:A,全量!B:B,0)/7,1)</f>
        <v>0</v>
      </c>
      <c r="H310" s="2">
        <f>ROUND(_xlfn.XLOOKUP(A310,AE!A:A,AE!B:B,0)/7,1)</f>
        <v>0</v>
      </c>
      <c r="I310" s="2" t="str">
        <f>_xlfn.XLOOKUP(A310,SWFTX邮编覆盖!A:A,SWFTX邮编覆盖!B:B,"否")</f>
        <v>是</v>
      </c>
      <c r="J310" s="2" t="str">
        <f>_xlfn.XLOOKUP(A310,YW邮编覆盖!A:A,YW邮编覆盖!B:B,"否")</f>
        <v>是</v>
      </c>
    </row>
    <row r="311" spans="1:10" hidden="1">
      <c r="A311" s="3">
        <v>90062</v>
      </c>
      <c r="B311" s="1" t="s">
        <v>25</v>
      </c>
      <c r="C311" s="2" t="str">
        <f>_xlfn.XLOOKUP(B311,线路DSP对应!A:A,线路DSP对应!B:B)</f>
        <v>STA_LAX_JLP</v>
      </c>
      <c r="D311" s="4" t="s">
        <v>147</v>
      </c>
      <c r="E311" s="2" t="str">
        <f>_xlfn.XLOOKUP(A311,转单情况!A:A,转单情况!B:B)</f>
        <v>SW</v>
      </c>
      <c r="G311" s="28">
        <f>ROUND(_xlfn.XLOOKUP(A311,全量!A:A,全量!B:B,0)/7,1)</f>
        <v>0.3</v>
      </c>
      <c r="H311" s="2">
        <f>ROUND(_xlfn.XLOOKUP(A311,AE!A:A,AE!B:B,0)/7,1)</f>
        <v>0</v>
      </c>
      <c r="I311" s="2" t="str">
        <f>_xlfn.XLOOKUP(A311,SWFTX邮编覆盖!A:A,SWFTX邮编覆盖!B:B,"否")</f>
        <v>是</v>
      </c>
      <c r="J311" s="2" t="str">
        <f>_xlfn.XLOOKUP(A311,YW邮编覆盖!A:A,YW邮编覆盖!B:B,"否")</f>
        <v>是</v>
      </c>
    </row>
    <row r="312" spans="1:10" hidden="1">
      <c r="A312" s="3">
        <v>90005</v>
      </c>
      <c r="B312" s="1" t="s">
        <v>25</v>
      </c>
      <c r="C312" s="2" t="str">
        <f>_xlfn.XLOOKUP(B312,线路DSP对应!A:A,线路DSP对应!B:B)</f>
        <v>STA_LAX_JLP</v>
      </c>
      <c r="D312" s="4" t="s">
        <v>147</v>
      </c>
      <c r="E312" s="2" t="str">
        <f>_xlfn.XLOOKUP(A312,转单情况!A:A,转单情况!B:B)</f>
        <v>SW</v>
      </c>
      <c r="F312" s="29"/>
      <c r="G312" s="28">
        <f>ROUND(_xlfn.XLOOKUP(A312,全量!A:A,全量!B:B,0)/7,1)</f>
        <v>0.3</v>
      </c>
      <c r="H312" s="2">
        <f>ROUND(_xlfn.XLOOKUP(A312,AE!A:A,AE!B:B,0)/7,1)</f>
        <v>0</v>
      </c>
      <c r="I312" s="2" t="str">
        <f>_xlfn.XLOOKUP(A312,SWFTX邮编覆盖!A:A,SWFTX邮编覆盖!B:B,"否")</f>
        <v>是</v>
      </c>
      <c r="J312" s="2" t="str">
        <f>_xlfn.XLOOKUP(A312,YW邮编覆盖!A:A,YW邮编覆盖!B:B,"否")</f>
        <v>是</v>
      </c>
    </row>
    <row r="313" spans="1:10" hidden="1">
      <c r="A313" s="3">
        <v>90006</v>
      </c>
      <c r="B313" s="1" t="s">
        <v>25</v>
      </c>
      <c r="C313" s="2" t="str">
        <f>_xlfn.XLOOKUP(B313,线路DSP对应!A:A,线路DSP对应!B:B)</f>
        <v>STA_LAX_JLP</v>
      </c>
      <c r="D313" s="4" t="s">
        <v>147</v>
      </c>
      <c r="E313" s="2" t="str">
        <f>_xlfn.XLOOKUP(A313,转单情况!A:A,转单情况!B:B)</f>
        <v>SW</v>
      </c>
      <c r="F313" s="29"/>
      <c r="G313" s="28">
        <f>ROUND(_xlfn.XLOOKUP(A313,全量!A:A,全量!B:B,0)/7,1)</f>
        <v>0.4</v>
      </c>
      <c r="H313" s="2">
        <f>ROUND(_xlfn.XLOOKUP(A313,AE!A:A,AE!B:B,0)/7,1)</f>
        <v>0</v>
      </c>
      <c r="I313" s="2" t="str">
        <f>_xlfn.XLOOKUP(A313,SWFTX邮编覆盖!A:A,SWFTX邮编覆盖!B:B,"否")</f>
        <v>是</v>
      </c>
      <c r="J313" s="2" t="str">
        <f>_xlfn.XLOOKUP(A313,YW邮编覆盖!A:A,YW邮编覆盖!B:B,"否")</f>
        <v>是</v>
      </c>
    </row>
    <row r="314" spans="1:10" hidden="1">
      <c r="A314" s="3">
        <v>90007</v>
      </c>
      <c r="B314" s="1" t="s">
        <v>25</v>
      </c>
      <c r="C314" s="2" t="str">
        <f>_xlfn.XLOOKUP(B314,线路DSP对应!A:A,线路DSP对应!B:B)</f>
        <v>STA_LAX_JLP</v>
      </c>
      <c r="D314" s="4" t="s">
        <v>147</v>
      </c>
      <c r="E314" s="2" t="str">
        <f>_xlfn.XLOOKUP(A314,转单情况!A:A,转单情况!B:B)</f>
        <v>SW</v>
      </c>
      <c r="G314" s="28">
        <f>ROUND(_xlfn.XLOOKUP(A314,全量!A:A,全量!B:B,0)/7,1)</f>
        <v>0.4</v>
      </c>
      <c r="H314" s="2">
        <f>ROUND(_xlfn.XLOOKUP(A314,AE!A:A,AE!B:B,0)/7,1)</f>
        <v>0</v>
      </c>
      <c r="I314" s="2" t="str">
        <f>_xlfn.XLOOKUP(A314,SWFTX邮编覆盖!A:A,SWFTX邮编覆盖!B:B,"否")</f>
        <v>是</v>
      </c>
      <c r="J314" s="2" t="str">
        <f>_xlfn.XLOOKUP(A314,YW邮编覆盖!A:A,YW邮编覆盖!B:B,"否")</f>
        <v>是</v>
      </c>
    </row>
    <row r="315" spans="1:10" hidden="1">
      <c r="A315" s="3">
        <v>90010</v>
      </c>
      <c r="B315" s="1" t="s">
        <v>25</v>
      </c>
      <c r="C315" s="2" t="str">
        <f>_xlfn.XLOOKUP(B315,线路DSP对应!A:A,线路DSP对应!B:B)</f>
        <v>STA_LAX_JLP</v>
      </c>
      <c r="D315" s="4" t="s">
        <v>147</v>
      </c>
      <c r="E315" s="2" t="str">
        <f>_xlfn.XLOOKUP(A315,转单情况!A:A,转单情况!B:B)</f>
        <v>否</v>
      </c>
      <c r="G315" s="28">
        <f>ROUND(_xlfn.XLOOKUP(A315,全量!A:A,全量!B:B,0)/7,1)</f>
        <v>0.4</v>
      </c>
      <c r="H315" s="2">
        <f>ROUND(_xlfn.XLOOKUP(A315,AE!A:A,AE!B:B,0)/7,1)</f>
        <v>0</v>
      </c>
      <c r="I315" s="2" t="str">
        <f>_xlfn.XLOOKUP(A315,SWFTX邮编覆盖!A:A,SWFTX邮编覆盖!B:B,"否")</f>
        <v>否</v>
      </c>
      <c r="J315" s="2" t="str">
        <f>_xlfn.XLOOKUP(A315,YW邮编覆盖!A:A,YW邮编覆盖!B:B,"否")</f>
        <v>否</v>
      </c>
    </row>
    <row r="316" spans="1:10" hidden="1">
      <c r="A316" s="3">
        <v>90020</v>
      </c>
      <c r="B316" s="1" t="s">
        <v>25</v>
      </c>
      <c r="C316" s="2" t="str">
        <f>_xlfn.XLOOKUP(B316,线路DSP对应!A:A,线路DSP对应!B:B)</f>
        <v>STA_LAX_JLP</v>
      </c>
      <c r="D316" s="4" t="s">
        <v>147</v>
      </c>
      <c r="E316" s="2" t="str">
        <f>_xlfn.XLOOKUP(A316,转单情况!A:A,转单情况!B:B)</f>
        <v>SW</v>
      </c>
      <c r="F316" s="29"/>
      <c r="G316" s="28">
        <f>ROUND(_xlfn.XLOOKUP(A316,全量!A:A,全量!B:B,0)/7,1)</f>
        <v>0.3</v>
      </c>
      <c r="H316" s="2">
        <f>ROUND(_xlfn.XLOOKUP(A316,AE!A:A,AE!B:B,0)/7,1)</f>
        <v>0</v>
      </c>
      <c r="I316" s="2" t="str">
        <f>_xlfn.XLOOKUP(A316,SWFTX邮编覆盖!A:A,SWFTX邮编覆盖!B:B,"否")</f>
        <v>是</v>
      </c>
      <c r="J316" s="2" t="str">
        <f>_xlfn.XLOOKUP(A316,YW邮编覆盖!A:A,YW邮编覆盖!B:B,"否")</f>
        <v>是</v>
      </c>
    </row>
    <row r="317" spans="1:10" hidden="1">
      <c r="A317" s="3">
        <v>90089</v>
      </c>
      <c r="B317" s="1" t="s">
        <v>25</v>
      </c>
      <c r="C317" s="2" t="str">
        <f>_xlfn.XLOOKUP(B317,线路DSP对应!A:A,线路DSP对应!B:B)</f>
        <v>STA_LAX_JLP</v>
      </c>
      <c r="D317" s="4" t="s">
        <v>147</v>
      </c>
      <c r="E317" s="2" t="str">
        <f>_xlfn.XLOOKUP(A317,转单情况!A:A,转单情况!B:B)</f>
        <v>否</v>
      </c>
      <c r="G317" s="28">
        <f>ROUND(_xlfn.XLOOKUP(A317,全量!A:A,全量!B:B,0)/7,1)</f>
        <v>0.1</v>
      </c>
      <c r="H317" s="2">
        <f>ROUND(_xlfn.XLOOKUP(A317,AE!A:A,AE!B:B,0)/7,1)</f>
        <v>0</v>
      </c>
      <c r="I317" s="2" t="str">
        <f>_xlfn.XLOOKUP(A317,SWFTX邮编覆盖!A:A,SWFTX邮编覆盖!B:B,"否")</f>
        <v>否</v>
      </c>
      <c r="J317" s="2" t="str">
        <f>_xlfn.XLOOKUP(A317,YW邮编覆盖!A:A,YW邮编覆盖!B:B,"否")</f>
        <v>否</v>
      </c>
    </row>
    <row r="318" spans="1:10" hidden="1">
      <c r="A318" s="3">
        <v>90012</v>
      </c>
      <c r="B318" s="1" t="s">
        <v>26</v>
      </c>
      <c r="C318" s="2" t="str">
        <f>_xlfn.XLOOKUP(B318,线路DSP对应!A:A,线路DSP对应!B:B)</f>
        <v>STA_LAX_JLP</v>
      </c>
      <c r="D318" s="4" t="s">
        <v>147</v>
      </c>
      <c r="E318" s="2" t="str">
        <f>_xlfn.XLOOKUP(A318,转单情况!A:A,转单情况!B:B)</f>
        <v>否</v>
      </c>
      <c r="G318" s="28">
        <f>ROUND(_xlfn.XLOOKUP(A318,全量!A:A,全量!B:B,0)/7,1)</f>
        <v>0.3</v>
      </c>
      <c r="H318" s="2">
        <f>ROUND(_xlfn.XLOOKUP(A318,AE!A:A,AE!B:B,0)/7,1)</f>
        <v>0</v>
      </c>
      <c r="I318" s="2" t="str">
        <f>_xlfn.XLOOKUP(A318,SWFTX邮编覆盖!A:A,SWFTX邮编覆盖!B:B,"否")</f>
        <v>否</v>
      </c>
      <c r="J318" s="2" t="str">
        <f>_xlfn.XLOOKUP(A318,YW邮编覆盖!A:A,YW邮编覆盖!B:B,"否")</f>
        <v>否</v>
      </c>
    </row>
    <row r="319" spans="1:10" hidden="1">
      <c r="A319" s="3">
        <v>90090</v>
      </c>
      <c r="B319" s="1" t="s">
        <v>26</v>
      </c>
      <c r="C319" s="2" t="str">
        <f>_xlfn.XLOOKUP(B319,线路DSP对应!A:A,线路DSP对应!B:B)</f>
        <v>STA_LAX_JLP</v>
      </c>
      <c r="D319" s="4" t="s">
        <v>147</v>
      </c>
      <c r="E319" s="2" t="str">
        <f>_xlfn.XLOOKUP(A319,转单情况!A:A,转单情况!B:B)</f>
        <v>否</v>
      </c>
      <c r="G319" s="28">
        <f>ROUND(_xlfn.XLOOKUP(A319,全量!A:A,全量!B:B,0)/7,1)</f>
        <v>0</v>
      </c>
      <c r="H319" s="2">
        <f>ROUND(_xlfn.XLOOKUP(A319,AE!A:A,AE!B:B,0)/7,1)</f>
        <v>0</v>
      </c>
      <c r="I319" s="2" t="str">
        <f>_xlfn.XLOOKUP(A319,SWFTX邮编覆盖!A:A,SWFTX邮编覆盖!B:B,"否")</f>
        <v>否</v>
      </c>
      <c r="J319" s="2" t="str">
        <f>_xlfn.XLOOKUP(A319,YW邮编覆盖!A:A,YW邮编覆盖!B:B,"否")</f>
        <v>否</v>
      </c>
    </row>
    <row r="320" spans="1:10" hidden="1">
      <c r="A320" s="3">
        <v>90026</v>
      </c>
      <c r="B320" s="1" t="s">
        <v>26</v>
      </c>
      <c r="C320" s="2" t="str">
        <f>_xlfn.XLOOKUP(B320,线路DSP对应!A:A,线路DSP对应!B:B)</f>
        <v>STA_LAX_JLP</v>
      </c>
      <c r="D320" s="4" t="s">
        <v>147</v>
      </c>
      <c r="E320" s="2" t="str">
        <f>_xlfn.XLOOKUP(A320,转单情况!A:A,转单情况!B:B)</f>
        <v>SW</v>
      </c>
      <c r="F320" s="29"/>
      <c r="G320" s="28">
        <f>ROUND(_xlfn.XLOOKUP(A320,全量!A:A,全量!B:B,0)/7,1)</f>
        <v>1</v>
      </c>
      <c r="H320" s="2">
        <f>ROUND(_xlfn.XLOOKUP(A320,AE!A:A,AE!B:B,0)/7,1)</f>
        <v>0</v>
      </c>
      <c r="I320" s="2" t="str">
        <f>_xlfn.XLOOKUP(A320,SWFTX邮编覆盖!A:A,SWFTX邮编覆盖!B:B,"否")</f>
        <v>是</v>
      </c>
      <c r="J320" s="2" t="str">
        <f>_xlfn.XLOOKUP(A320,YW邮编覆盖!A:A,YW邮编覆盖!B:B,"否")</f>
        <v>是</v>
      </c>
    </row>
    <row r="321" spans="1:10" hidden="1">
      <c r="A321" s="3">
        <v>90096</v>
      </c>
      <c r="B321" s="1" t="s">
        <v>26</v>
      </c>
      <c r="C321" s="2" t="str">
        <f>_xlfn.XLOOKUP(B321,线路DSP对应!A:A,线路DSP对应!B:B)</f>
        <v>STA_LAX_JLP</v>
      </c>
      <c r="D321" s="4" t="s">
        <v>147</v>
      </c>
      <c r="E321" s="2" t="str">
        <f>_xlfn.XLOOKUP(A321,转单情况!A:A,转单情况!B:B)</f>
        <v>否</v>
      </c>
      <c r="G321" s="28">
        <f>ROUND(_xlfn.XLOOKUP(A321,全量!A:A,全量!B:B,0)/7,1)</f>
        <v>0</v>
      </c>
      <c r="H321" s="2">
        <f>ROUND(_xlfn.XLOOKUP(A321,AE!A:A,AE!B:B,0)/7,1)</f>
        <v>0</v>
      </c>
      <c r="I321" s="2" t="str">
        <f>_xlfn.XLOOKUP(A321,SWFTX邮编覆盖!A:A,SWFTX邮编覆盖!B:B,"否")</f>
        <v>否</v>
      </c>
      <c r="J321" s="2" t="str">
        <f>_xlfn.XLOOKUP(A321,YW邮编覆盖!A:A,YW邮编覆盖!B:B,"否")</f>
        <v>否</v>
      </c>
    </row>
    <row r="322" spans="1:10" hidden="1">
      <c r="A322" s="3">
        <v>91740</v>
      </c>
      <c r="B322" s="1" t="s">
        <v>133</v>
      </c>
      <c r="C322" s="2" t="str">
        <f>_xlfn.XLOOKUP(B322,线路DSP对应!A:A,线路DSP对应!B:B)</f>
        <v>STA_LAX_JLP</v>
      </c>
      <c r="D322" s="4" t="s">
        <v>147</v>
      </c>
      <c r="E322" s="2" t="str">
        <f>_xlfn.XLOOKUP(A322,转单情况!A:A,转单情况!B:B)</f>
        <v>SW</v>
      </c>
      <c r="G322" s="28">
        <f>ROUND(_xlfn.XLOOKUP(A322,全量!A:A,全量!B:B,0)/7,1)</f>
        <v>0.9</v>
      </c>
      <c r="H322" s="2">
        <f>ROUND(_xlfn.XLOOKUP(A322,AE!A:A,AE!B:B,0)/7,1)</f>
        <v>0</v>
      </c>
      <c r="I322" s="2" t="str">
        <f>_xlfn.XLOOKUP(A322,SWFTX邮编覆盖!A:A,SWFTX邮编覆盖!B:B,"否")</f>
        <v>是</v>
      </c>
      <c r="J322" s="2" t="str">
        <f>_xlfn.XLOOKUP(A322,YW邮编覆盖!A:A,YW邮编覆盖!B:B,"否")</f>
        <v>是</v>
      </c>
    </row>
    <row r="323" spans="1:10" hidden="1">
      <c r="A323" s="3">
        <v>91773</v>
      </c>
      <c r="B323" s="1" t="s">
        <v>133</v>
      </c>
      <c r="C323" s="2" t="str">
        <f>_xlfn.XLOOKUP(B323,线路DSP对应!A:A,线路DSP对应!B:B)</f>
        <v>STA_LAX_JLP</v>
      </c>
      <c r="D323" s="4" t="s">
        <v>147</v>
      </c>
      <c r="E323" s="2" t="str">
        <f>_xlfn.XLOOKUP(A323,转单情况!A:A,转单情况!B:B)</f>
        <v>SW</v>
      </c>
      <c r="F323" s="29"/>
      <c r="G323" s="28">
        <f>ROUND(_xlfn.XLOOKUP(A323,全量!A:A,全量!B:B,0)/7,1)</f>
        <v>0.7</v>
      </c>
      <c r="H323" s="2">
        <f>ROUND(_xlfn.XLOOKUP(A323,AE!A:A,AE!B:B,0)/7,1)</f>
        <v>0</v>
      </c>
      <c r="I323" s="2" t="str">
        <f>_xlfn.XLOOKUP(A323,SWFTX邮编覆盖!A:A,SWFTX邮编覆盖!B:B,"否")</f>
        <v>是</v>
      </c>
      <c r="J323" s="2" t="str">
        <f>_xlfn.XLOOKUP(A323,YW邮编覆盖!A:A,YW邮编覆盖!B:B,"否")</f>
        <v>是</v>
      </c>
    </row>
    <row r="324" spans="1:10">
      <c r="A324" s="3">
        <v>91750</v>
      </c>
      <c r="B324" s="1" t="s">
        <v>133</v>
      </c>
      <c r="C324" s="2" t="str">
        <f>_xlfn.XLOOKUP(B324,线路DSP对应!A:A,线路DSP对应!B:B)</f>
        <v>STA_LAX_JLP</v>
      </c>
      <c r="D324" s="4" t="s">
        <v>147</v>
      </c>
      <c r="E324" s="2" t="str">
        <f>_xlfn.XLOOKUP(A324,转单情况!A:A,转单情况!B:B)</f>
        <v>YW</v>
      </c>
      <c r="G324" s="28">
        <f>ROUND(_xlfn.XLOOKUP(A324,全量!A:A,全量!B:B,0)/7,1)</f>
        <v>2.2999999999999998</v>
      </c>
      <c r="H324" s="2">
        <f>ROUND(_xlfn.XLOOKUP(A324,AE!A:A,AE!B:B,0)/7,1)</f>
        <v>0</v>
      </c>
      <c r="I324" s="2" t="str">
        <f>_xlfn.XLOOKUP(A324,SWFTX邮编覆盖!A:A,SWFTX邮编覆盖!B:B,"否")</f>
        <v>否</v>
      </c>
      <c r="J324" s="2" t="str">
        <f>_xlfn.XLOOKUP(A324,YW邮编覆盖!A:A,YW邮编覆盖!B:B,"否")</f>
        <v>是</v>
      </c>
    </row>
    <row r="325" spans="1:10">
      <c r="A325" s="3">
        <v>91711</v>
      </c>
      <c r="B325" s="1" t="s">
        <v>133</v>
      </c>
      <c r="C325" s="2" t="str">
        <f>_xlfn.XLOOKUP(B325,线路DSP对应!A:A,线路DSP对应!B:B)</f>
        <v>STA_LAX_JLP</v>
      </c>
      <c r="D325" s="4" t="s">
        <v>147</v>
      </c>
      <c r="E325" s="2" t="str">
        <f>_xlfn.XLOOKUP(A325,转单情况!A:A,转单情况!B:B)</f>
        <v>YW</v>
      </c>
      <c r="G325" s="28">
        <f>ROUND(_xlfn.XLOOKUP(A325,全量!A:A,全量!B:B,0)/7,1)</f>
        <v>1.3</v>
      </c>
      <c r="H325" s="2">
        <f>ROUND(_xlfn.XLOOKUP(A325,AE!A:A,AE!B:B,0)/7,1)</f>
        <v>0</v>
      </c>
      <c r="I325" s="2" t="str">
        <f>_xlfn.XLOOKUP(A325,SWFTX邮编覆盖!A:A,SWFTX邮编覆盖!B:B,"否")</f>
        <v>否</v>
      </c>
      <c r="J325" s="2" t="str">
        <f>_xlfn.XLOOKUP(A325,YW邮编覆盖!A:A,YW邮编覆盖!B:B,"否")</f>
        <v>是</v>
      </c>
    </row>
    <row r="326" spans="1:10" hidden="1">
      <c r="A326" s="3">
        <v>91741</v>
      </c>
      <c r="B326" s="1" t="s">
        <v>133</v>
      </c>
      <c r="C326" s="2" t="str">
        <f>_xlfn.XLOOKUP(B326,线路DSP对应!A:A,线路DSP对应!B:B)</f>
        <v>STA_LAX_JLP</v>
      </c>
      <c r="D326" s="4" t="s">
        <v>147</v>
      </c>
      <c r="E326" s="2" t="str">
        <f>_xlfn.XLOOKUP(A326,转单情况!A:A,转单情况!B:B)</f>
        <v>SW</v>
      </c>
      <c r="G326" s="28">
        <f>ROUND(_xlfn.XLOOKUP(A326,全量!A:A,全量!B:B,0)/7,1)</f>
        <v>0.9</v>
      </c>
      <c r="H326" s="2">
        <f>ROUND(_xlfn.XLOOKUP(A326,AE!A:A,AE!B:B,0)/7,1)</f>
        <v>0</v>
      </c>
      <c r="I326" s="2" t="str">
        <f>_xlfn.XLOOKUP(A326,SWFTX邮编覆盖!A:A,SWFTX邮编覆盖!B:B,"否")</f>
        <v>是</v>
      </c>
      <c r="J326" s="2" t="str">
        <f>_xlfn.XLOOKUP(A326,YW邮编覆盖!A:A,YW邮编覆盖!B:B,"否")</f>
        <v>是</v>
      </c>
    </row>
    <row r="327" spans="1:10" hidden="1">
      <c r="A327" s="3">
        <v>91702</v>
      </c>
      <c r="B327" s="1" t="s">
        <v>133</v>
      </c>
      <c r="C327" s="2" t="str">
        <f>_xlfn.XLOOKUP(B327,线路DSP对应!A:A,线路DSP对应!B:B)</f>
        <v>STA_LAX_JLP</v>
      </c>
      <c r="D327" s="4" t="s">
        <v>147</v>
      </c>
      <c r="E327" s="2" t="str">
        <f>_xlfn.XLOOKUP(A327,转单情况!A:A,转单情况!B:B)</f>
        <v>否</v>
      </c>
      <c r="G327" s="28">
        <f>ROUND(_xlfn.XLOOKUP(A327,全量!A:A,全量!B:B,0)/7,1)</f>
        <v>9.1</v>
      </c>
      <c r="H327" s="2">
        <f>ROUND(_xlfn.XLOOKUP(A327,AE!A:A,AE!B:B,0)/7,1)</f>
        <v>0</v>
      </c>
      <c r="I327" s="2" t="str">
        <f>_xlfn.XLOOKUP(A327,SWFTX邮编覆盖!A:A,SWFTX邮编覆盖!B:B,"否")</f>
        <v>否</v>
      </c>
      <c r="J327" s="2" t="str">
        <f>_xlfn.XLOOKUP(A327,YW邮编覆盖!A:A,YW邮编覆盖!B:B,"否")</f>
        <v>否</v>
      </c>
    </row>
    <row r="328" spans="1:10" hidden="1">
      <c r="A328" s="3">
        <v>91792</v>
      </c>
      <c r="B328" s="1" t="s">
        <v>134</v>
      </c>
      <c r="C328" s="2" t="str">
        <f>_xlfn.XLOOKUP(B328,线路DSP对应!A:A,线路DSP对应!B:B)</f>
        <v>STA_LAX_ChinaOcean</v>
      </c>
      <c r="D328" s="4" t="s">
        <v>147</v>
      </c>
      <c r="E328" s="2" t="str">
        <f>_xlfn.XLOOKUP(A328,转单情况!A:A,转单情况!B:B)</f>
        <v>SW</v>
      </c>
      <c r="G328" s="28">
        <f>ROUND(_xlfn.XLOOKUP(A328,全量!A:A,全量!B:B,0)/7,1)</f>
        <v>0.1</v>
      </c>
      <c r="H328" s="2">
        <f>ROUND(_xlfn.XLOOKUP(A328,AE!A:A,AE!B:B,0)/7,1)</f>
        <v>0</v>
      </c>
      <c r="I328" s="2" t="str">
        <f>_xlfn.XLOOKUP(A328,SWFTX邮编覆盖!A:A,SWFTX邮编覆盖!B:B,"否")</f>
        <v>是</v>
      </c>
      <c r="J328" s="2" t="str">
        <f>_xlfn.XLOOKUP(A328,YW邮编覆盖!A:A,YW邮编覆盖!B:B,"否")</f>
        <v>是</v>
      </c>
    </row>
    <row r="329" spans="1:10" hidden="1">
      <c r="A329" s="3">
        <v>91791</v>
      </c>
      <c r="B329" s="1" t="s">
        <v>134</v>
      </c>
      <c r="C329" s="2" t="str">
        <f>_xlfn.XLOOKUP(B329,线路DSP对应!A:A,线路DSP对应!B:B)</f>
        <v>STA_LAX_ChinaOcean</v>
      </c>
      <c r="D329" s="4" t="s">
        <v>147</v>
      </c>
      <c r="E329" s="2" t="str">
        <f>_xlfn.XLOOKUP(A329,转单情况!A:A,转单情况!B:B)</f>
        <v>SW</v>
      </c>
      <c r="G329" s="28">
        <f>ROUND(_xlfn.XLOOKUP(A329,全量!A:A,全量!B:B,0)/7,1)</f>
        <v>0.1</v>
      </c>
      <c r="H329" s="2">
        <f>ROUND(_xlfn.XLOOKUP(A329,AE!A:A,AE!B:B,0)/7,1)</f>
        <v>0</v>
      </c>
      <c r="I329" s="2" t="str">
        <f>_xlfn.XLOOKUP(A329,SWFTX邮编覆盖!A:A,SWFTX邮编覆盖!B:B,"否")</f>
        <v>是</v>
      </c>
      <c r="J329" s="2" t="str">
        <f>_xlfn.XLOOKUP(A329,YW邮编覆盖!A:A,YW邮编覆盖!B:B,"否")</f>
        <v>是</v>
      </c>
    </row>
    <row r="330" spans="1:10" hidden="1">
      <c r="A330" s="3">
        <v>91790</v>
      </c>
      <c r="B330" s="1" t="s">
        <v>134</v>
      </c>
      <c r="C330" s="2" t="str">
        <f>_xlfn.XLOOKUP(B330,线路DSP对应!A:A,线路DSP对应!B:B)</f>
        <v>STA_LAX_ChinaOcean</v>
      </c>
      <c r="D330" s="4" t="s">
        <v>147</v>
      </c>
      <c r="E330" s="2" t="str">
        <f>_xlfn.XLOOKUP(A330,转单情况!A:A,转单情况!B:B)</f>
        <v>SW</v>
      </c>
      <c r="G330" s="28">
        <f>ROUND(_xlfn.XLOOKUP(A330,全量!A:A,全量!B:B,0)/7,1)</f>
        <v>1.7</v>
      </c>
      <c r="H330" s="2">
        <f>ROUND(_xlfn.XLOOKUP(A330,AE!A:A,AE!B:B,0)/7,1)</f>
        <v>0</v>
      </c>
      <c r="I330" s="2" t="str">
        <f>_xlfn.XLOOKUP(A330,SWFTX邮编覆盖!A:A,SWFTX邮编覆盖!B:B,"否")</f>
        <v>是</v>
      </c>
      <c r="J330" s="2" t="str">
        <f>_xlfn.XLOOKUP(A330,YW邮编覆盖!A:A,YW邮编覆盖!B:B,"否")</f>
        <v>是</v>
      </c>
    </row>
    <row r="331" spans="1:10" hidden="1">
      <c r="A331" s="3">
        <v>91722</v>
      </c>
      <c r="B331" s="1" t="s">
        <v>134</v>
      </c>
      <c r="C331" s="2" t="str">
        <f>_xlfn.XLOOKUP(B331,线路DSP对应!A:A,线路DSP对应!B:B)</f>
        <v>STA_LAX_ChinaOcean</v>
      </c>
      <c r="D331" s="4" t="s">
        <v>147</v>
      </c>
      <c r="E331" s="2" t="str">
        <f>_xlfn.XLOOKUP(A331,转单情况!A:A,转单情况!B:B)</f>
        <v>SW</v>
      </c>
      <c r="G331" s="28">
        <f>ROUND(_xlfn.XLOOKUP(A331,全量!A:A,全量!B:B,0)/7,1)</f>
        <v>0.9</v>
      </c>
      <c r="H331" s="2">
        <f>ROUND(_xlfn.XLOOKUP(A331,AE!A:A,AE!B:B,0)/7,1)</f>
        <v>0</v>
      </c>
      <c r="I331" s="2" t="str">
        <f>_xlfn.XLOOKUP(A331,SWFTX邮编覆盖!A:A,SWFTX邮编覆盖!B:B,"否")</f>
        <v>是</v>
      </c>
      <c r="J331" s="2" t="str">
        <f>_xlfn.XLOOKUP(A331,YW邮编覆盖!A:A,YW邮编覆盖!B:B,"否")</f>
        <v>是</v>
      </c>
    </row>
    <row r="332" spans="1:10" hidden="1">
      <c r="A332" s="3">
        <v>91723</v>
      </c>
      <c r="B332" s="1" t="s">
        <v>134</v>
      </c>
      <c r="C332" s="2" t="str">
        <f>_xlfn.XLOOKUP(B332,线路DSP对应!A:A,线路DSP对应!B:B)</f>
        <v>STA_LAX_ChinaOcean</v>
      </c>
      <c r="D332" s="4" t="s">
        <v>147</v>
      </c>
      <c r="E332" s="2" t="str">
        <f>_xlfn.XLOOKUP(A332,转单情况!A:A,转单情况!B:B)</f>
        <v>SW</v>
      </c>
      <c r="G332" s="28">
        <f>ROUND(_xlfn.XLOOKUP(A332,全量!A:A,全量!B:B,0)/7,1)</f>
        <v>0.3</v>
      </c>
      <c r="H332" s="2">
        <f>ROUND(_xlfn.XLOOKUP(A332,AE!A:A,AE!B:B,0)/7,1)</f>
        <v>0</v>
      </c>
      <c r="I332" s="2" t="str">
        <f>_xlfn.XLOOKUP(A332,SWFTX邮编覆盖!A:A,SWFTX邮编覆盖!B:B,"否")</f>
        <v>是</v>
      </c>
      <c r="J332" s="2" t="str">
        <f>_xlfn.XLOOKUP(A332,YW邮编覆盖!A:A,YW邮编覆盖!B:B,"否")</f>
        <v>是</v>
      </c>
    </row>
    <row r="333" spans="1:10" hidden="1">
      <c r="A333" s="3">
        <v>91724</v>
      </c>
      <c r="B333" s="1" t="s">
        <v>134</v>
      </c>
      <c r="C333" s="2" t="str">
        <f>_xlfn.XLOOKUP(B333,线路DSP对应!A:A,线路DSP对应!B:B)</f>
        <v>STA_LAX_ChinaOcean</v>
      </c>
      <c r="D333" s="4" t="s">
        <v>147</v>
      </c>
      <c r="E333" s="2" t="str">
        <f>_xlfn.XLOOKUP(A333,转单情况!A:A,转单情况!B:B)</f>
        <v>SW</v>
      </c>
      <c r="G333" s="28">
        <f>ROUND(_xlfn.XLOOKUP(A333,全量!A:A,全量!B:B,0)/7,1)</f>
        <v>0.3</v>
      </c>
      <c r="H333" s="2">
        <f>ROUND(_xlfn.XLOOKUP(A333,AE!A:A,AE!B:B,0)/7,1)</f>
        <v>0</v>
      </c>
      <c r="I333" s="2" t="str">
        <f>_xlfn.XLOOKUP(A333,SWFTX邮编覆盖!A:A,SWFTX邮编覆盖!B:B,"否")</f>
        <v>是</v>
      </c>
      <c r="J333" s="2" t="str">
        <f>_xlfn.XLOOKUP(A333,YW邮编覆盖!A:A,YW邮编覆盖!B:B,"否")</f>
        <v>是</v>
      </c>
    </row>
    <row r="334" spans="1:10" hidden="1">
      <c r="A334" s="3">
        <v>91748</v>
      </c>
      <c r="B334" s="1" t="s">
        <v>135</v>
      </c>
      <c r="C334" s="2" t="str">
        <f>_xlfn.XLOOKUP(B334,线路DSP对应!A:A,线路DSP对应!B:B)</f>
        <v>STA_LAX_JLP</v>
      </c>
      <c r="D334" s="4" t="s">
        <v>147</v>
      </c>
      <c r="E334" s="2" t="str">
        <f>_xlfn.XLOOKUP(A334,转单情况!A:A,转单情况!B:B)</f>
        <v>否</v>
      </c>
      <c r="G334" s="28">
        <f>ROUND(_xlfn.XLOOKUP(A334,全量!A:A,全量!B:B,0)/7,1)</f>
        <v>24</v>
      </c>
      <c r="H334" s="2">
        <f>ROUND(_xlfn.XLOOKUP(A334,AE!A:A,AE!B:B,0)/7,1)</f>
        <v>23.1</v>
      </c>
      <c r="I334" s="2" t="str">
        <f>_xlfn.XLOOKUP(A334,SWFTX邮编覆盖!A:A,SWFTX邮编覆盖!B:B,"否")</f>
        <v>是</v>
      </c>
      <c r="J334" s="2" t="str">
        <f>_xlfn.XLOOKUP(A334,YW邮编覆盖!A:A,YW邮编覆盖!B:B,"否")</f>
        <v>是</v>
      </c>
    </row>
    <row r="335" spans="1:10" hidden="1">
      <c r="A335" s="3">
        <v>91765</v>
      </c>
      <c r="B335" s="1" t="s">
        <v>135</v>
      </c>
      <c r="C335" s="2" t="str">
        <f>_xlfn.XLOOKUP(B335,线路DSP对应!A:A,线路DSP对应!B:B)</f>
        <v>STA_LAX_JLP</v>
      </c>
      <c r="D335" s="4" t="s">
        <v>147</v>
      </c>
      <c r="E335" s="2" t="str">
        <f>_xlfn.XLOOKUP(A335,转单情况!A:A,转单情况!B:B)</f>
        <v>SW</v>
      </c>
      <c r="G335" s="28">
        <f>ROUND(_xlfn.XLOOKUP(A335,全量!A:A,全量!B:B,0)/7,1)</f>
        <v>0.9</v>
      </c>
      <c r="H335" s="2">
        <f>ROUND(_xlfn.XLOOKUP(A335,AE!A:A,AE!B:B,0)/7,1)</f>
        <v>0</v>
      </c>
      <c r="I335" s="2" t="str">
        <f>_xlfn.XLOOKUP(A335,SWFTX邮编覆盖!A:A,SWFTX邮编覆盖!B:B,"否")</f>
        <v>是</v>
      </c>
      <c r="J335" s="2" t="str">
        <f>_xlfn.XLOOKUP(A335,YW邮编覆盖!A:A,YW邮编覆盖!B:B,"否")</f>
        <v>是</v>
      </c>
    </row>
    <row r="336" spans="1:10" hidden="1">
      <c r="A336" s="3">
        <v>91789</v>
      </c>
      <c r="B336" s="1" t="s">
        <v>135</v>
      </c>
      <c r="C336" s="2" t="str">
        <f>_xlfn.XLOOKUP(B336,线路DSP对应!A:A,线路DSP对应!B:B)</f>
        <v>STA_LAX_JLP</v>
      </c>
      <c r="D336" s="4" t="s">
        <v>147</v>
      </c>
      <c r="E336" s="2" t="str">
        <f>_xlfn.XLOOKUP(A336,转单情况!A:A,转单情况!B:B)</f>
        <v>SW</v>
      </c>
      <c r="G336" s="28">
        <f>ROUND(_xlfn.XLOOKUP(A336,全量!A:A,全量!B:B,0)/7,1)</f>
        <v>1</v>
      </c>
      <c r="H336" s="2">
        <f>ROUND(_xlfn.XLOOKUP(A336,AE!A:A,AE!B:B,0)/7,1)</f>
        <v>0</v>
      </c>
      <c r="I336" s="2" t="str">
        <f>_xlfn.XLOOKUP(A336,SWFTX邮编覆盖!A:A,SWFTX邮编覆盖!B:B,"否")</f>
        <v>是</v>
      </c>
      <c r="J336" s="2" t="str">
        <f>_xlfn.XLOOKUP(A336,YW邮编覆盖!A:A,YW邮编覆盖!B:B,"否")</f>
        <v>是</v>
      </c>
    </row>
    <row r="337" spans="1:10" hidden="1">
      <c r="A337" s="3">
        <v>90640</v>
      </c>
      <c r="B337" s="1" t="s">
        <v>27</v>
      </c>
      <c r="C337" s="2" t="str">
        <f>_xlfn.XLOOKUP(B337,线路DSP对应!A:A,线路DSP对应!B:B)</f>
        <v>STA_LAX_ChinaOcean</v>
      </c>
      <c r="D337" s="4" t="s">
        <v>147</v>
      </c>
      <c r="E337" s="2" t="str">
        <f>_xlfn.XLOOKUP(A337,转单情况!A:A,转单情况!B:B)</f>
        <v>SW</v>
      </c>
      <c r="G337" s="28">
        <f>ROUND(_xlfn.XLOOKUP(A337,全量!A:A,全量!B:B,0)/7,1)</f>
        <v>0.1</v>
      </c>
      <c r="H337" s="2">
        <f>ROUND(_xlfn.XLOOKUP(A337,AE!A:A,AE!B:B,0)/7,1)</f>
        <v>0</v>
      </c>
      <c r="I337" s="2" t="str">
        <f>_xlfn.XLOOKUP(A337,SWFTX邮编覆盖!A:A,SWFTX邮编覆盖!B:B,"否")</f>
        <v>是</v>
      </c>
      <c r="J337" s="2" t="str">
        <f>_xlfn.XLOOKUP(A337,YW邮编覆盖!A:A,YW邮编覆盖!B:B,"否")</f>
        <v>是</v>
      </c>
    </row>
    <row r="338" spans="1:10" hidden="1">
      <c r="A338" s="3">
        <v>91770</v>
      </c>
      <c r="B338" s="1" t="s">
        <v>27</v>
      </c>
      <c r="C338" s="2" t="str">
        <f>_xlfn.XLOOKUP(B338,线路DSP对应!A:A,线路DSP对应!B:B)</f>
        <v>STA_LAX_ChinaOcean</v>
      </c>
      <c r="D338" s="4" t="s">
        <v>147</v>
      </c>
      <c r="E338" s="2" t="str">
        <f>_xlfn.XLOOKUP(A338,转单情况!A:A,转单情况!B:B)</f>
        <v>SW</v>
      </c>
      <c r="G338" s="28">
        <f>ROUND(_xlfn.XLOOKUP(A338,全量!A:A,全量!B:B,0)/7,1)</f>
        <v>1.6</v>
      </c>
      <c r="H338" s="2">
        <f>ROUND(_xlfn.XLOOKUP(A338,AE!A:A,AE!B:B,0)/7,1)</f>
        <v>0</v>
      </c>
      <c r="I338" s="2" t="str">
        <f>_xlfn.XLOOKUP(A338,SWFTX邮编覆盖!A:A,SWFTX邮编覆盖!B:B,"否")</f>
        <v>是</v>
      </c>
      <c r="J338" s="2" t="str">
        <f>_xlfn.XLOOKUP(A338,YW邮编覆盖!A:A,YW邮编覆盖!B:B,"否")</f>
        <v>是</v>
      </c>
    </row>
    <row r="339" spans="1:10" hidden="1">
      <c r="A339" s="3">
        <v>91733</v>
      </c>
      <c r="B339" s="1" t="s">
        <v>27</v>
      </c>
      <c r="C339" s="2" t="str">
        <f>_xlfn.XLOOKUP(B339,线路DSP对应!A:A,线路DSP对应!B:B)</f>
        <v>STA_LAX_ChinaOcean</v>
      </c>
      <c r="D339" s="4" t="s">
        <v>147</v>
      </c>
      <c r="E339" s="2" t="str">
        <f>_xlfn.XLOOKUP(A339,转单情况!A:A,转单情况!B:B)</f>
        <v>SW</v>
      </c>
      <c r="G339" s="28">
        <f>ROUND(_xlfn.XLOOKUP(A339,全量!A:A,全量!B:B,0)/7,1)</f>
        <v>0.6</v>
      </c>
      <c r="H339" s="2">
        <f>ROUND(_xlfn.XLOOKUP(A339,AE!A:A,AE!B:B,0)/7,1)</f>
        <v>0</v>
      </c>
      <c r="I339" s="2" t="str">
        <f>_xlfn.XLOOKUP(A339,SWFTX邮编覆盖!A:A,SWFTX邮编覆盖!B:B,"否")</f>
        <v>是</v>
      </c>
      <c r="J339" s="2" t="str">
        <f>_xlfn.XLOOKUP(A339,YW邮编覆盖!A:A,YW邮编覆盖!B:B,"否")</f>
        <v>是</v>
      </c>
    </row>
    <row r="340" spans="1:10" hidden="1">
      <c r="A340" s="3">
        <v>91780</v>
      </c>
      <c r="B340" s="1" t="s">
        <v>27</v>
      </c>
      <c r="C340" s="2" t="str">
        <f>_xlfn.XLOOKUP(B340,线路DSP对应!A:A,线路DSP对应!B:B)</f>
        <v>STA_LAX_ChinaOcean</v>
      </c>
      <c r="D340" s="4" t="s">
        <v>147</v>
      </c>
      <c r="E340" s="2" t="str">
        <f>_xlfn.XLOOKUP(A340,转单情况!A:A,转单情况!B:B)</f>
        <v>SW</v>
      </c>
      <c r="G340" s="28">
        <f>ROUND(_xlfn.XLOOKUP(A340,全量!A:A,全量!B:B,0)/7,1)</f>
        <v>0.7</v>
      </c>
      <c r="H340" s="2">
        <f>ROUND(_xlfn.XLOOKUP(A340,AE!A:A,AE!B:B,0)/7,1)</f>
        <v>0</v>
      </c>
      <c r="I340" s="2" t="str">
        <f>_xlfn.XLOOKUP(A340,SWFTX邮编覆盖!A:A,SWFTX邮编覆盖!B:B,"否")</f>
        <v>是</v>
      </c>
      <c r="J340" s="2" t="str">
        <f>_xlfn.XLOOKUP(A340,YW邮编覆盖!A:A,YW邮编覆盖!B:B,"否")</f>
        <v>是</v>
      </c>
    </row>
    <row r="341" spans="1:10" hidden="1">
      <c r="A341" s="3">
        <v>91755</v>
      </c>
      <c r="B341" s="1" t="s">
        <v>28</v>
      </c>
      <c r="C341" s="2" t="str">
        <f>_xlfn.XLOOKUP(B341,线路DSP对应!A:A,线路DSP对应!B:B)</f>
        <v>STA_LAX_JLP</v>
      </c>
      <c r="D341" s="4" t="s">
        <v>147</v>
      </c>
      <c r="E341" s="2" t="str">
        <f>_xlfn.XLOOKUP(A341,转单情况!A:A,转单情况!B:B)</f>
        <v>SW</v>
      </c>
      <c r="G341" s="28">
        <f>ROUND(_xlfn.XLOOKUP(A341,全量!A:A,全量!B:B,0)/7,1)</f>
        <v>0</v>
      </c>
      <c r="H341" s="2">
        <f>ROUND(_xlfn.XLOOKUP(A341,AE!A:A,AE!B:B,0)/7,1)</f>
        <v>0</v>
      </c>
      <c r="I341" s="2" t="str">
        <f>_xlfn.XLOOKUP(A341,SWFTX邮编覆盖!A:A,SWFTX邮编覆盖!B:B,"否")</f>
        <v>是</v>
      </c>
      <c r="J341" s="2" t="str">
        <f>_xlfn.XLOOKUP(A341,YW邮编覆盖!A:A,YW邮编覆盖!B:B,"否")</f>
        <v>是</v>
      </c>
    </row>
    <row r="342" spans="1:10" hidden="1">
      <c r="A342" s="3">
        <v>91754</v>
      </c>
      <c r="B342" s="1" t="s">
        <v>28</v>
      </c>
      <c r="C342" s="2" t="str">
        <f>_xlfn.XLOOKUP(B342,线路DSP对应!A:A,线路DSP对应!B:B)</f>
        <v>STA_LAX_JLP</v>
      </c>
      <c r="D342" s="4" t="s">
        <v>147</v>
      </c>
      <c r="E342" s="2" t="str">
        <f>_xlfn.XLOOKUP(A342,转单情况!A:A,转单情况!B:B)</f>
        <v>SW</v>
      </c>
      <c r="G342" s="28">
        <f>ROUND(_xlfn.XLOOKUP(A342,全量!A:A,全量!B:B,0)/7,1)</f>
        <v>0.1</v>
      </c>
      <c r="H342" s="2">
        <f>ROUND(_xlfn.XLOOKUP(A342,AE!A:A,AE!B:B,0)/7,1)</f>
        <v>0</v>
      </c>
      <c r="I342" s="2" t="str">
        <f>_xlfn.XLOOKUP(A342,SWFTX邮编覆盖!A:A,SWFTX邮编覆盖!B:B,"否")</f>
        <v>是</v>
      </c>
      <c r="J342" s="2" t="str">
        <f>_xlfn.XLOOKUP(A342,YW邮编覆盖!A:A,YW邮编覆盖!B:B,"否")</f>
        <v>是</v>
      </c>
    </row>
    <row r="343" spans="1:10" hidden="1">
      <c r="A343" s="3">
        <v>91803</v>
      </c>
      <c r="B343" s="1" t="s">
        <v>28</v>
      </c>
      <c r="C343" s="2" t="str">
        <f>_xlfn.XLOOKUP(B343,线路DSP对应!A:A,线路DSP对应!B:B)</f>
        <v>STA_LAX_JLP</v>
      </c>
      <c r="D343" s="4" t="s">
        <v>147</v>
      </c>
      <c r="E343" s="2" t="str">
        <f>_xlfn.XLOOKUP(A343,转单情况!A:A,转单情况!B:B)</f>
        <v>SW</v>
      </c>
      <c r="G343" s="28">
        <f>ROUND(_xlfn.XLOOKUP(A343,全量!A:A,全量!B:B,0)/7,1)</f>
        <v>0.4</v>
      </c>
      <c r="H343" s="2">
        <f>ROUND(_xlfn.XLOOKUP(A343,AE!A:A,AE!B:B,0)/7,1)</f>
        <v>0</v>
      </c>
      <c r="I343" s="2" t="str">
        <f>_xlfn.XLOOKUP(A343,SWFTX邮编覆盖!A:A,SWFTX邮编覆盖!B:B,"否")</f>
        <v>是</v>
      </c>
      <c r="J343" s="2" t="str">
        <f>_xlfn.XLOOKUP(A343,YW邮编覆盖!A:A,YW邮编覆盖!B:B,"否")</f>
        <v>是</v>
      </c>
    </row>
    <row r="344" spans="1:10" hidden="1">
      <c r="A344" s="3">
        <v>91801</v>
      </c>
      <c r="B344" s="1" t="s">
        <v>28</v>
      </c>
      <c r="C344" s="2" t="str">
        <f>_xlfn.XLOOKUP(B344,线路DSP对应!A:A,线路DSP对应!B:B)</f>
        <v>STA_LAX_JLP</v>
      </c>
      <c r="D344" s="4" t="s">
        <v>147</v>
      </c>
      <c r="E344" s="2" t="str">
        <f>_xlfn.XLOOKUP(A344,转单情况!A:A,转单情况!B:B)</f>
        <v>SW</v>
      </c>
      <c r="G344" s="28">
        <f>ROUND(_xlfn.XLOOKUP(A344,全量!A:A,全量!B:B,0)/7,1)</f>
        <v>0.1</v>
      </c>
      <c r="H344" s="2">
        <f>ROUND(_xlfn.XLOOKUP(A344,AE!A:A,AE!B:B,0)/7,1)</f>
        <v>0</v>
      </c>
      <c r="I344" s="2" t="str">
        <f>_xlfn.XLOOKUP(A344,SWFTX邮编覆盖!A:A,SWFTX邮编覆盖!B:B,"否")</f>
        <v>是</v>
      </c>
      <c r="J344" s="2" t="str">
        <f>_xlfn.XLOOKUP(A344,YW邮编覆盖!A:A,YW邮编覆盖!B:B,"否")</f>
        <v>是</v>
      </c>
    </row>
    <row r="345" spans="1:10" hidden="1">
      <c r="A345" s="3">
        <v>91776</v>
      </c>
      <c r="B345" s="1" t="s">
        <v>28</v>
      </c>
      <c r="C345" s="2" t="str">
        <f>_xlfn.XLOOKUP(B345,线路DSP对应!A:A,线路DSP对应!B:B)</f>
        <v>STA_LAX_JLP</v>
      </c>
      <c r="D345" s="4" t="s">
        <v>147</v>
      </c>
      <c r="E345" s="2" t="str">
        <f>_xlfn.XLOOKUP(A345,转单情况!A:A,转单情况!B:B)</f>
        <v>SW</v>
      </c>
      <c r="G345" s="28">
        <f>ROUND(_xlfn.XLOOKUP(A345,全量!A:A,全量!B:B,0)/7,1)</f>
        <v>0.3</v>
      </c>
      <c r="H345" s="2">
        <f>ROUND(_xlfn.XLOOKUP(A345,AE!A:A,AE!B:B,0)/7,1)</f>
        <v>0</v>
      </c>
      <c r="I345" s="2" t="str">
        <f>_xlfn.XLOOKUP(A345,SWFTX邮编覆盖!A:A,SWFTX邮编覆盖!B:B,"否")</f>
        <v>是</v>
      </c>
      <c r="J345" s="2" t="str">
        <f>_xlfn.XLOOKUP(A345,YW邮编覆盖!A:A,YW邮编覆盖!B:B,"否")</f>
        <v>是</v>
      </c>
    </row>
    <row r="346" spans="1:10" hidden="1">
      <c r="A346" s="3">
        <v>91775</v>
      </c>
      <c r="B346" s="1" t="s">
        <v>28</v>
      </c>
      <c r="C346" s="2" t="str">
        <f>_xlfn.XLOOKUP(B346,线路DSP对应!A:A,线路DSP对应!B:B)</f>
        <v>STA_LAX_JLP</v>
      </c>
      <c r="D346" s="4" t="s">
        <v>147</v>
      </c>
      <c r="E346" s="2" t="str">
        <f>_xlfn.XLOOKUP(A346,转单情况!A:A,转单情况!B:B)</f>
        <v>否</v>
      </c>
      <c r="G346" s="28">
        <f>ROUND(_xlfn.XLOOKUP(A346,全量!A:A,全量!B:B,0)/7,1)</f>
        <v>10.7</v>
      </c>
      <c r="H346" s="2">
        <f>ROUND(_xlfn.XLOOKUP(A346,AE!A:A,AE!B:B,0)/7,1)</f>
        <v>10.6</v>
      </c>
      <c r="I346" s="2" t="str">
        <f>_xlfn.XLOOKUP(A346,SWFTX邮编覆盖!A:A,SWFTX邮编覆盖!B:B,"否")</f>
        <v>是</v>
      </c>
      <c r="J346" s="2" t="str">
        <f>_xlfn.XLOOKUP(A346,YW邮编覆盖!A:A,YW邮编覆盖!B:B,"否")</f>
        <v>是</v>
      </c>
    </row>
    <row r="347" spans="1:10" hidden="1">
      <c r="A347" s="3">
        <v>90045</v>
      </c>
      <c r="B347" s="1" t="s">
        <v>29</v>
      </c>
      <c r="C347" s="2" t="str">
        <f>_xlfn.XLOOKUP(B347,线路DSP对应!A:A,线路DSP对应!B:B)</f>
        <v>STA_LAX_JLP</v>
      </c>
      <c r="D347" s="4" t="s">
        <v>147</v>
      </c>
      <c r="E347" s="2" t="str">
        <f>_xlfn.XLOOKUP(A347,转单情况!A:A,转单情况!B:B)</f>
        <v>SW</v>
      </c>
      <c r="F347" s="29"/>
      <c r="G347" s="28">
        <f>ROUND(_xlfn.XLOOKUP(A347,全量!A:A,全量!B:B,0)/7,1)</f>
        <v>0.4</v>
      </c>
      <c r="H347" s="2">
        <f>ROUND(_xlfn.XLOOKUP(A347,AE!A:A,AE!B:B,0)/7,1)</f>
        <v>0</v>
      </c>
      <c r="I347" s="2" t="str">
        <f>_xlfn.XLOOKUP(A347,SWFTX邮编覆盖!A:A,SWFTX邮编覆盖!B:B,"否")</f>
        <v>是</v>
      </c>
      <c r="J347" s="2" t="str">
        <f>_xlfn.XLOOKUP(A347,YW邮编覆盖!A:A,YW邮编覆盖!B:B,"否")</f>
        <v>是</v>
      </c>
    </row>
    <row r="348" spans="1:10" hidden="1">
      <c r="A348" s="3">
        <v>90043</v>
      </c>
      <c r="B348" s="1" t="s">
        <v>29</v>
      </c>
      <c r="C348" s="2" t="str">
        <f>_xlfn.XLOOKUP(B348,线路DSP对应!A:A,线路DSP对应!B:B)</f>
        <v>STA_LAX_JLP</v>
      </c>
      <c r="D348" s="4" t="s">
        <v>147</v>
      </c>
      <c r="E348" s="2" t="str">
        <f>_xlfn.XLOOKUP(A348,转单情况!A:A,转单情况!B:B)</f>
        <v>SW</v>
      </c>
      <c r="F348" s="29"/>
      <c r="G348" s="28">
        <f>ROUND(_xlfn.XLOOKUP(A348,全量!A:A,全量!B:B,0)/7,1)</f>
        <v>0.1</v>
      </c>
      <c r="H348" s="2">
        <f>ROUND(_xlfn.XLOOKUP(A348,AE!A:A,AE!B:B,0)/7,1)</f>
        <v>0</v>
      </c>
      <c r="I348" s="2" t="str">
        <f>_xlfn.XLOOKUP(A348,SWFTX邮编覆盖!A:A,SWFTX邮编覆盖!B:B,"否")</f>
        <v>是</v>
      </c>
      <c r="J348" s="2" t="str">
        <f>_xlfn.XLOOKUP(A348,YW邮编覆盖!A:A,YW邮编覆盖!B:B,"否")</f>
        <v>是</v>
      </c>
    </row>
    <row r="349" spans="1:10" hidden="1">
      <c r="A349" s="3">
        <v>90047</v>
      </c>
      <c r="B349" s="1" t="s">
        <v>29</v>
      </c>
      <c r="C349" s="2" t="str">
        <f>_xlfn.XLOOKUP(B349,线路DSP对应!A:A,线路DSP对应!B:B)</f>
        <v>STA_LAX_JLP</v>
      </c>
      <c r="D349" s="4" t="s">
        <v>147</v>
      </c>
      <c r="E349" s="2" t="str">
        <f>_xlfn.XLOOKUP(A349,转单情况!A:A,转单情况!B:B)</f>
        <v>SW</v>
      </c>
      <c r="F349" s="29"/>
      <c r="G349" s="28">
        <f>ROUND(_xlfn.XLOOKUP(A349,全量!A:A,全量!B:B,0)/7,1)</f>
        <v>0.4</v>
      </c>
      <c r="H349" s="2">
        <f>ROUND(_xlfn.XLOOKUP(A349,AE!A:A,AE!B:B,0)/7,1)</f>
        <v>0</v>
      </c>
      <c r="I349" s="2" t="str">
        <f>_xlfn.XLOOKUP(A349,SWFTX邮编覆盖!A:A,SWFTX邮编覆盖!B:B,"否")</f>
        <v>是</v>
      </c>
      <c r="J349" s="2" t="str">
        <f>_xlfn.XLOOKUP(A349,YW邮编覆盖!A:A,YW邮编覆盖!B:B,"否")</f>
        <v>是</v>
      </c>
    </row>
    <row r="350" spans="1:10" hidden="1">
      <c r="A350" s="3">
        <v>90056</v>
      </c>
      <c r="B350" s="1" t="s">
        <v>29</v>
      </c>
      <c r="C350" s="2" t="str">
        <f>_xlfn.XLOOKUP(B350,线路DSP对应!A:A,线路DSP对应!B:B)</f>
        <v>STA_LAX_JLP</v>
      </c>
      <c r="D350" s="4" t="s">
        <v>147</v>
      </c>
      <c r="E350" s="2" t="str">
        <f>_xlfn.XLOOKUP(A350,转单情况!A:A,转单情况!B:B)</f>
        <v>否</v>
      </c>
      <c r="G350" s="28">
        <f>ROUND(_xlfn.XLOOKUP(A350,全量!A:A,全量!B:B,0)/7,1)</f>
        <v>1</v>
      </c>
      <c r="H350" s="2">
        <f>ROUND(_xlfn.XLOOKUP(A350,AE!A:A,AE!B:B,0)/7,1)</f>
        <v>0</v>
      </c>
      <c r="I350" s="2" t="str">
        <f>_xlfn.XLOOKUP(A350,SWFTX邮编覆盖!A:A,SWFTX邮编覆盖!B:B,"否")</f>
        <v>否</v>
      </c>
      <c r="J350" s="2" t="str">
        <f>_xlfn.XLOOKUP(A350,YW邮编覆盖!A:A,YW邮编覆盖!B:B,"否")</f>
        <v>否</v>
      </c>
    </row>
    <row r="351" spans="1:10" hidden="1">
      <c r="A351" s="3">
        <v>90061</v>
      </c>
      <c r="B351" s="1" t="s">
        <v>29</v>
      </c>
      <c r="C351" s="2" t="str">
        <f>_xlfn.XLOOKUP(B351,线路DSP对应!A:A,线路DSP对应!B:B)</f>
        <v>STA_LAX_JLP</v>
      </c>
      <c r="D351" s="4" t="s">
        <v>147</v>
      </c>
      <c r="E351" s="2" t="str">
        <f>_xlfn.XLOOKUP(A351,转单情况!A:A,转单情况!B:B)</f>
        <v>SW</v>
      </c>
      <c r="F351" s="29"/>
      <c r="G351" s="28">
        <f>ROUND(_xlfn.XLOOKUP(A351,全量!A:A,全量!B:B,0)/7,1)</f>
        <v>0.1</v>
      </c>
      <c r="H351" s="2">
        <f>ROUND(_xlfn.XLOOKUP(A351,AE!A:A,AE!B:B,0)/7,1)</f>
        <v>0</v>
      </c>
      <c r="I351" s="2" t="str">
        <f>_xlfn.XLOOKUP(A351,SWFTX邮编覆盖!A:A,SWFTX邮编覆盖!B:B,"否")</f>
        <v>是</v>
      </c>
      <c r="J351" s="2" t="str">
        <f>_xlfn.XLOOKUP(A351,YW邮编覆盖!A:A,YW邮编覆盖!B:B,"否")</f>
        <v>是</v>
      </c>
    </row>
    <row r="352" spans="1:10" hidden="1">
      <c r="A352" s="3">
        <v>90066</v>
      </c>
      <c r="B352" s="1" t="s">
        <v>29</v>
      </c>
      <c r="C352" s="2" t="str">
        <f>_xlfn.XLOOKUP(B352,线路DSP对应!A:A,线路DSP对应!B:B)</f>
        <v>STA_LAX_JLP</v>
      </c>
      <c r="D352" s="4" t="s">
        <v>147</v>
      </c>
      <c r="E352" s="2" t="str">
        <f>_xlfn.XLOOKUP(A352,转单情况!A:A,转单情况!B:B)</f>
        <v>SW</v>
      </c>
      <c r="F352" s="29"/>
      <c r="G352" s="28">
        <f>ROUND(_xlfn.XLOOKUP(A352,全量!A:A,全量!B:B,0)/7,1)</f>
        <v>0.3</v>
      </c>
      <c r="H352" s="2">
        <f>ROUND(_xlfn.XLOOKUP(A352,AE!A:A,AE!B:B,0)/7,1)</f>
        <v>0</v>
      </c>
      <c r="I352" s="2" t="str">
        <f>_xlfn.XLOOKUP(A352,SWFTX邮编覆盖!A:A,SWFTX邮编覆盖!B:B,"否")</f>
        <v>是</v>
      </c>
      <c r="J352" s="2" t="str">
        <f>_xlfn.XLOOKUP(A352,YW邮编覆盖!A:A,YW邮编覆盖!B:B,"否")</f>
        <v>是</v>
      </c>
    </row>
    <row r="353" spans="1:10" hidden="1">
      <c r="A353" s="3">
        <v>90291</v>
      </c>
      <c r="B353" s="1" t="s">
        <v>30</v>
      </c>
      <c r="C353" s="2" t="str">
        <f>_xlfn.XLOOKUP(B353,线路DSP对应!A:A,线路DSP对应!B:B)</f>
        <v>STA_LAX_ChinaOcean</v>
      </c>
      <c r="D353" s="4" t="s">
        <v>147</v>
      </c>
      <c r="E353" s="2" t="str">
        <f>_xlfn.XLOOKUP(A353,转单情况!A:A,转单情况!B:B)</f>
        <v>SW</v>
      </c>
      <c r="G353" s="28">
        <f>ROUND(_xlfn.XLOOKUP(A353,全量!A:A,全量!B:B,0)/7,1)</f>
        <v>0.9</v>
      </c>
      <c r="H353" s="2">
        <f>ROUND(_xlfn.XLOOKUP(A353,AE!A:A,AE!B:B,0)/7,1)</f>
        <v>0</v>
      </c>
      <c r="I353" s="2" t="str">
        <f>_xlfn.XLOOKUP(A353,SWFTX邮编覆盖!A:A,SWFTX邮编覆盖!B:B,"否")</f>
        <v>是</v>
      </c>
      <c r="J353" s="2" t="str">
        <f>_xlfn.XLOOKUP(A353,YW邮编覆盖!A:A,YW邮编覆盖!B:B,"否")</f>
        <v>是</v>
      </c>
    </row>
    <row r="354" spans="1:10">
      <c r="A354" s="3">
        <v>90094</v>
      </c>
      <c r="B354" s="1" t="s">
        <v>30</v>
      </c>
      <c r="C354" s="2" t="str">
        <f>_xlfn.XLOOKUP(B354,线路DSP对应!A:A,线路DSP对应!B:B)</f>
        <v>STA_LAX_ChinaOcean</v>
      </c>
      <c r="D354" s="4" t="s">
        <v>147</v>
      </c>
      <c r="E354" s="2" t="str">
        <f>_xlfn.XLOOKUP(A354,转单情况!A:A,转单情况!B:B)</f>
        <v>YW</v>
      </c>
      <c r="G354" s="28">
        <f>ROUND(_xlfn.XLOOKUP(A354,全量!A:A,全量!B:B,0)/7,1)</f>
        <v>0.1</v>
      </c>
      <c r="H354" s="2">
        <f>ROUND(_xlfn.XLOOKUP(A354,AE!A:A,AE!B:B,0)/7,1)</f>
        <v>0</v>
      </c>
      <c r="I354" s="2" t="str">
        <f>_xlfn.XLOOKUP(A354,SWFTX邮编覆盖!A:A,SWFTX邮编覆盖!B:B,"否")</f>
        <v>否</v>
      </c>
      <c r="J354" s="2" t="str">
        <f>_xlfn.XLOOKUP(A354,YW邮编覆盖!A:A,YW邮编覆盖!B:B,"否")</f>
        <v>是</v>
      </c>
    </row>
    <row r="355" spans="1:10" hidden="1">
      <c r="A355" s="3">
        <v>90016</v>
      </c>
      <c r="B355" s="1" t="s">
        <v>30</v>
      </c>
      <c r="C355" s="2" t="str">
        <f>_xlfn.XLOOKUP(B355,线路DSP对应!A:A,线路DSP对应!B:B)</f>
        <v>STA_LAX_ChinaOcean</v>
      </c>
      <c r="D355" s="4" t="s">
        <v>147</v>
      </c>
      <c r="E355" s="2" t="str">
        <f>_xlfn.XLOOKUP(A355,转单情况!A:A,转单情况!B:B)</f>
        <v>SW</v>
      </c>
      <c r="F355" s="29"/>
      <c r="G355" s="28">
        <f>ROUND(_xlfn.XLOOKUP(A355,全量!A:A,全量!B:B,0)/7,1)</f>
        <v>0.7</v>
      </c>
      <c r="H355" s="2">
        <f>ROUND(_xlfn.XLOOKUP(A355,AE!A:A,AE!B:B,0)/7,1)</f>
        <v>0</v>
      </c>
      <c r="I355" s="2" t="str">
        <f>_xlfn.XLOOKUP(A355,SWFTX邮编覆盖!A:A,SWFTX邮编覆盖!B:B,"否")</f>
        <v>是</v>
      </c>
      <c r="J355" s="2" t="str">
        <f>_xlfn.XLOOKUP(A355,YW邮编覆盖!A:A,YW邮编覆盖!B:B,"否")</f>
        <v>是</v>
      </c>
    </row>
    <row r="356" spans="1:10" hidden="1">
      <c r="A356" s="3">
        <v>90008</v>
      </c>
      <c r="B356" s="1" t="s">
        <v>30</v>
      </c>
      <c r="C356" s="2" t="str">
        <f>_xlfn.XLOOKUP(B356,线路DSP对应!A:A,线路DSP对应!B:B)</f>
        <v>STA_LAX_ChinaOcean</v>
      </c>
      <c r="D356" s="4" t="s">
        <v>147</v>
      </c>
      <c r="E356" s="2" t="str">
        <f>_xlfn.XLOOKUP(A356,转单情况!A:A,转单情况!B:B)</f>
        <v>SW</v>
      </c>
      <c r="F356" s="29"/>
      <c r="G356" s="28">
        <f>ROUND(_xlfn.XLOOKUP(A356,全量!A:A,全量!B:B,0)/7,1)</f>
        <v>0.1</v>
      </c>
      <c r="H356" s="2">
        <f>ROUND(_xlfn.XLOOKUP(A356,AE!A:A,AE!B:B,0)/7,1)</f>
        <v>0</v>
      </c>
      <c r="I356" s="2" t="str">
        <f>_xlfn.XLOOKUP(A356,SWFTX邮编覆盖!A:A,SWFTX邮编覆盖!B:B,"否")</f>
        <v>是</v>
      </c>
      <c r="J356" s="2" t="str">
        <f>_xlfn.XLOOKUP(A356,YW邮编覆盖!A:A,YW邮编覆盖!B:B,"否")</f>
        <v>是</v>
      </c>
    </row>
    <row r="357" spans="1:10" hidden="1">
      <c r="A357" s="3">
        <v>90292</v>
      </c>
      <c r="B357" s="1" t="s">
        <v>30</v>
      </c>
      <c r="C357" s="2" t="str">
        <f>_xlfn.XLOOKUP(B357,线路DSP对应!A:A,线路DSP对应!B:B)</f>
        <v>STA_LAX_ChinaOcean</v>
      </c>
      <c r="D357" s="4" t="s">
        <v>147</v>
      </c>
      <c r="E357" s="2" t="str">
        <f>_xlfn.XLOOKUP(A357,转单情况!A:A,转单情况!B:B)</f>
        <v>SW</v>
      </c>
      <c r="F357" s="29"/>
      <c r="G357" s="28">
        <f>ROUND(_xlfn.XLOOKUP(A357,全量!A:A,全量!B:B,0)/7,1)</f>
        <v>0.1</v>
      </c>
      <c r="H357" s="2">
        <f>ROUND(_xlfn.XLOOKUP(A357,AE!A:A,AE!B:B,0)/7,1)</f>
        <v>0</v>
      </c>
      <c r="I357" s="2" t="str">
        <f>_xlfn.XLOOKUP(A357,SWFTX邮编覆盖!A:A,SWFTX邮编覆盖!B:B,"否")</f>
        <v>是</v>
      </c>
      <c r="J357" s="2" t="str">
        <f>_xlfn.XLOOKUP(A357,YW邮编覆盖!A:A,YW邮编覆盖!B:B,"否")</f>
        <v>是</v>
      </c>
    </row>
    <row r="358" spans="1:10" hidden="1">
      <c r="A358" s="3">
        <v>90230</v>
      </c>
      <c r="B358" s="1" t="s">
        <v>30</v>
      </c>
      <c r="C358" s="2" t="str">
        <f>_xlfn.XLOOKUP(B358,线路DSP对应!A:A,线路DSP对应!B:B)</f>
        <v>STA_LAX_ChinaOcean</v>
      </c>
      <c r="D358" s="4" t="s">
        <v>147</v>
      </c>
      <c r="E358" s="2" t="str">
        <f>_xlfn.XLOOKUP(A358,转单情况!A:A,转单情况!B:B)</f>
        <v>SW</v>
      </c>
      <c r="F358" s="29"/>
      <c r="G358" s="28">
        <f>ROUND(_xlfn.XLOOKUP(A358,全量!A:A,全量!B:B,0)/7,1)</f>
        <v>0.4</v>
      </c>
      <c r="H358" s="2">
        <f>ROUND(_xlfn.XLOOKUP(A358,AE!A:A,AE!B:B,0)/7,1)</f>
        <v>0</v>
      </c>
      <c r="I358" s="2" t="str">
        <f>_xlfn.XLOOKUP(A358,SWFTX邮编覆盖!A:A,SWFTX邮编覆盖!B:B,"否")</f>
        <v>是</v>
      </c>
      <c r="J358" s="2" t="str">
        <f>_xlfn.XLOOKUP(A358,YW邮编覆盖!A:A,YW邮编覆盖!B:B,"否")</f>
        <v>是</v>
      </c>
    </row>
    <row r="359" spans="1:10" hidden="1">
      <c r="A359" s="3">
        <v>90044</v>
      </c>
      <c r="B359" s="1" t="s">
        <v>30</v>
      </c>
      <c r="C359" s="2" t="str">
        <f>_xlfn.XLOOKUP(B359,线路DSP对应!A:A,线路DSP对应!B:B)</f>
        <v>STA_LAX_ChinaOcean</v>
      </c>
      <c r="D359" s="4" t="s">
        <v>147</v>
      </c>
      <c r="E359" s="2" t="str">
        <f>_xlfn.XLOOKUP(A359,转单情况!A:A,转单情况!B:B)</f>
        <v>SW</v>
      </c>
      <c r="F359" s="29"/>
      <c r="G359" s="28">
        <f>ROUND(_xlfn.XLOOKUP(A359,全量!A:A,全量!B:B,0)/7,1)</f>
        <v>0.4</v>
      </c>
      <c r="H359" s="2">
        <f>ROUND(_xlfn.XLOOKUP(A359,AE!A:A,AE!B:B,0)/7,1)</f>
        <v>0</v>
      </c>
      <c r="I359" s="2" t="str">
        <f>_xlfn.XLOOKUP(A359,SWFTX邮编覆盖!A:A,SWFTX邮编覆盖!B:B,"否")</f>
        <v>是</v>
      </c>
      <c r="J359" s="2" t="str">
        <f>_xlfn.XLOOKUP(A359,YW邮编覆盖!A:A,YW邮编覆盖!B:B,"否")</f>
        <v>是</v>
      </c>
    </row>
    <row r="360" spans="1:10" hidden="1">
      <c r="A360" s="3">
        <v>90301</v>
      </c>
      <c r="B360" s="1" t="s">
        <v>31</v>
      </c>
      <c r="C360" s="2" t="str">
        <f>_xlfn.XLOOKUP(B360,线路DSP对应!A:A,线路DSP对应!B:B)</f>
        <v>STA_LAX_JLP</v>
      </c>
      <c r="D360" s="4" t="s">
        <v>147</v>
      </c>
      <c r="E360" s="2" t="str">
        <f>_xlfn.XLOOKUP(A360,转单情况!A:A,转单情况!B:B)</f>
        <v>否</v>
      </c>
      <c r="G360" s="28">
        <f>ROUND(_xlfn.XLOOKUP(A360,全量!A:A,全量!B:B,0)/7,1)</f>
        <v>4</v>
      </c>
      <c r="H360" s="2">
        <f>ROUND(_xlfn.XLOOKUP(A360,AE!A:A,AE!B:B,0)/7,1)</f>
        <v>0</v>
      </c>
      <c r="I360" s="2" t="str">
        <f>_xlfn.XLOOKUP(A360,SWFTX邮编覆盖!A:A,SWFTX邮编覆盖!B:B,"否")</f>
        <v>否</v>
      </c>
      <c r="J360" s="2" t="str">
        <f>_xlfn.XLOOKUP(A360,YW邮编覆盖!A:A,YW邮编覆盖!B:B,"否")</f>
        <v>否</v>
      </c>
    </row>
    <row r="361" spans="1:10" hidden="1">
      <c r="A361" s="3">
        <v>90302</v>
      </c>
      <c r="B361" s="1" t="s">
        <v>31</v>
      </c>
      <c r="C361" s="2" t="str">
        <f>_xlfn.XLOOKUP(B361,线路DSP对应!A:A,线路DSP对应!B:B)</f>
        <v>STA_LAX_JLP</v>
      </c>
      <c r="D361" s="4" t="s">
        <v>147</v>
      </c>
      <c r="E361" s="2" t="str">
        <f>_xlfn.XLOOKUP(A361,转单情况!A:A,转单情况!B:B)</f>
        <v>否</v>
      </c>
      <c r="G361" s="28">
        <f>ROUND(_xlfn.XLOOKUP(A361,全量!A:A,全量!B:B,0)/7,1)</f>
        <v>2.6</v>
      </c>
      <c r="H361" s="2">
        <f>ROUND(_xlfn.XLOOKUP(A361,AE!A:A,AE!B:B,0)/7,1)</f>
        <v>0</v>
      </c>
      <c r="I361" s="2" t="str">
        <f>_xlfn.XLOOKUP(A361,SWFTX邮编覆盖!A:A,SWFTX邮编覆盖!B:B,"否")</f>
        <v>否</v>
      </c>
      <c r="J361" s="2" t="str">
        <f>_xlfn.XLOOKUP(A361,YW邮编覆盖!A:A,YW邮编覆盖!B:B,"否")</f>
        <v>否</v>
      </c>
    </row>
    <row r="362" spans="1:10" hidden="1">
      <c r="A362" s="3">
        <v>90303</v>
      </c>
      <c r="B362" s="1" t="s">
        <v>31</v>
      </c>
      <c r="C362" s="2" t="str">
        <f>_xlfn.XLOOKUP(B362,线路DSP对应!A:A,线路DSP对应!B:B)</f>
        <v>STA_LAX_JLP</v>
      </c>
      <c r="D362" s="4" t="s">
        <v>147</v>
      </c>
      <c r="E362" s="2" t="str">
        <f>_xlfn.XLOOKUP(A362,转单情况!A:A,转单情况!B:B)</f>
        <v>否</v>
      </c>
      <c r="G362" s="28">
        <f>ROUND(_xlfn.XLOOKUP(A362,全量!A:A,全量!B:B,0)/7,1)</f>
        <v>6.3</v>
      </c>
      <c r="H362" s="2">
        <f>ROUND(_xlfn.XLOOKUP(A362,AE!A:A,AE!B:B,0)/7,1)</f>
        <v>0</v>
      </c>
      <c r="I362" s="2" t="str">
        <f>_xlfn.XLOOKUP(A362,SWFTX邮编覆盖!A:A,SWFTX邮编覆盖!B:B,"否")</f>
        <v>否</v>
      </c>
      <c r="J362" s="2" t="str">
        <f>_xlfn.XLOOKUP(A362,YW邮编覆盖!A:A,YW邮编覆盖!B:B,"否")</f>
        <v>否</v>
      </c>
    </row>
    <row r="363" spans="1:10" hidden="1">
      <c r="A363" s="3">
        <v>90304</v>
      </c>
      <c r="B363" s="1" t="s">
        <v>31</v>
      </c>
      <c r="C363" s="2" t="str">
        <f>_xlfn.XLOOKUP(B363,线路DSP对应!A:A,线路DSP对应!B:B)</f>
        <v>STA_LAX_JLP</v>
      </c>
      <c r="D363" s="4" t="s">
        <v>147</v>
      </c>
      <c r="E363" s="2" t="str">
        <f>_xlfn.XLOOKUP(A363,转单情况!A:A,转单情况!B:B)</f>
        <v>否</v>
      </c>
      <c r="G363" s="28">
        <f>ROUND(_xlfn.XLOOKUP(A363,全量!A:A,全量!B:B,0)/7,1)</f>
        <v>5.3</v>
      </c>
      <c r="H363" s="2">
        <f>ROUND(_xlfn.XLOOKUP(A363,AE!A:A,AE!B:B,0)/7,1)</f>
        <v>0</v>
      </c>
      <c r="I363" s="2" t="str">
        <f>_xlfn.XLOOKUP(A363,SWFTX邮编覆盖!A:A,SWFTX邮编覆盖!B:B,"否")</f>
        <v>否</v>
      </c>
      <c r="J363" s="2" t="str">
        <f>_xlfn.XLOOKUP(A363,YW邮编覆盖!A:A,YW邮编覆盖!B:B,"否")</f>
        <v>否</v>
      </c>
    </row>
    <row r="364" spans="1:10" hidden="1">
      <c r="A364" s="3">
        <v>90305</v>
      </c>
      <c r="B364" s="1" t="s">
        <v>31</v>
      </c>
      <c r="C364" s="2" t="str">
        <f>_xlfn.XLOOKUP(B364,线路DSP对应!A:A,线路DSP对应!B:B)</f>
        <v>STA_LAX_JLP</v>
      </c>
      <c r="D364" s="4" t="s">
        <v>147</v>
      </c>
      <c r="E364" s="2" t="str">
        <f>_xlfn.XLOOKUP(A364,转单情况!A:A,转单情况!B:B)</f>
        <v>否</v>
      </c>
      <c r="G364" s="28">
        <f>ROUND(_xlfn.XLOOKUP(A364,全量!A:A,全量!B:B,0)/7,1)</f>
        <v>2.7</v>
      </c>
      <c r="H364" s="2">
        <f>ROUND(_xlfn.XLOOKUP(A364,AE!A:A,AE!B:B,0)/7,1)</f>
        <v>0</v>
      </c>
      <c r="I364" s="2" t="str">
        <f>_xlfn.XLOOKUP(A364,SWFTX邮编覆盖!A:A,SWFTX邮编覆盖!B:B,"否")</f>
        <v>否</v>
      </c>
      <c r="J364" s="2" t="str">
        <f>_xlfn.XLOOKUP(A364,YW邮编覆盖!A:A,YW邮编覆盖!B:B,"否")</f>
        <v>否</v>
      </c>
    </row>
    <row r="365" spans="1:10" hidden="1">
      <c r="A365" s="3">
        <v>90405</v>
      </c>
      <c r="B365" s="1" t="s">
        <v>31</v>
      </c>
      <c r="C365" s="2" t="str">
        <f>_xlfn.XLOOKUP(B365,线路DSP对应!A:A,线路DSP对应!B:B)</f>
        <v>STA_LAX_JLP</v>
      </c>
      <c r="D365" s="4" t="s">
        <v>147</v>
      </c>
      <c r="E365" s="2" t="str">
        <f>_xlfn.XLOOKUP(A365,转单情况!A:A,转单情况!B:B)</f>
        <v>SW</v>
      </c>
      <c r="G365" s="28">
        <f>ROUND(_xlfn.XLOOKUP(A365,全量!A:A,全量!B:B,0)/7,1)</f>
        <v>4.9000000000000004</v>
      </c>
      <c r="H365" s="2">
        <f>ROUND(_xlfn.XLOOKUP(A365,AE!A:A,AE!B:B,0)/7,1)</f>
        <v>4.9000000000000004</v>
      </c>
      <c r="I365" s="2" t="str">
        <f>_xlfn.XLOOKUP(A365,SWFTX邮编覆盖!A:A,SWFTX邮编覆盖!B:B,"否")</f>
        <v>是</v>
      </c>
      <c r="J365" s="2" t="str">
        <f>_xlfn.XLOOKUP(A365,YW邮编覆盖!A:A,YW邮编覆盖!B:B,"否")</f>
        <v>是</v>
      </c>
    </row>
    <row r="366" spans="1:10" hidden="1">
      <c r="A366" s="3">
        <v>90293</v>
      </c>
      <c r="B366" s="1" t="s">
        <v>31</v>
      </c>
      <c r="C366" s="2" t="str">
        <f>_xlfn.XLOOKUP(B366,线路DSP对应!A:A,线路DSP对应!B:B)</f>
        <v>STA_LAX_JLP</v>
      </c>
      <c r="D366" s="4" t="s">
        <v>147</v>
      </c>
      <c r="E366" s="2" t="str">
        <f>_xlfn.XLOOKUP(A366,转单情况!A:A,转单情况!B:B)</f>
        <v>SW</v>
      </c>
      <c r="G366" s="28">
        <f>ROUND(_xlfn.XLOOKUP(A366,全量!A:A,全量!B:B,0)/7,1)</f>
        <v>0</v>
      </c>
      <c r="H366" s="2">
        <f>ROUND(_xlfn.XLOOKUP(A366,AE!A:A,AE!B:B,0)/7,1)</f>
        <v>0</v>
      </c>
      <c r="I366" s="2" t="str">
        <f>_xlfn.XLOOKUP(A366,SWFTX邮编覆盖!A:A,SWFTX邮编覆盖!B:B,"否")</f>
        <v>是</v>
      </c>
      <c r="J366" s="2" t="str">
        <f>_xlfn.XLOOKUP(A366,YW邮编覆盖!A:A,YW邮编覆盖!B:B,"否")</f>
        <v>是</v>
      </c>
    </row>
    <row r="367" spans="1:10" hidden="1">
      <c r="A367" s="3">
        <v>90401</v>
      </c>
      <c r="B367" s="1" t="s">
        <v>31</v>
      </c>
      <c r="C367" s="2" t="str">
        <f>_xlfn.XLOOKUP(B367,线路DSP对应!A:A,线路DSP对应!B:B)</f>
        <v>STA_LAX_JLP</v>
      </c>
      <c r="D367" s="4" t="s">
        <v>147</v>
      </c>
      <c r="E367" s="2" t="str">
        <f>_xlfn.XLOOKUP(A367,转单情况!A:A,转单情况!B:B)</f>
        <v>否</v>
      </c>
      <c r="F367" s="2" t="s">
        <v>202</v>
      </c>
      <c r="G367" s="28">
        <f>ROUND(_xlfn.XLOOKUP(A367,全量!A:A,全量!B:B,0)/7,1)</f>
        <v>0.7</v>
      </c>
      <c r="H367" s="2">
        <f>ROUND(_xlfn.XLOOKUP(A367,AE!A:A,AE!B:B,0)/7,1)</f>
        <v>0</v>
      </c>
      <c r="I367" s="2" t="str">
        <f>_xlfn.XLOOKUP(A367,SWFTX邮编覆盖!A:A,SWFTX邮编覆盖!B:B,"否")</f>
        <v>否</v>
      </c>
      <c r="J367" s="2" t="str">
        <f>_xlfn.XLOOKUP(A367,YW邮编覆盖!A:A,YW邮编覆盖!B:B,"否")</f>
        <v>否</v>
      </c>
    </row>
    <row r="368" spans="1:10" hidden="1">
      <c r="A368" s="3">
        <v>90404</v>
      </c>
      <c r="B368" s="1" t="s">
        <v>31</v>
      </c>
      <c r="C368" s="2" t="str">
        <f>_xlfn.XLOOKUP(B368,线路DSP对应!A:A,线路DSP对应!B:B)</f>
        <v>STA_LAX_JLP</v>
      </c>
      <c r="D368" s="4" t="s">
        <v>147</v>
      </c>
      <c r="E368" s="2" t="str">
        <f>_xlfn.XLOOKUP(A368,转单情况!A:A,转单情况!B:B)</f>
        <v>SW</v>
      </c>
      <c r="G368" s="28">
        <f>ROUND(_xlfn.XLOOKUP(A368,全量!A:A,全量!B:B,0)/7,1)</f>
        <v>6</v>
      </c>
      <c r="H368" s="2">
        <f>ROUND(_xlfn.XLOOKUP(A368,AE!A:A,AE!B:B,0)/7,1)</f>
        <v>5.4</v>
      </c>
      <c r="I368" s="2" t="str">
        <f>_xlfn.XLOOKUP(A368,SWFTX邮编覆盖!A:A,SWFTX邮编覆盖!B:B,"否")</f>
        <v>是</v>
      </c>
      <c r="J368" s="2" t="str">
        <f>_xlfn.XLOOKUP(A368,YW邮编覆盖!A:A,YW邮编覆盖!B:B,"否")</f>
        <v>是</v>
      </c>
    </row>
    <row r="369" spans="1:10" hidden="1">
      <c r="A369" s="3">
        <v>90403</v>
      </c>
      <c r="B369" s="1" t="s">
        <v>31</v>
      </c>
      <c r="C369" s="2" t="str">
        <f>_xlfn.XLOOKUP(B369,线路DSP对应!A:A,线路DSP对应!B:B)</f>
        <v>STA_LAX_JLP</v>
      </c>
      <c r="D369" s="4" t="s">
        <v>147</v>
      </c>
      <c r="E369" s="2" t="str">
        <f>_xlfn.XLOOKUP(A369,转单情况!A:A,转单情况!B:B)</f>
        <v>SW</v>
      </c>
      <c r="G369" s="28">
        <f>ROUND(_xlfn.XLOOKUP(A369,全量!A:A,全量!B:B,0)/7,1)</f>
        <v>0.9</v>
      </c>
      <c r="H369" s="2">
        <f>ROUND(_xlfn.XLOOKUP(A369,AE!A:A,AE!B:B,0)/7,1)</f>
        <v>0</v>
      </c>
      <c r="I369" s="2" t="str">
        <f>_xlfn.XLOOKUP(A369,SWFTX邮编覆盖!A:A,SWFTX邮编覆盖!B:B,"否")</f>
        <v>是</v>
      </c>
      <c r="J369" s="2" t="str">
        <f>_xlfn.XLOOKUP(A369,YW邮编覆盖!A:A,YW邮编覆盖!B:B,"否")</f>
        <v>是</v>
      </c>
    </row>
    <row r="370" spans="1:10" hidden="1">
      <c r="A370" s="3">
        <v>90402</v>
      </c>
      <c r="B370" s="1" t="s">
        <v>31</v>
      </c>
      <c r="C370" s="2" t="str">
        <f>_xlfn.XLOOKUP(B370,线路DSP对应!A:A,线路DSP对应!B:B)</f>
        <v>STA_LAX_JLP</v>
      </c>
      <c r="D370" s="4" t="s">
        <v>147</v>
      </c>
      <c r="E370" s="2" t="str">
        <f>_xlfn.XLOOKUP(A370,转单情况!A:A,转单情况!B:B)</f>
        <v>否</v>
      </c>
      <c r="F370" s="2" t="s">
        <v>202</v>
      </c>
      <c r="G370" s="28">
        <f>ROUND(_xlfn.XLOOKUP(A370,全量!A:A,全量!B:B,0)/7,1)</f>
        <v>1</v>
      </c>
      <c r="H370" s="2">
        <f>ROUND(_xlfn.XLOOKUP(A370,AE!A:A,AE!B:B,0)/7,1)</f>
        <v>0</v>
      </c>
      <c r="I370" s="2" t="str">
        <f>_xlfn.XLOOKUP(A370,SWFTX邮编覆盖!A:A,SWFTX邮编覆盖!B:B,"否")</f>
        <v>否</v>
      </c>
      <c r="J370" s="2" t="str">
        <f>_xlfn.XLOOKUP(A370,YW邮编覆盖!A:A,YW邮编覆盖!B:B,"否")</f>
        <v>否</v>
      </c>
    </row>
    <row r="371" spans="1:10" hidden="1">
      <c r="A371" s="3">
        <v>90250</v>
      </c>
      <c r="B371" s="1" t="s">
        <v>32</v>
      </c>
      <c r="C371" s="2" t="str">
        <f>_xlfn.XLOOKUP(B371,线路DSP对应!A:A,线路DSP对应!B:B)</f>
        <v>STA_LAX_ChinaOcean</v>
      </c>
      <c r="D371" s="4" t="s">
        <v>147</v>
      </c>
      <c r="E371" s="2" t="str">
        <f>_xlfn.XLOOKUP(A371,转单情况!A:A,转单情况!B:B)</f>
        <v>SW</v>
      </c>
      <c r="F371" s="29"/>
      <c r="G371" s="28">
        <f>ROUND(_xlfn.XLOOKUP(A371,全量!A:A,全量!B:B,0)/7,1)</f>
        <v>0.6</v>
      </c>
      <c r="H371" s="2">
        <f>ROUND(_xlfn.XLOOKUP(A371,AE!A:A,AE!B:B,0)/7,1)</f>
        <v>0</v>
      </c>
      <c r="I371" s="2" t="str">
        <f>_xlfn.XLOOKUP(A371,SWFTX邮编覆盖!A:A,SWFTX邮编覆盖!B:B,"否")</f>
        <v>是</v>
      </c>
      <c r="J371" s="2" t="str">
        <f>_xlfn.XLOOKUP(A371,YW邮编覆盖!A:A,YW邮编覆盖!B:B,"否")</f>
        <v>是</v>
      </c>
    </row>
    <row r="372" spans="1:10" hidden="1">
      <c r="A372" s="3">
        <v>90260</v>
      </c>
      <c r="B372" s="1" t="s">
        <v>32</v>
      </c>
      <c r="C372" s="2" t="str">
        <f>_xlfn.XLOOKUP(B372,线路DSP对应!A:A,线路DSP对应!B:B)</f>
        <v>STA_LAX_ChinaOcean</v>
      </c>
      <c r="D372" s="4" t="s">
        <v>147</v>
      </c>
      <c r="E372" s="2" t="str">
        <f>_xlfn.XLOOKUP(A372,转单情况!A:A,转单情况!B:B)</f>
        <v>SW</v>
      </c>
      <c r="F372" s="29"/>
      <c r="G372" s="28">
        <f>ROUND(_xlfn.XLOOKUP(A372,全量!A:A,全量!B:B,0)/7,1)</f>
        <v>12.7</v>
      </c>
      <c r="H372" s="2">
        <f>ROUND(_xlfn.XLOOKUP(A372,AE!A:A,AE!B:B,0)/7,1)</f>
        <v>12.4</v>
      </c>
      <c r="I372" s="2" t="str">
        <f>_xlfn.XLOOKUP(A372,SWFTX邮编覆盖!A:A,SWFTX邮编覆盖!B:B,"否")</f>
        <v>是</v>
      </c>
      <c r="J372" s="2" t="str">
        <f>_xlfn.XLOOKUP(A372,YW邮编覆盖!A:A,YW邮编覆盖!B:B,"否")</f>
        <v>是</v>
      </c>
    </row>
    <row r="373" spans="1:10" hidden="1">
      <c r="A373" s="3">
        <v>90266</v>
      </c>
      <c r="B373" s="1" t="s">
        <v>32</v>
      </c>
      <c r="C373" s="2" t="str">
        <f>_xlfn.XLOOKUP(B373,线路DSP对应!A:A,线路DSP对应!B:B)</f>
        <v>STA_LAX_ChinaOcean</v>
      </c>
      <c r="D373" s="4" t="s">
        <v>147</v>
      </c>
      <c r="E373" s="2" t="str">
        <f>_xlfn.XLOOKUP(A373,转单情况!A:A,转单情况!B:B)</f>
        <v>SW</v>
      </c>
      <c r="F373" s="29"/>
      <c r="G373" s="28">
        <f>ROUND(_xlfn.XLOOKUP(A373,全量!A:A,全量!B:B,0)/7,1)</f>
        <v>0.3</v>
      </c>
      <c r="H373" s="2">
        <f>ROUND(_xlfn.XLOOKUP(A373,AE!A:A,AE!B:B,0)/7,1)</f>
        <v>0</v>
      </c>
      <c r="I373" s="2" t="str">
        <f>_xlfn.XLOOKUP(A373,SWFTX邮编覆盖!A:A,SWFTX邮编覆盖!B:B,"否")</f>
        <v>是</v>
      </c>
      <c r="J373" s="2" t="str">
        <f>_xlfn.XLOOKUP(A373,YW邮编覆盖!A:A,YW邮编覆盖!B:B,"否")</f>
        <v>是</v>
      </c>
    </row>
    <row r="374" spans="1:10" hidden="1">
      <c r="A374" s="3">
        <v>90278</v>
      </c>
      <c r="B374" s="1" t="s">
        <v>32</v>
      </c>
      <c r="C374" s="2" t="str">
        <f>_xlfn.XLOOKUP(B374,线路DSP对应!A:A,线路DSP对应!B:B)</f>
        <v>STA_LAX_ChinaOcean</v>
      </c>
      <c r="D374" s="4" t="s">
        <v>147</v>
      </c>
      <c r="E374" s="2" t="str">
        <f>_xlfn.XLOOKUP(A374,转单情况!A:A,转单情况!B:B)</f>
        <v>SW</v>
      </c>
      <c r="F374" s="29"/>
      <c r="G374" s="28">
        <f>ROUND(_xlfn.XLOOKUP(A374,全量!A:A,全量!B:B,0)/7,1)</f>
        <v>0.1</v>
      </c>
      <c r="H374" s="2">
        <f>ROUND(_xlfn.XLOOKUP(A374,AE!A:A,AE!B:B,0)/7,1)</f>
        <v>0</v>
      </c>
      <c r="I374" s="2" t="str">
        <f>_xlfn.XLOOKUP(A374,SWFTX邮编覆盖!A:A,SWFTX邮编覆盖!B:B,"否")</f>
        <v>是</v>
      </c>
      <c r="J374" s="2" t="str">
        <f>_xlfn.XLOOKUP(A374,YW邮编覆盖!A:A,YW邮编覆盖!B:B,"否")</f>
        <v>是</v>
      </c>
    </row>
    <row r="375" spans="1:10" hidden="1">
      <c r="A375" s="3">
        <v>90245</v>
      </c>
      <c r="B375" s="1" t="s">
        <v>32</v>
      </c>
      <c r="C375" s="2" t="str">
        <f>_xlfn.XLOOKUP(B375,线路DSP对应!A:A,线路DSP对应!B:B)</f>
        <v>STA_LAX_ChinaOcean</v>
      </c>
      <c r="D375" s="4" t="s">
        <v>147</v>
      </c>
      <c r="E375" s="2" t="str">
        <f>_xlfn.XLOOKUP(A375,转单情况!A:A,转单情况!B:B)</f>
        <v>SW</v>
      </c>
      <c r="G375" s="28">
        <f>ROUND(_xlfn.XLOOKUP(A375,全量!A:A,全量!B:B,0)/7,1)</f>
        <v>0.1</v>
      </c>
      <c r="H375" s="2">
        <f>ROUND(_xlfn.XLOOKUP(A375,AE!A:A,AE!B:B,0)/7,1)</f>
        <v>0</v>
      </c>
      <c r="I375" s="2" t="str">
        <f>_xlfn.XLOOKUP(A375,SWFTX邮编覆盖!A:A,SWFTX邮编覆盖!B:B,"否")</f>
        <v>是</v>
      </c>
      <c r="J375" s="2" t="str">
        <f>_xlfn.XLOOKUP(A375,YW邮编覆盖!A:A,YW邮编覆盖!B:B,"否")</f>
        <v>是</v>
      </c>
    </row>
    <row r="376" spans="1:10" hidden="1">
      <c r="A376" s="3">
        <v>90220</v>
      </c>
      <c r="B376" s="1" t="s">
        <v>33</v>
      </c>
      <c r="C376" s="2" t="str">
        <f>_xlfn.XLOOKUP(B376,线路DSP对应!A:A,线路DSP对应!B:B)</f>
        <v>STA_LAX_ChinaOcean</v>
      </c>
      <c r="D376" s="4" t="s">
        <v>147</v>
      </c>
      <c r="E376" s="2" t="str">
        <f>_xlfn.XLOOKUP(A376,转单情况!A:A,转单情况!B:B)</f>
        <v>SW</v>
      </c>
      <c r="F376" s="29"/>
      <c r="G376" s="28">
        <f>ROUND(_xlfn.XLOOKUP(A376,全量!A:A,全量!B:B,0)/7,1)</f>
        <v>1.3</v>
      </c>
      <c r="H376" s="2">
        <f>ROUND(_xlfn.XLOOKUP(A376,AE!A:A,AE!B:B,0)/7,1)</f>
        <v>0</v>
      </c>
      <c r="I376" s="2" t="str">
        <f>_xlfn.XLOOKUP(A376,SWFTX邮编覆盖!A:A,SWFTX邮编覆盖!B:B,"否")</f>
        <v>是</v>
      </c>
      <c r="J376" s="2" t="str">
        <f>_xlfn.XLOOKUP(A376,YW邮编覆盖!A:A,YW邮编覆盖!B:B,"否")</f>
        <v>是</v>
      </c>
    </row>
    <row r="377" spans="1:10" hidden="1">
      <c r="A377" s="3">
        <v>90221</v>
      </c>
      <c r="B377" s="1" t="s">
        <v>33</v>
      </c>
      <c r="C377" s="2" t="str">
        <f>_xlfn.XLOOKUP(B377,线路DSP对应!A:A,线路DSP对应!B:B)</f>
        <v>STA_LAX_ChinaOcean</v>
      </c>
      <c r="D377" s="4" t="s">
        <v>147</v>
      </c>
      <c r="E377" s="2" t="str">
        <f>_xlfn.XLOOKUP(A377,转单情况!A:A,转单情况!B:B)</f>
        <v>SW</v>
      </c>
      <c r="F377" s="29"/>
      <c r="G377" s="28">
        <f>ROUND(_xlfn.XLOOKUP(A377,全量!A:A,全量!B:B,0)/7,1)</f>
        <v>1.1000000000000001</v>
      </c>
      <c r="H377" s="2">
        <f>ROUND(_xlfn.XLOOKUP(A377,AE!A:A,AE!B:B,0)/7,1)</f>
        <v>0</v>
      </c>
      <c r="I377" s="2" t="str">
        <f>_xlfn.XLOOKUP(A377,SWFTX邮编覆盖!A:A,SWFTX邮编覆盖!B:B,"否")</f>
        <v>是</v>
      </c>
      <c r="J377" s="2" t="str">
        <f>_xlfn.XLOOKUP(A377,YW邮编覆盖!A:A,YW邮编覆盖!B:B,"否")</f>
        <v>是</v>
      </c>
    </row>
    <row r="378" spans="1:10" hidden="1">
      <c r="A378" s="3">
        <v>90222</v>
      </c>
      <c r="B378" s="1" t="s">
        <v>33</v>
      </c>
      <c r="C378" s="2" t="str">
        <f>_xlfn.XLOOKUP(B378,线路DSP对应!A:A,线路DSP对应!B:B)</f>
        <v>STA_LAX_ChinaOcean</v>
      </c>
      <c r="D378" s="4" t="s">
        <v>147</v>
      </c>
      <c r="E378" s="2" t="str">
        <f>_xlfn.XLOOKUP(A378,转单情况!A:A,转单情况!B:B)</f>
        <v>SW</v>
      </c>
      <c r="F378" s="29"/>
      <c r="G378" s="28">
        <f>ROUND(_xlfn.XLOOKUP(A378,全量!A:A,全量!B:B,0)/7,1)</f>
        <v>0.3</v>
      </c>
      <c r="H378" s="2">
        <f>ROUND(_xlfn.XLOOKUP(A378,AE!A:A,AE!B:B,0)/7,1)</f>
        <v>0</v>
      </c>
      <c r="I378" s="2" t="str">
        <f>_xlfn.XLOOKUP(A378,SWFTX邮编覆盖!A:A,SWFTX邮编覆盖!B:B,"否")</f>
        <v>是</v>
      </c>
      <c r="J378" s="2" t="str">
        <f>_xlfn.XLOOKUP(A378,YW邮编覆盖!A:A,YW邮编覆盖!B:B,"否")</f>
        <v>是</v>
      </c>
    </row>
    <row r="379" spans="1:10" hidden="1">
      <c r="A379" s="3">
        <v>90247</v>
      </c>
      <c r="B379" s="1" t="s">
        <v>33</v>
      </c>
      <c r="C379" s="2" t="str">
        <f>_xlfn.XLOOKUP(B379,线路DSP对应!A:A,线路DSP对应!B:B)</f>
        <v>STA_LAX_ChinaOcean</v>
      </c>
      <c r="D379" s="4" t="s">
        <v>147</v>
      </c>
      <c r="E379" s="2" t="str">
        <f>_xlfn.XLOOKUP(A379,转单情况!A:A,转单情况!B:B)</f>
        <v>SW</v>
      </c>
      <c r="F379" s="29"/>
      <c r="G379" s="28">
        <f>ROUND(_xlfn.XLOOKUP(A379,全量!A:A,全量!B:B,0)/7,1)</f>
        <v>0</v>
      </c>
      <c r="H379" s="2">
        <f>ROUND(_xlfn.XLOOKUP(A379,AE!A:A,AE!B:B,0)/7,1)</f>
        <v>0</v>
      </c>
      <c r="I379" s="2" t="str">
        <f>_xlfn.XLOOKUP(A379,SWFTX邮编覆盖!A:A,SWFTX邮编覆盖!B:B,"否")</f>
        <v>是</v>
      </c>
      <c r="J379" s="2" t="str">
        <f>_xlfn.XLOOKUP(A379,YW邮编覆盖!A:A,YW邮编覆盖!B:B,"否")</f>
        <v>是</v>
      </c>
    </row>
    <row r="380" spans="1:10" hidden="1">
      <c r="A380" s="3">
        <v>90248</v>
      </c>
      <c r="B380" s="1" t="s">
        <v>33</v>
      </c>
      <c r="C380" s="2" t="str">
        <f>_xlfn.XLOOKUP(B380,线路DSP对应!A:A,线路DSP对应!B:B)</f>
        <v>STA_LAX_ChinaOcean</v>
      </c>
      <c r="D380" s="4" t="s">
        <v>147</v>
      </c>
      <c r="E380" s="2" t="str">
        <f>_xlfn.XLOOKUP(A380,转单情况!A:A,转单情况!B:B)</f>
        <v>SW</v>
      </c>
      <c r="F380" s="29"/>
      <c r="G380" s="28">
        <f>ROUND(_xlfn.XLOOKUP(A380,全量!A:A,全量!B:B,0)/7,1)</f>
        <v>0</v>
      </c>
      <c r="H380" s="2">
        <f>ROUND(_xlfn.XLOOKUP(A380,AE!A:A,AE!B:B,0)/7,1)</f>
        <v>0</v>
      </c>
      <c r="I380" s="2" t="str">
        <f>_xlfn.XLOOKUP(A380,SWFTX邮编覆盖!A:A,SWFTX邮编覆盖!B:B,"否")</f>
        <v>是</v>
      </c>
      <c r="J380" s="2" t="str">
        <f>_xlfn.XLOOKUP(A380,YW邮编覆盖!A:A,YW邮编覆盖!B:B,"否")</f>
        <v>是</v>
      </c>
    </row>
    <row r="381" spans="1:10" hidden="1">
      <c r="A381" s="3">
        <v>90249</v>
      </c>
      <c r="B381" s="1" t="s">
        <v>33</v>
      </c>
      <c r="C381" s="2" t="str">
        <f>_xlfn.XLOOKUP(B381,线路DSP对应!A:A,线路DSP对应!B:B)</f>
        <v>STA_LAX_ChinaOcean</v>
      </c>
      <c r="D381" s="4" t="s">
        <v>147</v>
      </c>
      <c r="E381" s="2" t="str">
        <f>_xlfn.XLOOKUP(A381,转单情况!A:A,转单情况!B:B)</f>
        <v>SW</v>
      </c>
      <c r="F381" s="29"/>
      <c r="G381" s="28">
        <f>ROUND(_xlfn.XLOOKUP(A381,全量!A:A,全量!B:B,0)/7,1)</f>
        <v>0.4</v>
      </c>
      <c r="H381" s="2">
        <f>ROUND(_xlfn.XLOOKUP(A381,AE!A:A,AE!B:B,0)/7,1)</f>
        <v>0</v>
      </c>
      <c r="I381" s="2" t="str">
        <f>_xlfn.XLOOKUP(A381,SWFTX邮编覆盖!A:A,SWFTX邮编覆盖!B:B,"否")</f>
        <v>是</v>
      </c>
      <c r="J381" s="2" t="str">
        <f>_xlfn.XLOOKUP(A381,YW邮编覆盖!A:A,YW邮编覆盖!B:B,"否")</f>
        <v>是</v>
      </c>
    </row>
    <row r="382" spans="1:10" hidden="1">
      <c r="A382" s="3">
        <v>91046</v>
      </c>
      <c r="B382" s="1" t="s">
        <v>162</v>
      </c>
      <c r="C382" s="2" t="e">
        <f>_xlfn.XLOOKUP(B382,线路DSP对应!A:A,线路DSP对应!B:B)</f>
        <v>#N/A</v>
      </c>
      <c r="D382" s="4" t="s">
        <v>147</v>
      </c>
      <c r="E382" s="2" t="e">
        <f>_xlfn.XLOOKUP(A382,转单情况!A:A,转单情况!B:B)</f>
        <v>#N/A</v>
      </c>
      <c r="G382" s="28">
        <f>ROUND(_xlfn.XLOOKUP(A382,全量!A:A,全量!B:B,0)/7,1)</f>
        <v>0</v>
      </c>
      <c r="H382" s="2">
        <f>ROUND(_xlfn.XLOOKUP(A382,AE!A:A,AE!B:B,0)/7,1)</f>
        <v>0</v>
      </c>
      <c r="I382" s="2" t="str">
        <f>_xlfn.XLOOKUP(A382,SWFTX邮编覆盖!A:A,SWFTX邮编覆盖!B:B,"否")</f>
        <v>否</v>
      </c>
      <c r="J382" s="2" t="str">
        <f>_xlfn.XLOOKUP(A382,YW邮编覆盖!A:A,YW邮编覆盖!B:B,"否")</f>
        <v>否</v>
      </c>
    </row>
    <row r="383" spans="1:10" hidden="1">
      <c r="A383" s="3">
        <v>91031</v>
      </c>
      <c r="B383" s="1" t="s">
        <v>162</v>
      </c>
      <c r="C383" s="2" t="e">
        <f>_xlfn.XLOOKUP(B383,线路DSP对应!A:A,线路DSP对应!B:B)</f>
        <v>#N/A</v>
      </c>
      <c r="D383" s="4" t="s">
        <v>147</v>
      </c>
      <c r="E383" s="2" t="e">
        <f>_xlfn.XLOOKUP(A383,转单情况!A:A,转单情况!B:B)</f>
        <v>#N/A</v>
      </c>
      <c r="G383" s="28">
        <f>ROUND(_xlfn.XLOOKUP(A383,全量!A:A,全量!B:B,0)/7,1)</f>
        <v>0</v>
      </c>
      <c r="H383" s="2">
        <f>ROUND(_xlfn.XLOOKUP(A383,AE!A:A,AE!B:B,0)/7,1)</f>
        <v>0</v>
      </c>
      <c r="I383" s="2" t="str">
        <f>_xlfn.XLOOKUP(A383,SWFTX邮编覆盖!A:A,SWFTX邮编覆盖!B:B,"否")</f>
        <v>否</v>
      </c>
      <c r="J383" s="2" t="str">
        <f>_xlfn.XLOOKUP(A383,YW邮编覆盖!A:A,YW邮编覆盖!B:B,"否")</f>
        <v>否</v>
      </c>
    </row>
    <row r="384" spans="1:10" hidden="1">
      <c r="A384" s="3">
        <v>91025</v>
      </c>
      <c r="B384" s="1" t="s">
        <v>162</v>
      </c>
      <c r="C384" s="2" t="e">
        <f>_xlfn.XLOOKUP(B384,线路DSP对应!A:A,线路DSP对应!B:B)</f>
        <v>#N/A</v>
      </c>
      <c r="D384" s="4" t="s">
        <v>147</v>
      </c>
      <c r="E384" s="2" t="e">
        <f>_xlfn.XLOOKUP(A384,转单情况!A:A,转单情况!B:B)</f>
        <v>#N/A</v>
      </c>
      <c r="G384" s="28">
        <f>ROUND(_xlfn.XLOOKUP(A384,全量!A:A,全量!B:B,0)/7,1)</f>
        <v>0</v>
      </c>
      <c r="H384" s="2">
        <f>ROUND(_xlfn.XLOOKUP(A384,AE!A:A,AE!B:B,0)/7,1)</f>
        <v>0</v>
      </c>
      <c r="I384" s="2" t="str">
        <f>_xlfn.XLOOKUP(A384,SWFTX邮编覆盖!A:A,SWFTX邮编覆盖!B:B,"否")</f>
        <v>否</v>
      </c>
      <c r="J384" s="2" t="str">
        <f>_xlfn.XLOOKUP(A384,YW邮编覆盖!A:A,YW邮编覆盖!B:B,"否")</f>
        <v>否</v>
      </c>
    </row>
    <row r="385" spans="1:10" hidden="1">
      <c r="A385" s="3">
        <v>91017</v>
      </c>
      <c r="B385" s="1" t="s">
        <v>162</v>
      </c>
      <c r="C385" s="2" t="e">
        <f>_xlfn.XLOOKUP(B385,线路DSP对应!A:A,线路DSP对应!B:B)</f>
        <v>#N/A</v>
      </c>
      <c r="D385" s="4" t="s">
        <v>147</v>
      </c>
      <c r="E385" s="2" t="e">
        <f>_xlfn.XLOOKUP(A385,转单情况!A:A,转单情况!B:B)</f>
        <v>#N/A</v>
      </c>
      <c r="G385" s="28">
        <f>ROUND(_xlfn.XLOOKUP(A385,全量!A:A,全量!B:B,0)/7,1)</f>
        <v>0</v>
      </c>
      <c r="H385" s="2">
        <f>ROUND(_xlfn.XLOOKUP(A385,AE!A:A,AE!B:B,0)/7,1)</f>
        <v>0</v>
      </c>
      <c r="I385" s="2" t="str">
        <f>_xlfn.XLOOKUP(A385,SWFTX邮编覆盖!A:A,SWFTX邮编覆盖!B:B,"否")</f>
        <v>否</v>
      </c>
      <c r="J385" s="2" t="str">
        <f>_xlfn.XLOOKUP(A385,YW邮编覆盖!A:A,YW邮编覆盖!B:B,"否")</f>
        <v>否</v>
      </c>
    </row>
    <row r="386" spans="1:10" hidden="1">
      <c r="A386" s="3">
        <v>91009</v>
      </c>
      <c r="B386" s="1" t="s">
        <v>162</v>
      </c>
      <c r="C386" s="2" t="e">
        <f>_xlfn.XLOOKUP(B386,线路DSP对应!A:A,线路DSP对应!B:B)</f>
        <v>#N/A</v>
      </c>
      <c r="D386" s="4" t="s">
        <v>147</v>
      </c>
      <c r="E386" s="2" t="e">
        <f>_xlfn.XLOOKUP(A386,转单情况!A:A,转单情况!B:B)</f>
        <v>#N/A</v>
      </c>
      <c r="G386" s="28">
        <f>ROUND(_xlfn.XLOOKUP(A386,全量!A:A,全量!B:B,0)/7,1)</f>
        <v>0</v>
      </c>
      <c r="H386" s="2">
        <f>ROUND(_xlfn.XLOOKUP(A386,AE!A:A,AE!B:B,0)/7,1)</f>
        <v>0</v>
      </c>
      <c r="I386" s="2" t="str">
        <f>_xlfn.XLOOKUP(A386,SWFTX邮编覆盖!A:A,SWFTX邮编覆盖!B:B,"否")</f>
        <v>否</v>
      </c>
      <c r="J386" s="2" t="str">
        <f>_xlfn.XLOOKUP(A386,YW邮编覆盖!A:A,YW邮编覆盖!B:B,"否")</f>
        <v>否</v>
      </c>
    </row>
    <row r="387" spans="1:10" hidden="1">
      <c r="A387" s="3">
        <v>91066</v>
      </c>
      <c r="B387" s="1" t="s">
        <v>162</v>
      </c>
      <c r="C387" s="2" t="e">
        <f>_xlfn.XLOOKUP(B387,线路DSP对应!A:A,线路DSP对应!B:B)</f>
        <v>#N/A</v>
      </c>
      <c r="D387" s="4" t="s">
        <v>147</v>
      </c>
      <c r="E387" s="2" t="e">
        <f>_xlfn.XLOOKUP(A387,转单情况!A:A,转单情况!B:B)</f>
        <v>#N/A</v>
      </c>
      <c r="G387" s="28">
        <f>ROUND(_xlfn.XLOOKUP(A387,全量!A:A,全量!B:B,0)/7,1)</f>
        <v>0</v>
      </c>
      <c r="H387" s="2">
        <f>ROUND(_xlfn.XLOOKUP(A387,AE!A:A,AE!B:B,0)/7,1)</f>
        <v>0</v>
      </c>
      <c r="I387" s="2" t="str">
        <f>_xlfn.XLOOKUP(A387,SWFTX邮编覆盖!A:A,SWFTX邮编覆盖!B:B,"否")</f>
        <v>否</v>
      </c>
      <c r="J387" s="2" t="str">
        <f>_xlfn.XLOOKUP(A387,YW邮编覆盖!A:A,YW邮编覆盖!B:B,"否")</f>
        <v>否</v>
      </c>
    </row>
    <row r="388" spans="1:10" hidden="1">
      <c r="A388" s="3">
        <v>91077</v>
      </c>
      <c r="B388" s="1" t="s">
        <v>162</v>
      </c>
      <c r="C388" s="2" t="e">
        <f>_xlfn.XLOOKUP(B388,线路DSP对应!A:A,线路DSP对应!B:B)</f>
        <v>#N/A</v>
      </c>
      <c r="D388" s="4" t="s">
        <v>147</v>
      </c>
      <c r="E388" s="2" t="e">
        <f>_xlfn.XLOOKUP(A388,转单情况!A:A,转单情况!B:B)</f>
        <v>#N/A</v>
      </c>
      <c r="G388" s="28">
        <f>ROUND(_xlfn.XLOOKUP(A388,全量!A:A,全量!B:B,0)/7,1)</f>
        <v>0</v>
      </c>
      <c r="H388" s="2">
        <f>ROUND(_xlfn.XLOOKUP(A388,AE!A:A,AE!B:B,0)/7,1)</f>
        <v>0</v>
      </c>
      <c r="I388" s="2" t="str">
        <f>_xlfn.XLOOKUP(A388,SWFTX邮编覆盖!A:A,SWFTX邮编覆盖!B:B,"否")</f>
        <v>否</v>
      </c>
      <c r="J388" s="2" t="str">
        <f>_xlfn.XLOOKUP(A388,YW邮编覆盖!A:A,YW邮编覆盖!B:B,"否")</f>
        <v>否</v>
      </c>
    </row>
    <row r="389" spans="1:10">
      <c r="A389" s="3">
        <v>90202</v>
      </c>
      <c r="B389" s="1" t="s">
        <v>162</v>
      </c>
      <c r="C389" s="2" t="e">
        <f>_xlfn.XLOOKUP(B389,线路DSP对应!A:A,线路DSP对应!B:B)</f>
        <v>#N/A</v>
      </c>
      <c r="D389" s="4" t="s">
        <v>147</v>
      </c>
      <c r="E389" s="2" t="e">
        <f>_xlfn.XLOOKUP(A389,转单情况!A:A,转单情况!B:B)</f>
        <v>#N/A</v>
      </c>
      <c r="G389" s="28">
        <f>ROUND(_xlfn.XLOOKUP(A389,全量!A:A,全量!B:B,0)/7,1)</f>
        <v>0</v>
      </c>
      <c r="H389" s="2">
        <f>ROUND(_xlfn.XLOOKUP(A389,AE!A:A,AE!B:B,0)/7,1)</f>
        <v>0</v>
      </c>
      <c r="I389" s="2" t="str">
        <f>_xlfn.XLOOKUP(A389,SWFTX邮编覆盖!A:A,SWFTX邮编覆盖!B:B,"否")</f>
        <v>否</v>
      </c>
      <c r="J389" s="2" t="str">
        <f>_xlfn.XLOOKUP(A389,YW邮编覆盖!A:A,YW邮编覆盖!B:B,"否")</f>
        <v>是</v>
      </c>
    </row>
    <row r="390" spans="1:10">
      <c r="A390" s="3">
        <v>90661</v>
      </c>
      <c r="B390" s="1" t="s">
        <v>162</v>
      </c>
      <c r="C390" s="2" t="e">
        <f>_xlfn.XLOOKUP(B390,线路DSP对应!A:A,线路DSP对应!B:B)</f>
        <v>#N/A</v>
      </c>
      <c r="D390" s="4" t="s">
        <v>147</v>
      </c>
      <c r="E390" s="2" t="e">
        <f>_xlfn.XLOOKUP(A390,转单情况!A:A,转单情况!B:B)</f>
        <v>#N/A</v>
      </c>
      <c r="G390" s="28">
        <f>ROUND(_xlfn.XLOOKUP(A390,全量!A:A,全量!B:B,0)/7,1)</f>
        <v>0</v>
      </c>
      <c r="H390" s="2">
        <f>ROUND(_xlfn.XLOOKUP(A390,AE!A:A,AE!B:B,0)/7,1)</f>
        <v>0</v>
      </c>
      <c r="I390" s="2" t="str">
        <f>_xlfn.XLOOKUP(A390,SWFTX邮编覆盖!A:A,SWFTX邮编覆盖!B:B,"否")</f>
        <v>否</v>
      </c>
      <c r="J390" s="2" t="str">
        <f>_xlfn.XLOOKUP(A390,YW邮编覆盖!A:A,YW邮编覆盖!B:B,"否")</f>
        <v>是</v>
      </c>
    </row>
    <row r="391" spans="1:10">
      <c r="A391" s="3">
        <v>90662</v>
      </c>
      <c r="B391" s="1" t="s">
        <v>162</v>
      </c>
      <c r="C391" s="2" t="e">
        <f>_xlfn.XLOOKUP(B391,线路DSP对应!A:A,线路DSP对应!B:B)</f>
        <v>#N/A</v>
      </c>
      <c r="D391" s="4" t="s">
        <v>147</v>
      </c>
      <c r="E391" s="2" t="e">
        <f>_xlfn.XLOOKUP(A391,转单情况!A:A,转单情况!B:B)</f>
        <v>#N/A</v>
      </c>
      <c r="G391" s="28">
        <f>ROUND(_xlfn.XLOOKUP(A391,全量!A:A,全量!B:B,0)/7,1)</f>
        <v>0</v>
      </c>
      <c r="H391" s="2">
        <f>ROUND(_xlfn.XLOOKUP(A391,AE!A:A,AE!B:B,0)/7,1)</f>
        <v>0</v>
      </c>
      <c r="I391" s="2" t="str">
        <f>_xlfn.XLOOKUP(A391,SWFTX邮编覆盖!A:A,SWFTX邮编覆盖!B:B,"否")</f>
        <v>否</v>
      </c>
      <c r="J391" s="2" t="str">
        <f>_xlfn.XLOOKUP(A391,YW邮编覆盖!A:A,YW邮编覆盖!B:B,"否")</f>
        <v>是</v>
      </c>
    </row>
    <row r="392" spans="1:10">
      <c r="A392" s="3">
        <v>90607</v>
      </c>
      <c r="B392" s="1" t="s">
        <v>162</v>
      </c>
      <c r="C392" s="2" t="e">
        <f>_xlfn.XLOOKUP(B392,线路DSP对应!A:A,线路DSP对应!B:B)</f>
        <v>#N/A</v>
      </c>
      <c r="D392" s="4" t="s">
        <v>147</v>
      </c>
      <c r="E392" s="2" t="e">
        <f>_xlfn.XLOOKUP(A392,转单情况!A:A,转单情况!B:B)</f>
        <v>#N/A</v>
      </c>
      <c r="G392" s="28">
        <f>ROUND(_xlfn.XLOOKUP(A392,全量!A:A,全量!B:B,0)/7,1)</f>
        <v>0</v>
      </c>
      <c r="H392" s="2">
        <f>ROUND(_xlfn.XLOOKUP(A392,AE!A:A,AE!B:B,0)/7,1)</f>
        <v>0</v>
      </c>
      <c r="I392" s="2" t="str">
        <f>_xlfn.XLOOKUP(A392,SWFTX邮编覆盖!A:A,SWFTX邮编覆盖!B:B,"否")</f>
        <v>否</v>
      </c>
      <c r="J392" s="2" t="str">
        <f>_xlfn.XLOOKUP(A392,YW邮编覆盖!A:A,YW邮编覆盖!B:B,"否")</f>
        <v>是</v>
      </c>
    </row>
    <row r="393" spans="1:10">
      <c r="A393" s="3">
        <v>90608</v>
      </c>
      <c r="B393" s="1" t="s">
        <v>162</v>
      </c>
      <c r="C393" s="2" t="e">
        <f>_xlfn.XLOOKUP(B393,线路DSP对应!A:A,线路DSP对应!B:B)</f>
        <v>#N/A</v>
      </c>
      <c r="D393" s="4" t="s">
        <v>147</v>
      </c>
      <c r="E393" s="2" t="e">
        <f>_xlfn.XLOOKUP(A393,转单情况!A:A,转单情况!B:B)</f>
        <v>#N/A</v>
      </c>
      <c r="G393" s="28">
        <f>ROUND(_xlfn.XLOOKUP(A393,全量!A:A,全量!B:B,0)/7,1)</f>
        <v>0</v>
      </c>
      <c r="H393" s="2">
        <f>ROUND(_xlfn.XLOOKUP(A393,AE!A:A,AE!B:B,0)/7,1)</f>
        <v>0</v>
      </c>
      <c r="I393" s="2" t="str">
        <f>_xlfn.XLOOKUP(A393,SWFTX邮编覆盖!A:A,SWFTX邮编覆盖!B:B,"否")</f>
        <v>否</v>
      </c>
      <c r="J393" s="2" t="str">
        <f>_xlfn.XLOOKUP(A393,YW邮编覆盖!A:A,YW邮编覆盖!B:B,"否")</f>
        <v>是</v>
      </c>
    </row>
    <row r="394" spans="1:10">
      <c r="A394" s="3">
        <v>90609</v>
      </c>
      <c r="B394" s="1" t="s">
        <v>162</v>
      </c>
      <c r="C394" s="2" t="e">
        <f>_xlfn.XLOOKUP(B394,线路DSP对应!A:A,线路DSP对应!B:B)</f>
        <v>#N/A</v>
      </c>
      <c r="D394" s="4" t="s">
        <v>147</v>
      </c>
      <c r="E394" s="2" t="e">
        <f>_xlfn.XLOOKUP(A394,转单情况!A:A,转单情况!B:B)</f>
        <v>#N/A</v>
      </c>
      <c r="G394" s="28">
        <f>ROUND(_xlfn.XLOOKUP(A394,全量!A:A,全量!B:B,0)/7,1)</f>
        <v>0</v>
      </c>
      <c r="H394" s="2">
        <f>ROUND(_xlfn.XLOOKUP(A394,AE!A:A,AE!B:B,0)/7,1)</f>
        <v>0</v>
      </c>
      <c r="I394" s="2" t="str">
        <f>_xlfn.XLOOKUP(A394,SWFTX邮编覆盖!A:A,SWFTX邮编覆盖!B:B,"否")</f>
        <v>否</v>
      </c>
      <c r="J394" s="2" t="str">
        <f>_xlfn.XLOOKUP(A394,YW邮编覆盖!A:A,YW邮编覆盖!B:B,"否")</f>
        <v>是</v>
      </c>
    </row>
    <row r="395" spans="1:10">
      <c r="A395" s="3">
        <v>90610</v>
      </c>
      <c r="B395" s="1" t="s">
        <v>162</v>
      </c>
      <c r="C395" s="2" t="e">
        <f>_xlfn.XLOOKUP(B395,线路DSP对应!A:A,线路DSP对应!B:B)</f>
        <v>#N/A</v>
      </c>
      <c r="D395" s="4" t="s">
        <v>147</v>
      </c>
      <c r="E395" s="2" t="e">
        <f>_xlfn.XLOOKUP(A395,转单情况!A:A,转单情况!B:B)</f>
        <v>#N/A</v>
      </c>
      <c r="G395" s="28">
        <f>ROUND(_xlfn.XLOOKUP(A395,全量!A:A,全量!B:B,0)/7,1)</f>
        <v>0</v>
      </c>
      <c r="H395" s="2">
        <f>ROUND(_xlfn.XLOOKUP(A395,AE!A:A,AE!B:B,0)/7,1)</f>
        <v>0</v>
      </c>
      <c r="I395" s="2" t="str">
        <f>_xlfn.XLOOKUP(A395,SWFTX邮编覆盖!A:A,SWFTX邮编覆盖!B:B,"否")</f>
        <v>否</v>
      </c>
      <c r="J395" s="2" t="str">
        <f>_xlfn.XLOOKUP(A395,YW邮编覆盖!A:A,YW邮编覆盖!B:B,"否")</f>
        <v>是</v>
      </c>
    </row>
    <row r="396" spans="1:10">
      <c r="A396" s="3">
        <v>90091</v>
      </c>
      <c r="B396" s="1" t="s">
        <v>162</v>
      </c>
      <c r="C396" s="2" t="e">
        <f>_xlfn.XLOOKUP(B396,线路DSP对应!A:A,线路DSP对应!B:B)</f>
        <v>#N/A</v>
      </c>
      <c r="D396" s="4" t="s">
        <v>147</v>
      </c>
      <c r="E396" s="2" t="e">
        <f>_xlfn.XLOOKUP(A396,转单情况!A:A,转单情况!B:B)</f>
        <v>#N/A</v>
      </c>
      <c r="G396" s="28">
        <f>ROUND(_xlfn.XLOOKUP(A396,全量!A:A,全量!B:B,0)/7,1)</f>
        <v>0</v>
      </c>
      <c r="H396" s="2">
        <f>ROUND(_xlfn.XLOOKUP(A396,AE!A:A,AE!B:B,0)/7,1)</f>
        <v>0</v>
      </c>
      <c r="I396" s="2" t="str">
        <f>_xlfn.XLOOKUP(A396,SWFTX邮编覆盖!A:A,SWFTX邮编覆盖!B:B,"否")</f>
        <v>否</v>
      </c>
      <c r="J396" s="2" t="str">
        <f>_xlfn.XLOOKUP(A396,YW邮编覆盖!A:A,YW邮编覆盖!B:B,"否")</f>
        <v>是</v>
      </c>
    </row>
    <row r="397" spans="1:10">
      <c r="A397" s="3">
        <v>90239</v>
      </c>
      <c r="B397" s="1" t="s">
        <v>162</v>
      </c>
      <c r="C397" s="2" t="e">
        <f>_xlfn.XLOOKUP(B397,线路DSP对应!A:A,线路DSP对应!B:B)</f>
        <v>#N/A</v>
      </c>
      <c r="D397" s="4" t="s">
        <v>147</v>
      </c>
      <c r="E397" s="2" t="e">
        <f>_xlfn.XLOOKUP(A397,转单情况!A:A,转单情况!B:B)</f>
        <v>#N/A</v>
      </c>
      <c r="G397" s="28">
        <f>ROUND(_xlfn.XLOOKUP(A397,全量!A:A,全量!B:B,0)/7,1)</f>
        <v>0</v>
      </c>
      <c r="H397" s="2">
        <f>ROUND(_xlfn.XLOOKUP(A397,AE!A:A,AE!B:B,0)/7,1)</f>
        <v>0</v>
      </c>
      <c r="I397" s="2" t="str">
        <f>_xlfn.XLOOKUP(A397,SWFTX邮编覆盖!A:A,SWFTX邮编覆盖!B:B,"否")</f>
        <v>否</v>
      </c>
      <c r="J397" s="2" t="str">
        <f>_xlfn.XLOOKUP(A397,YW邮编覆盖!A:A,YW邮编覆盖!B:B,"否")</f>
        <v>是</v>
      </c>
    </row>
    <row r="398" spans="1:10">
      <c r="A398" s="3">
        <v>90707</v>
      </c>
      <c r="B398" s="1" t="s">
        <v>162</v>
      </c>
      <c r="C398" s="2" t="e">
        <f>_xlfn.XLOOKUP(B398,线路DSP对应!A:A,线路DSP对应!B:B)</f>
        <v>#N/A</v>
      </c>
      <c r="D398" s="4" t="s">
        <v>147</v>
      </c>
      <c r="E398" s="2" t="e">
        <f>_xlfn.XLOOKUP(A398,转单情况!A:A,转单情况!B:B)</f>
        <v>#N/A</v>
      </c>
      <c r="G398" s="28">
        <f>ROUND(_xlfn.XLOOKUP(A398,全量!A:A,全量!B:B,0)/7,1)</f>
        <v>0</v>
      </c>
      <c r="H398" s="2">
        <f>ROUND(_xlfn.XLOOKUP(A398,AE!A:A,AE!B:B,0)/7,1)</f>
        <v>0</v>
      </c>
      <c r="I398" s="2" t="str">
        <f>_xlfn.XLOOKUP(A398,SWFTX邮编覆盖!A:A,SWFTX邮编覆盖!B:B,"否")</f>
        <v>否</v>
      </c>
      <c r="J398" s="2" t="str">
        <f>_xlfn.XLOOKUP(A398,YW邮编覆盖!A:A,YW邮编覆盖!B:B,"否")</f>
        <v>是</v>
      </c>
    </row>
    <row r="399" spans="1:10">
      <c r="A399" s="3">
        <v>90671</v>
      </c>
      <c r="B399" s="1" t="s">
        <v>162</v>
      </c>
      <c r="C399" s="2" t="e">
        <f>_xlfn.XLOOKUP(B399,线路DSP对应!A:A,线路DSP对应!B:B)</f>
        <v>#N/A</v>
      </c>
      <c r="D399" s="4" t="s">
        <v>147</v>
      </c>
      <c r="E399" s="2" t="e">
        <f>_xlfn.XLOOKUP(A399,转单情况!A:A,转单情况!B:B)</f>
        <v>#N/A</v>
      </c>
      <c r="G399" s="28">
        <f>ROUND(_xlfn.XLOOKUP(A399,全量!A:A,全量!B:B,0)/7,1)</f>
        <v>0</v>
      </c>
      <c r="H399" s="2">
        <f>ROUND(_xlfn.XLOOKUP(A399,AE!A:A,AE!B:B,0)/7,1)</f>
        <v>0</v>
      </c>
      <c r="I399" s="2" t="str">
        <f>_xlfn.XLOOKUP(A399,SWFTX邮编覆盖!A:A,SWFTX邮编覆盖!B:B,"否")</f>
        <v>否</v>
      </c>
      <c r="J399" s="2" t="str">
        <f>_xlfn.XLOOKUP(A399,YW邮编覆盖!A:A,YW邮编覆盖!B:B,"否")</f>
        <v>是</v>
      </c>
    </row>
    <row r="400" spans="1:10">
      <c r="A400" s="3">
        <v>90651</v>
      </c>
      <c r="B400" s="1" t="s">
        <v>162</v>
      </c>
      <c r="C400" s="2" t="e">
        <f>_xlfn.XLOOKUP(B400,线路DSP对应!A:A,线路DSP对应!B:B)</f>
        <v>#N/A</v>
      </c>
      <c r="D400" s="4" t="s">
        <v>147</v>
      </c>
      <c r="E400" s="2" t="e">
        <f>_xlfn.XLOOKUP(A400,转单情况!A:A,转单情况!B:B)</f>
        <v>#N/A</v>
      </c>
      <c r="G400" s="28">
        <f>ROUND(_xlfn.XLOOKUP(A400,全量!A:A,全量!B:B,0)/7,1)</f>
        <v>0</v>
      </c>
      <c r="H400" s="2">
        <f>ROUND(_xlfn.XLOOKUP(A400,AE!A:A,AE!B:B,0)/7,1)</f>
        <v>0</v>
      </c>
      <c r="I400" s="2" t="str">
        <f>_xlfn.XLOOKUP(A400,SWFTX邮编覆盖!A:A,SWFTX邮编覆盖!B:B,"否")</f>
        <v>否</v>
      </c>
      <c r="J400" s="2" t="str">
        <f>_xlfn.XLOOKUP(A400,YW邮编覆盖!A:A,YW邮编覆盖!B:B,"否")</f>
        <v>是</v>
      </c>
    </row>
    <row r="401" spans="1:10">
      <c r="A401" s="3">
        <v>90652</v>
      </c>
      <c r="B401" s="1" t="s">
        <v>162</v>
      </c>
      <c r="C401" s="2" t="e">
        <f>_xlfn.XLOOKUP(B401,线路DSP对应!A:A,线路DSP对应!B:B)</f>
        <v>#N/A</v>
      </c>
      <c r="D401" s="4" t="s">
        <v>147</v>
      </c>
      <c r="E401" s="2" t="e">
        <f>_xlfn.XLOOKUP(A401,转单情况!A:A,转单情况!B:B)</f>
        <v>#N/A</v>
      </c>
      <c r="G401" s="28">
        <f>ROUND(_xlfn.XLOOKUP(A401,全量!A:A,全量!B:B,0)/7,1)</f>
        <v>0</v>
      </c>
      <c r="H401" s="2">
        <f>ROUND(_xlfn.XLOOKUP(A401,AE!A:A,AE!B:B,0)/7,1)</f>
        <v>0</v>
      </c>
      <c r="I401" s="2" t="str">
        <f>_xlfn.XLOOKUP(A401,SWFTX邮编覆盖!A:A,SWFTX邮编覆盖!B:B,"否")</f>
        <v>否</v>
      </c>
      <c r="J401" s="2" t="str">
        <f>_xlfn.XLOOKUP(A401,YW邮编覆盖!A:A,YW邮编覆盖!B:B,"否")</f>
        <v>是</v>
      </c>
    </row>
    <row r="402" spans="1:10">
      <c r="A402" s="3">
        <v>90637</v>
      </c>
      <c r="B402" s="1" t="s">
        <v>162</v>
      </c>
      <c r="C402" s="2" t="e">
        <f>_xlfn.XLOOKUP(B402,线路DSP对应!A:A,线路DSP对应!B:B)</f>
        <v>#N/A</v>
      </c>
      <c r="D402" s="4" t="s">
        <v>147</v>
      </c>
      <c r="E402" s="2" t="e">
        <f>_xlfn.XLOOKUP(A402,转单情况!A:A,转单情况!B:B)</f>
        <v>#N/A</v>
      </c>
      <c r="G402" s="28">
        <f>ROUND(_xlfn.XLOOKUP(A402,全量!A:A,全量!B:B,0)/7,1)</f>
        <v>0</v>
      </c>
      <c r="H402" s="2">
        <f>ROUND(_xlfn.XLOOKUP(A402,AE!A:A,AE!B:B,0)/7,1)</f>
        <v>0</v>
      </c>
      <c r="I402" s="2" t="str">
        <f>_xlfn.XLOOKUP(A402,SWFTX邮编覆盖!A:A,SWFTX邮编覆盖!B:B,"否")</f>
        <v>否</v>
      </c>
      <c r="J402" s="2" t="str">
        <f>_xlfn.XLOOKUP(A402,YW邮编覆盖!A:A,YW邮编覆盖!B:B,"否")</f>
        <v>是</v>
      </c>
    </row>
    <row r="403" spans="1:10" hidden="1">
      <c r="A403" s="3">
        <v>90748</v>
      </c>
      <c r="B403" s="1" t="s">
        <v>162</v>
      </c>
      <c r="C403" s="2" t="e">
        <f>_xlfn.XLOOKUP(B403,线路DSP对应!A:A,线路DSP对应!B:B)</f>
        <v>#N/A</v>
      </c>
      <c r="D403" s="4" t="s">
        <v>147</v>
      </c>
      <c r="E403" s="2" t="e">
        <f>_xlfn.XLOOKUP(A403,转单情况!A:A,转单情况!B:B)</f>
        <v>#N/A</v>
      </c>
      <c r="G403" s="28">
        <f>ROUND(_xlfn.XLOOKUP(A403,全量!A:A,全量!B:B,0)/7,1)</f>
        <v>0</v>
      </c>
      <c r="H403" s="2">
        <f>ROUND(_xlfn.XLOOKUP(A403,AE!A:A,AE!B:B,0)/7,1)</f>
        <v>0</v>
      </c>
      <c r="I403" s="2" t="str">
        <f>_xlfn.XLOOKUP(A403,SWFTX邮编覆盖!A:A,SWFTX邮编覆盖!B:B,"否")</f>
        <v>否</v>
      </c>
      <c r="J403" s="2" t="str">
        <f>_xlfn.XLOOKUP(A403,YW邮编覆盖!A:A,YW邮编覆盖!B:B,"否")</f>
        <v>否</v>
      </c>
    </row>
    <row r="404" spans="1:10" hidden="1">
      <c r="A404" s="3">
        <v>90711</v>
      </c>
      <c r="B404" s="1" t="s">
        <v>162</v>
      </c>
      <c r="C404" s="2" t="e">
        <f>_xlfn.XLOOKUP(B404,线路DSP对应!A:A,线路DSP对应!B:B)</f>
        <v>#N/A</v>
      </c>
      <c r="D404" s="4" t="s">
        <v>147</v>
      </c>
      <c r="E404" s="2" t="e">
        <f>_xlfn.XLOOKUP(A404,转单情况!A:A,转单情况!B:B)</f>
        <v>#N/A</v>
      </c>
      <c r="G404" s="28">
        <f>ROUND(_xlfn.XLOOKUP(A404,全量!A:A,全量!B:B,0)/7,1)</f>
        <v>0</v>
      </c>
      <c r="H404" s="2">
        <f>ROUND(_xlfn.XLOOKUP(A404,AE!A:A,AE!B:B,0)/7,1)</f>
        <v>0</v>
      </c>
      <c r="I404" s="2" t="str">
        <f>_xlfn.XLOOKUP(A404,SWFTX邮编覆盖!A:A,SWFTX邮编覆盖!B:B,"否")</f>
        <v>否</v>
      </c>
      <c r="J404" s="2" t="str">
        <f>_xlfn.XLOOKUP(A404,YW邮编覆盖!A:A,YW邮编覆盖!B:B,"否")</f>
        <v>否</v>
      </c>
    </row>
    <row r="405" spans="1:10">
      <c r="A405" s="3">
        <v>91771</v>
      </c>
      <c r="B405" s="1" t="s">
        <v>162</v>
      </c>
      <c r="C405" s="2" t="e">
        <f>_xlfn.XLOOKUP(B405,线路DSP对应!A:A,线路DSP对应!B:B)</f>
        <v>#N/A</v>
      </c>
      <c r="D405" s="4" t="s">
        <v>147</v>
      </c>
      <c r="E405" s="2" t="e">
        <f>_xlfn.XLOOKUP(A405,转单情况!A:A,转单情况!B:B)</f>
        <v>#N/A</v>
      </c>
      <c r="G405" s="28">
        <f>ROUND(_xlfn.XLOOKUP(A405,全量!A:A,全量!B:B,0)/7,1)</f>
        <v>0</v>
      </c>
      <c r="H405" s="2">
        <f>ROUND(_xlfn.XLOOKUP(A405,AE!A:A,AE!B:B,0)/7,1)</f>
        <v>0</v>
      </c>
      <c r="I405" s="2" t="str">
        <f>_xlfn.XLOOKUP(A405,SWFTX邮编覆盖!A:A,SWFTX邮编覆盖!B:B,"否")</f>
        <v>否</v>
      </c>
      <c r="J405" s="2" t="str">
        <f>_xlfn.XLOOKUP(A405,YW邮编覆盖!A:A,YW邮编覆盖!B:B,"否")</f>
        <v>是</v>
      </c>
    </row>
    <row r="406" spans="1:10">
      <c r="A406" s="3">
        <v>91772</v>
      </c>
      <c r="B406" s="1" t="s">
        <v>162</v>
      </c>
      <c r="C406" s="2" t="e">
        <f>_xlfn.XLOOKUP(B406,线路DSP对应!A:A,线路DSP对应!B:B)</f>
        <v>#N/A</v>
      </c>
      <c r="D406" s="4" t="s">
        <v>147</v>
      </c>
      <c r="E406" s="2" t="e">
        <f>_xlfn.XLOOKUP(A406,转单情况!A:A,转单情况!B:B)</f>
        <v>#N/A</v>
      </c>
      <c r="G406" s="28">
        <f>ROUND(_xlfn.XLOOKUP(A406,全量!A:A,全量!B:B,0)/7,1)</f>
        <v>0</v>
      </c>
      <c r="H406" s="2">
        <f>ROUND(_xlfn.XLOOKUP(A406,AE!A:A,AE!B:B,0)/7,1)</f>
        <v>0</v>
      </c>
      <c r="I406" s="2" t="str">
        <f>_xlfn.XLOOKUP(A406,SWFTX邮编覆盖!A:A,SWFTX邮编覆盖!B:B,"否")</f>
        <v>否</v>
      </c>
      <c r="J406" s="2" t="str">
        <f>_xlfn.XLOOKUP(A406,YW邮编覆盖!A:A,YW邮编覆盖!B:B,"否")</f>
        <v>是</v>
      </c>
    </row>
    <row r="407" spans="1:10">
      <c r="A407" s="3">
        <v>91756</v>
      </c>
      <c r="B407" s="1" t="s">
        <v>162</v>
      </c>
      <c r="C407" s="2" t="e">
        <f>_xlfn.XLOOKUP(B407,线路DSP对应!A:A,线路DSP对应!B:B)</f>
        <v>#N/A</v>
      </c>
      <c r="D407" s="4" t="s">
        <v>147</v>
      </c>
      <c r="E407" s="2" t="e">
        <f>_xlfn.XLOOKUP(A407,转单情况!A:A,转单情况!B:B)</f>
        <v>#N/A</v>
      </c>
      <c r="G407" s="28">
        <f>ROUND(_xlfn.XLOOKUP(A407,全量!A:A,全量!B:B,0)/7,1)</f>
        <v>0</v>
      </c>
      <c r="H407" s="2">
        <f>ROUND(_xlfn.XLOOKUP(A407,AE!A:A,AE!B:B,0)/7,1)</f>
        <v>0</v>
      </c>
      <c r="I407" s="2" t="str">
        <f>_xlfn.XLOOKUP(A407,SWFTX邮编覆盖!A:A,SWFTX邮编覆盖!B:B,"否")</f>
        <v>否</v>
      </c>
      <c r="J407" s="2" t="str">
        <f>_xlfn.XLOOKUP(A407,YW邮编覆盖!A:A,YW邮编覆盖!B:B,"否")</f>
        <v>是</v>
      </c>
    </row>
    <row r="408" spans="1:10">
      <c r="A408" s="3">
        <v>91802</v>
      </c>
      <c r="B408" s="1" t="s">
        <v>162</v>
      </c>
      <c r="C408" s="2" t="e">
        <f>_xlfn.XLOOKUP(B408,线路DSP对应!A:A,线路DSP对应!B:B)</f>
        <v>#N/A</v>
      </c>
      <c r="D408" s="4" t="s">
        <v>147</v>
      </c>
      <c r="E408" s="2" t="e">
        <f>_xlfn.XLOOKUP(A408,转单情况!A:A,转单情况!B:B)</f>
        <v>#N/A</v>
      </c>
      <c r="G408" s="28">
        <f>ROUND(_xlfn.XLOOKUP(A408,全量!A:A,全量!B:B,0)/7,1)</f>
        <v>0</v>
      </c>
      <c r="H408" s="2">
        <f>ROUND(_xlfn.XLOOKUP(A408,AE!A:A,AE!B:B,0)/7,1)</f>
        <v>0</v>
      </c>
      <c r="I408" s="2" t="str">
        <f>_xlfn.XLOOKUP(A408,SWFTX邮编覆盖!A:A,SWFTX邮编覆盖!B:B,"否")</f>
        <v>否</v>
      </c>
      <c r="J408" s="2" t="str">
        <f>_xlfn.XLOOKUP(A408,YW邮编覆盖!A:A,YW邮编覆盖!B:B,"否")</f>
        <v>是</v>
      </c>
    </row>
    <row r="409" spans="1:10">
      <c r="A409" s="3">
        <v>91804</v>
      </c>
      <c r="B409" s="1" t="s">
        <v>162</v>
      </c>
      <c r="C409" s="2" t="e">
        <f>_xlfn.XLOOKUP(B409,线路DSP对应!A:A,线路DSP对应!B:B)</f>
        <v>#N/A</v>
      </c>
      <c r="D409" s="4" t="s">
        <v>147</v>
      </c>
      <c r="E409" s="2" t="e">
        <f>_xlfn.XLOOKUP(A409,转单情况!A:A,转单情况!B:B)</f>
        <v>#N/A</v>
      </c>
      <c r="G409" s="28">
        <f>ROUND(_xlfn.XLOOKUP(A409,全量!A:A,全量!B:B,0)/7,1)</f>
        <v>0</v>
      </c>
      <c r="H409" s="2">
        <f>ROUND(_xlfn.XLOOKUP(A409,AE!A:A,AE!B:B,0)/7,1)</f>
        <v>0</v>
      </c>
      <c r="I409" s="2" t="str">
        <f>_xlfn.XLOOKUP(A409,SWFTX邮编覆盖!A:A,SWFTX邮编覆盖!B:B,"否")</f>
        <v>否</v>
      </c>
      <c r="J409" s="2" t="str">
        <f>_xlfn.XLOOKUP(A409,YW邮编覆盖!A:A,YW邮编覆盖!B:B,"否")</f>
        <v>是</v>
      </c>
    </row>
    <row r="410" spans="1:10">
      <c r="A410" s="3">
        <v>91896</v>
      </c>
      <c r="B410" s="1" t="s">
        <v>162</v>
      </c>
      <c r="C410" s="2" t="e">
        <f>_xlfn.XLOOKUP(B410,线路DSP对应!A:A,线路DSP对应!B:B)</f>
        <v>#N/A</v>
      </c>
      <c r="D410" s="4" t="s">
        <v>147</v>
      </c>
      <c r="E410" s="2" t="e">
        <f>_xlfn.XLOOKUP(A410,转单情况!A:A,转单情况!B:B)</f>
        <v>#N/A</v>
      </c>
      <c r="G410" s="28">
        <f>ROUND(_xlfn.XLOOKUP(A410,全量!A:A,全量!B:B,0)/7,1)</f>
        <v>0</v>
      </c>
      <c r="H410" s="2">
        <f>ROUND(_xlfn.XLOOKUP(A410,AE!A:A,AE!B:B,0)/7,1)</f>
        <v>0</v>
      </c>
      <c r="I410" s="2" t="str">
        <f>_xlfn.XLOOKUP(A410,SWFTX邮编覆盖!A:A,SWFTX邮编覆盖!B:B,"否")</f>
        <v>否</v>
      </c>
      <c r="J410" s="2" t="str">
        <f>_xlfn.XLOOKUP(A410,YW邮编覆盖!A:A,YW邮编覆盖!B:B,"否")</f>
        <v>是</v>
      </c>
    </row>
    <row r="411" spans="1:10">
      <c r="A411" s="3">
        <v>91899</v>
      </c>
      <c r="B411" s="1" t="s">
        <v>162</v>
      </c>
      <c r="C411" s="2" t="e">
        <f>_xlfn.XLOOKUP(B411,线路DSP对应!A:A,线路DSP对应!B:B)</f>
        <v>#N/A</v>
      </c>
      <c r="D411" s="4" t="s">
        <v>147</v>
      </c>
      <c r="E411" s="2" t="e">
        <f>_xlfn.XLOOKUP(A411,转单情况!A:A,转单情况!B:B)</f>
        <v>#N/A</v>
      </c>
      <c r="G411" s="28">
        <f>ROUND(_xlfn.XLOOKUP(A411,全量!A:A,全量!B:B,0)/7,1)</f>
        <v>0</v>
      </c>
      <c r="H411" s="2">
        <f>ROUND(_xlfn.XLOOKUP(A411,AE!A:A,AE!B:B,0)/7,1)</f>
        <v>0</v>
      </c>
      <c r="I411" s="2" t="str">
        <f>_xlfn.XLOOKUP(A411,SWFTX邮编覆盖!A:A,SWFTX邮编覆盖!B:B,"否")</f>
        <v>否</v>
      </c>
      <c r="J411" s="2" t="str">
        <f>_xlfn.XLOOKUP(A411,YW邮编覆盖!A:A,YW邮编覆盖!B:B,"否")</f>
        <v>是</v>
      </c>
    </row>
    <row r="412" spans="1:10">
      <c r="A412" s="3">
        <v>91778</v>
      </c>
      <c r="B412" s="1" t="s">
        <v>162</v>
      </c>
      <c r="C412" s="2" t="e">
        <f>_xlfn.XLOOKUP(B412,线路DSP对应!A:A,线路DSP对应!B:B)</f>
        <v>#N/A</v>
      </c>
      <c r="D412" s="4" t="s">
        <v>147</v>
      </c>
      <c r="E412" s="2" t="e">
        <f>_xlfn.XLOOKUP(A412,转单情况!A:A,转单情况!B:B)</f>
        <v>#N/A</v>
      </c>
      <c r="G412" s="28">
        <f>ROUND(_xlfn.XLOOKUP(A412,全量!A:A,全量!B:B,0)/7,1)</f>
        <v>0</v>
      </c>
      <c r="H412" s="2">
        <f>ROUND(_xlfn.XLOOKUP(A412,AE!A:A,AE!B:B,0)/7,1)</f>
        <v>0</v>
      </c>
      <c r="I412" s="2" t="str">
        <f>_xlfn.XLOOKUP(A412,SWFTX邮编覆盖!A:A,SWFTX邮编覆盖!B:B,"否")</f>
        <v>否</v>
      </c>
      <c r="J412" s="2" t="str">
        <f>_xlfn.XLOOKUP(A412,YW邮编覆盖!A:A,YW邮编覆盖!B:B,"否")</f>
        <v>是</v>
      </c>
    </row>
    <row r="413" spans="1:10" hidden="1">
      <c r="A413" s="3">
        <v>90261</v>
      </c>
      <c r="B413" s="1" t="s">
        <v>162</v>
      </c>
      <c r="C413" s="2" t="e">
        <f>_xlfn.XLOOKUP(B413,线路DSP对应!A:A,线路DSP对应!B:B)</f>
        <v>#N/A</v>
      </c>
      <c r="D413" s="4" t="s">
        <v>147</v>
      </c>
      <c r="E413" s="2" t="e">
        <f>_xlfn.XLOOKUP(A413,转单情况!A:A,转单情况!B:B)</f>
        <v>#N/A</v>
      </c>
      <c r="G413" s="28">
        <f>ROUND(_xlfn.XLOOKUP(A413,全量!A:A,全量!B:B,0)/7,1)</f>
        <v>0</v>
      </c>
      <c r="H413" s="2">
        <f>ROUND(_xlfn.XLOOKUP(A413,AE!A:A,AE!B:B,0)/7,1)</f>
        <v>0</v>
      </c>
      <c r="I413" s="2" t="str">
        <f>_xlfn.XLOOKUP(A413,SWFTX邮编覆盖!A:A,SWFTX邮编覆盖!B:B,"否")</f>
        <v>否</v>
      </c>
      <c r="J413" s="2" t="str">
        <f>_xlfn.XLOOKUP(A413,YW邮编覆盖!A:A,YW邮编覆盖!B:B,"否")</f>
        <v>否</v>
      </c>
    </row>
    <row r="414" spans="1:10">
      <c r="A414" s="3">
        <v>91734</v>
      </c>
      <c r="B414" s="1" t="s">
        <v>162</v>
      </c>
      <c r="C414" s="2" t="e">
        <f>_xlfn.XLOOKUP(B414,线路DSP对应!A:A,线路DSP对应!B:B)</f>
        <v>#N/A</v>
      </c>
      <c r="D414" s="4" t="s">
        <v>147</v>
      </c>
      <c r="E414" s="2" t="e">
        <f>_xlfn.XLOOKUP(A414,转单情况!A:A,转单情况!B:B)</f>
        <v>#N/A</v>
      </c>
      <c r="G414" s="28">
        <f>ROUND(_xlfn.XLOOKUP(A414,全量!A:A,全量!B:B,0)/7,1)</f>
        <v>0</v>
      </c>
      <c r="H414" s="2">
        <f>ROUND(_xlfn.XLOOKUP(A414,AE!A:A,AE!B:B,0)/7,1)</f>
        <v>0</v>
      </c>
      <c r="I414" s="2" t="str">
        <f>_xlfn.XLOOKUP(A414,SWFTX邮编覆盖!A:A,SWFTX邮编覆盖!B:B,"否")</f>
        <v>否</v>
      </c>
      <c r="J414" s="2" t="str">
        <f>_xlfn.XLOOKUP(A414,YW邮编覆盖!A:A,YW邮编覆盖!B:B,"否")</f>
        <v>是</v>
      </c>
    </row>
    <row r="415" spans="1:10">
      <c r="A415" s="3">
        <v>91735</v>
      </c>
      <c r="B415" s="1" t="s">
        <v>162</v>
      </c>
      <c r="C415" s="2" t="e">
        <f>_xlfn.XLOOKUP(B415,线路DSP对应!A:A,线路DSP对应!B:B)</f>
        <v>#N/A</v>
      </c>
      <c r="D415" s="4" t="s">
        <v>147</v>
      </c>
      <c r="E415" s="2" t="e">
        <f>_xlfn.XLOOKUP(A415,转单情况!A:A,转单情况!B:B)</f>
        <v>#N/A</v>
      </c>
      <c r="G415" s="28">
        <f>ROUND(_xlfn.XLOOKUP(A415,全量!A:A,全量!B:B,0)/7,1)</f>
        <v>0</v>
      </c>
      <c r="H415" s="2">
        <f>ROUND(_xlfn.XLOOKUP(A415,AE!A:A,AE!B:B,0)/7,1)</f>
        <v>0</v>
      </c>
      <c r="I415" s="2" t="str">
        <f>_xlfn.XLOOKUP(A415,SWFTX邮编覆盖!A:A,SWFTX邮编覆盖!B:B,"否")</f>
        <v>否</v>
      </c>
      <c r="J415" s="2" t="str">
        <f>_xlfn.XLOOKUP(A415,YW邮编覆盖!A:A,YW邮编覆盖!B:B,"否")</f>
        <v>是</v>
      </c>
    </row>
    <row r="416" spans="1:10">
      <c r="A416" s="3">
        <v>91793</v>
      </c>
      <c r="B416" s="1" t="s">
        <v>162</v>
      </c>
      <c r="C416" s="2" t="e">
        <f>_xlfn.XLOOKUP(B416,线路DSP对应!A:A,线路DSP对应!B:B)</f>
        <v>#N/A</v>
      </c>
      <c r="D416" s="4" t="s">
        <v>147</v>
      </c>
      <c r="E416" s="2" t="e">
        <f>_xlfn.XLOOKUP(A416,转单情况!A:A,转单情况!B:B)</f>
        <v>#N/A</v>
      </c>
      <c r="G416" s="28">
        <f>ROUND(_xlfn.XLOOKUP(A416,全量!A:A,全量!B:B,0)/7,1)</f>
        <v>0</v>
      </c>
      <c r="H416" s="2">
        <f>ROUND(_xlfn.XLOOKUP(A416,AE!A:A,AE!B:B,0)/7,1)</f>
        <v>0</v>
      </c>
      <c r="I416" s="2" t="str">
        <f>_xlfn.XLOOKUP(A416,SWFTX邮编覆盖!A:A,SWFTX邮编覆盖!B:B,"否")</f>
        <v>否</v>
      </c>
      <c r="J416" s="2" t="str">
        <f>_xlfn.XLOOKUP(A416,YW邮编覆盖!A:A,YW邮编覆盖!B:B,"否")</f>
        <v>是</v>
      </c>
    </row>
    <row r="417" spans="1:10" hidden="1">
      <c r="A417" s="3">
        <v>93650</v>
      </c>
      <c r="B417" s="1" t="s">
        <v>80</v>
      </c>
      <c r="C417" s="2" t="str">
        <f>_xlfn.XLOOKUP(B417,线路DSP对应!A:A,线路DSP对应!B:B)</f>
        <v>STA_LAX_LASTMILE</v>
      </c>
      <c r="D417" s="4" t="s">
        <v>146</v>
      </c>
      <c r="E417" s="2" t="str">
        <f>_xlfn.XLOOKUP(A417,转单情况!A:A,转单情况!B:B)</f>
        <v>否</v>
      </c>
      <c r="G417" s="28">
        <f>ROUND(_xlfn.XLOOKUP(A417,全量!A:A,全量!B:B,0)/7,1)</f>
        <v>3.3</v>
      </c>
      <c r="H417" s="2">
        <f>ROUND(_xlfn.XLOOKUP(A417,AE!A:A,AE!B:B,0)/7,1)</f>
        <v>1.6</v>
      </c>
      <c r="I417" s="2" t="str">
        <f>_xlfn.XLOOKUP(A417,SWFTX邮编覆盖!A:A,SWFTX邮编覆盖!B:B,"否")</f>
        <v>否</v>
      </c>
      <c r="J417" s="2" t="str">
        <f>_xlfn.XLOOKUP(A417,YW邮编覆盖!A:A,YW邮编覆盖!B:B,"否")</f>
        <v>否</v>
      </c>
    </row>
    <row r="418" spans="1:10" hidden="1">
      <c r="A418" s="3">
        <v>93711</v>
      </c>
      <c r="B418" s="1" t="s">
        <v>80</v>
      </c>
      <c r="C418" s="2" t="str">
        <f>_xlfn.XLOOKUP(B418,线路DSP对应!A:A,线路DSP对应!B:B)</f>
        <v>STA_LAX_LASTMILE</v>
      </c>
      <c r="D418" s="4" t="s">
        <v>146</v>
      </c>
      <c r="E418" s="2" t="str">
        <f>_xlfn.XLOOKUP(A418,转单情况!A:A,转单情况!B:B)</f>
        <v>否</v>
      </c>
      <c r="G418" s="28">
        <f>ROUND(_xlfn.XLOOKUP(A418,全量!A:A,全量!B:B,0)/7,1)</f>
        <v>23</v>
      </c>
      <c r="H418" s="2">
        <f>ROUND(_xlfn.XLOOKUP(A418,AE!A:A,AE!B:B,0)/7,1)</f>
        <v>7.4</v>
      </c>
      <c r="I418" s="2" t="str">
        <f>_xlfn.XLOOKUP(A418,SWFTX邮编覆盖!A:A,SWFTX邮编覆盖!B:B,"否")</f>
        <v>是</v>
      </c>
      <c r="J418" s="2" t="str">
        <f>_xlfn.XLOOKUP(A418,YW邮编覆盖!A:A,YW邮编覆盖!B:B,"否")</f>
        <v>否</v>
      </c>
    </row>
    <row r="419" spans="1:10" hidden="1">
      <c r="A419" s="3">
        <v>93720</v>
      </c>
      <c r="B419" s="1" t="s">
        <v>80</v>
      </c>
      <c r="C419" s="2" t="str">
        <f>_xlfn.XLOOKUP(B419,线路DSP对应!A:A,线路DSP对应!B:B)</f>
        <v>STA_LAX_LASTMILE</v>
      </c>
      <c r="D419" s="4" t="s">
        <v>146</v>
      </c>
      <c r="E419" s="2" t="str">
        <f>_xlfn.XLOOKUP(A419,转单情况!A:A,转单情况!B:B)</f>
        <v>否</v>
      </c>
      <c r="G419" s="28">
        <f>ROUND(_xlfn.XLOOKUP(A419,全量!A:A,全量!B:B,0)/7,1)</f>
        <v>31.6</v>
      </c>
      <c r="H419" s="2">
        <f>ROUND(_xlfn.XLOOKUP(A419,AE!A:A,AE!B:B,0)/7,1)</f>
        <v>11.6</v>
      </c>
      <c r="I419" s="2" t="str">
        <f>_xlfn.XLOOKUP(A419,SWFTX邮编覆盖!A:A,SWFTX邮编覆盖!B:B,"否")</f>
        <v>是</v>
      </c>
      <c r="J419" s="2" t="str">
        <f>_xlfn.XLOOKUP(A419,YW邮编覆盖!A:A,YW邮编覆盖!B:B,"否")</f>
        <v>否</v>
      </c>
    </row>
    <row r="420" spans="1:10" hidden="1">
      <c r="A420" s="3">
        <v>93722</v>
      </c>
      <c r="B420" s="1" t="s">
        <v>80</v>
      </c>
      <c r="C420" s="2" t="str">
        <f>_xlfn.XLOOKUP(B420,线路DSP对应!A:A,线路DSP对应!B:B)</f>
        <v>STA_LAX_LASTMILE</v>
      </c>
      <c r="D420" s="4" t="s">
        <v>146</v>
      </c>
      <c r="E420" s="2" t="str">
        <f>_xlfn.XLOOKUP(A420,转单情况!A:A,转单情况!B:B)</f>
        <v>否</v>
      </c>
      <c r="G420" s="28">
        <f>ROUND(_xlfn.XLOOKUP(A420,全量!A:A,全量!B:B,0)/7,1)</f>
        <v>46.4</v>
      </c>
      <c r="H420" s="2">
        <f>ROUND(_xlfn.XLOOKUP(A420,AE!A:A,AE!B:B,0)/7,1)</f>
        <v>17.600000000000001</v>
      </c>
      <c r="I420" s="2" t="str">
        <f>_xlfn.XLOOKUP(A420,SWFTX邮编覆盖!A:A,SWFTX邮编覆盖!B:B,"否")</f>
        <v>是</v>
      </c>
      <c r="J420" s="2" t="str">
        <f>_xlfn.XLOOKUP(A420,YW邮编覆盖!A:A,YW邮编覆盖!B:B,"否")</f>
        <v>否</v>
      </c>
    </row>
    <row r="421" spans="1:10" hidden="1">
      <c r="A421" s="3">
        <v>93723</v>
      </c>
      <c r="B421" s="1" t="s">
        <v>80</v>
      </c>
      <c r="C421" s="2" t="str">
        <f>_xlfn.XLOOKUP(B421,线路DSP对应!A:A,线路DSP对应!B:B)</f>
        <v>STA_LAX_LASTMILE</v>
      </c>
      <c r="D421" s="4" t="s">
        <v>146</v>
      </c>
      <c r="E421" s="2" t="str">
        <f>_xlfn.XLOOKUP(A421,转单情况!A:A,转单情况!B:B)</f>
        <v>否</v>
      </c>
      <c r="G421" s="28">
        <f>ROUND(_xlfn.XLOOKUP(A421,全量!A:A,全量!B:B,0)/7,1)</f>
        <v>11</v>
      </c>
      <c r="H421" s="2">
        <f>ROUND(_xlfn.XLOOKUP(A421,AE!A:A,AE!B:B,0)/7,1)</f>
        <v>3.3</v>
      </c>
      <c r="I421" s="2" t="str">
        <f>_xlfn.XLOOKUP(A421,SWFTX邮编覆盖!A:A,SWFTX邮编覆盖!B:B,"否")</f>
        <v>是</v>
      </c>
      <c r="J421" s="2" t="str">
        <f>_xlfn.XLOOKUP(A421,YW邮编覆盖!A:A,YW邮编覆盖!B:B,"否")</f>
        <v>否</v>
      </c>
    </row>
    <row r="422" spans="1:10" hidden="1">
      <c r="A422" s="3">
        <v>93730</v>
      </c>
      <c r="B422" s="1" t="s">
        <v>80</v>
      </c>
      <c r="C422" s="2" t="str">
        <f>_xlfn.XLOOKUP(B422,线路DSP对应!A:A,线路DSP对应!B:B)</f>
        <v>STA_LAX_LASTMILE</v>
      </c>
      <c r="D422" s="4" t="s">
        <v>146</v>
      </c>
      <c r="E422" s="2" t="str">
        <f>_xlfn.XLOOKUP(A422,转单情况!A:A,转单情况!B:B)</f>
        <v>否</v>
      </c>
      <c r="G422" s="28">
        <f>ROUND(_xlfn.XLOOKUP(A422,全量!A:A,全量!B:B,0)/7,1)</f>
        <v>8.6999999999999993</v>
      </c>
      <c r="H422" s="2">
        <f>ROUND(_xlfn.XLOOKUP(A422,AE!A:A,AE!B:B,0)/7,1)</f>
        <v>2.7</v>
      </c>
      <c r="I422" s="2" t="str">
        <f>_xlfn.XLOOKUP(A422,SWFTX邮编覆盖!A:A,SWFTX邮编覆盖!B:B,"否")</f>
        <v>是</v>
      </c>
      <c r="J422" s="2" t="str">
        <f>_xlfn.XLOOKUP(A422,YW邮编覆盖!A:A,YW邮编覆盖!B:B,"否")</f>
        <v>否</v>
      </c>
    </row>
    <row r="423" spans="1:10" hidden="1">
      <c r="A423" s="3">
        <v>93652</v>
      </c>
      <c r="B423" s="1" t="s">
        <v>80</v>
      </c>
      <c r="C423" s="2" t="str">
        <f>_xlfn.XLOOKUP(B423,线路DSP对应!A:A,线路DSP对应!B:B)</f>
        <v>STA_LAX_LASTMILE</v>
      </c>
      <c r="D423" s="4" t="s">
        <v>146</v>
      </c>
      <c r="E423" s="2" t="str">
        <f>_xlfn.XLOOKUP(A423,转单情况!A:A,转单情况!B:B)</f>
        <v>否</v>
      </c>
      <c r="G423" s="28">
        <f>ROUND(_xlfn.XLOOKUP(A423,全量!A:A,全量!B:B,0)/7,1)</f>
        <v>0.4</v>
      </c>
      <c r="H423" s="2">
        <f>ROUND(_xlfn.XLOOKUP(A423,AE!A:A,AE!B:B,0)/7,1)</f>
        <v>0</v>
      </c>
      <c r="I423" s="2" t="str">
        <f>_xlfn.XLOOKUP(A423,SWFTX邮编覆盖!A:A,SWFTX邮编覆盖!B:B,"否")</f>
        <v>否</v>
      </c>
      <c r="J423" s="2" t="str">
        <f>_xlfn.XLOOKUP(A423,YW邮编覆盖!A:A,YW邮编覆盖!B:B,"否")</f>
        <v>否</v>
      </c>
    </row>
    <row r="424" spans="1:10" hidden="1">
      <c r="A424" s="3">
        <v>93701</v>
      </c>
      <c r="B424" s="1" t="s">
        <v>80</v>
      </c>
      <c r="C424" s="2" t="str">
        <f>_xlfn.XLOOKUP(B424,线路DSP对应!A:A,线路DSP对应!B:B)</f>
        <v>STA_LAX_LASTMILE</v>
      </c>
      <c r="D424" s="4" t="s">
        <v>146</v>
      </c>
      <c r="E424" s="2" t="str">
        <f>_xlfn.XLOOKUP(A424,转单情况!A:A,转单情况!B:B)</f>
        <v>否</v>
      </c>
      <c r="G424" s="28">
        <f>ROUND(_xlfn.XLOOKUP(A424,全量!A:A,全量!B:B,0)/7,1)</f>
        <v>8.4</v>
      </c>
      <c r="H424" s="2">
        <f>ROUND(_xlfn.XLOOKUP(A424,AE!A:A,AE!B:B,0)/7,1)</f>
        <v>4.3</v>
      </c>
      <c r="I424" s="2" t="str">
        <f>_xlfn.XLOOKUP(A424,SWFTX邮编覆盖!A:A,SWFTX邮编覆盖!B:B,"否")</f>
        <v>否</v>
      </c>
      <c r="J424" s="2" t="str">
        <f>_xlfn.XLOOKUP(A424,YW邮编覆盖!A:A,YW邮编覆盖!B:B,"否")</f>
        <v>否</v>
      </c>
    </row>
    <row r="425" spans="1:10" hidden="1">
      <c r="A425" s="3">
        <v>93702</v>
      </c>
      <c r="B425" s="1" t="s">
        <v>80</v>
      </c>
      <c r="C425" s="2" t="str">
        <f>_xlfn.XLOOKUP(B425,线路DSP对应!A:A,线路DSP对应!B:B)</f>
        <v>STA_LAX_LASTMILE</v>
      </c>
      <c r="D425" s="4" t="s">
        <v>146</v>
      </c>
      <c r="E425" s="2" t="str">
        <f>_xlfn.XLOOKUP(A425,转单情况!A:A,转单情况!B:B)</f>
        <v>否</v>
      </c>
      <c r="G425" s="28">
        <f>ROUND(_xlfn.XLOOKUP(A425,全量!A:A,全量!B:B,0)/7,1)</f>
        <v>20</v>
      </c>
      <c r="H425" s="2">
        <f>ROUND(_xlfn.XLOOKUP(A425,AE!A:A,AE!B:B,0)/7,1)</f>
        <v>12.6</v>
      </c>
      <c r="I425" s="2" t="str">
        <f>_xlfn.XLOOKUP(A425,SWFTX邮编覆盖!A:A,SWFTX邮编覆盖!B:B,"否")</f>
        <v>是</v>
      </c>
      <c r="J425" s="2" t="str">
        <f>_xlfn.XLOOKUP(A425,YW邮编覆盖!A:A,YW邮编覆盖!B:B,"否")</f>
        <v>否</v>
      </c>
    </row>
    <row r="426" spans="1:10" hidden="1">
      <c r="A426" s="3">
        <v>93703</v>
      </c>
      <c r="B426" s="1" t="s">
        <v>80</v>
      </c>
      <c r="C426" s="2" t="str">
        <f>_xlfn.XLOOKUP(B426,线路DSP对应!A:A,线路DSP对应!B:B)</f>
        <v>STA_LAX_LASTMILE</v>
      </c>
      <c r="D426" s="4" t="s">
        <v>146</v>
      </c>
      <c r="E426" s="2" t="str">
        <f>_xlfn.XLOOKUP(A426,转单情况!A:A,转单情况!B:B)</f>
        <v>否</v>
      </c>
      <c r="G426" s="28">
        <f>ROUND(_xlfn.XLOOKUP(A426,全量!A:A,全量!B:B,0)/7,1)</f>
        <v>12.1</v>
      </c>
      <c r="H426" s="2">
        <f>ROUND(_xlfn.XLOOKUP(A426,AE!A:A,AE!B:B,0)/7,1)</f>
        <v>6.6</v>
      </c>
      <c r="I426" s="2" t="str">
        <f>_xlfn.XLOOKUP(A426,SWFTX邮编覆盖!A:A,SWFTX邮编覆盖!B:B,"否")</f>
        <v>是</v>
      </c>
      <c r="J426" s="2" t="str">
        <f>_xlfn.XLOOKUP(A426,YW邮编覆盖!A:A,YW邮编覆盖!B:B,"否")</f>
        <v>否</v>
      </c>
    </row>
    <row r="427" spans="1:10" hidden="1">
      <c r="A427" s="3">
        <v>93704</v>
      </c>
      <c r="B427" s="1" t="s">
        <v>80</v>
      </c>
      <c r="C427" s="2" t="str">
        <f>_xlfn.XLOOKUP(B427,线路DSP对应!A:A,线路DSP对应!B:B)</f>
        <v>STA_LAX_LASTMILE</v>
      </c>
      <c r="D427" s="4" t="s">
        <v>146</v>
      </c>
      <c r="E427" s="2" t="str">
        <f>_xlfn.XLOOKUP(A427,转单情况!A:A,转单情况!B:B)</f>
        <v>否</v>
      </c>
      <c r="G427" s="28">
        <f>ROUND(_xlfn.XLOOKUP(A427,全量!A:A,全量!B:B,0)/7,1)</f>
        <v>24.9</v>
      </c>
      <c r="H427" s="2">
        <f>ROUND(_xlfn.XLOOKUP(A427,AE!A:A,AE!B:B,0)/7,1)</f>
        <v>6.3</v>
      </c>
      <c r="I427" s="2" t="str">
        <f>_xlfn.XLOOKUP(A427,SWFTX邮编覆盖!A:A,SWFTX邮编覆盖!B:B,"否")</f>
        <v>否</v>
      </c>
      <c r="J427" s="2" t="str">
        <f>_xlfn.XLOOKUP(A427,YW邮编覆盖!A:A,YW邮编覆盖!B:B,"否")</f>
        <v>否</v>
      </c>
    </row>
    <row r="428" spans="1:10" hidden="1">
      <c r="A428" s="3">
        <v>93705</v>
      </c>
      <c r="B428" s="1" t="s">
        <v>80</v>
      </c>
      <c r="C428" s="2" t="str">
        <f>_xlfn.XLOOKUP(B428,线路DSP对应!A:A,线路DSP对应!B:B)</f>
        <v>STA_LAX_LASTMILE</v>
      </c>
      <c r="D428" s="4" t="s">
        <v>146</v>
      </c>
      <c r="E428" s="2" t="str">
        <f>_xlfn.XLOOKUP(A428,转单情况!A:A,转单情况!B:B)</f>
        <v>否</v>
      </c>
      <c r="G428" s="28">
        <f>ROUND(_xlfn.XLOOKUP(A428,全量!A:A,全量!B:B,0)/7,1)</f>
        <v>16.399999999999999</v>
      </c>
      <c r="H428" s="2">
        <f>ROUND(_xlfn.XLOOKUP(A428,AE!A:A,AE!B:B,0)/7,1)</f>
        <v>9</v>
      </c>
      <c r="I428" s="2" t="str">
        <f>_xlfn.XLOOKUP(A428,SWFTX邮编覆盖!A:A,SWFTX邮编覆盖!B:B,"否")</f>
        <v>是</v>
      </c>
      <c r="J428" s="2" t="str">
        <f>_xlfn.XLOOKUP(A428,YW邮编覆盖!A:A,YW邮编覆盖!B:B,"否")</f>
        <v>否</v>
      </c>
    </row>
    <row r="429" spans="1:10" hidden="1">
      <c r="A429" s="3">
        <v>93710</v>
      </c>
      <c r="B429" s="1" t="s">
        <v>80</v>
      </c>
      <c r="C429" s="2" t="str">
        <f>_xlfn.XLOOKUP(B429,线路DSP对应!A:A,线路DSP对应!B:B)</f>
        <v>STA_LAX_LASTMILE</v>
      </c>
      <c r="D429" s="4" t="s">
        <v>146</v>
      </c>
      <c r="E429" s="2" t="str">
        <f>_xlfn.XLOOKUP(A429,转单情况!A:A,转单情况!B:B)</f>
        <v>否</v>
      </c>
      <c r="G429" s="28">
        <f>ROUND(_xlfn.XLOOKUP(A429,全量!A:A,全量!B:B,0)/7,1)</f>
        <v>23.7</v>
      </c>
      <c r="H429" s="2">
        <f>ROUND(_xlfn.XLOOKUP(A429,AE!A:A,AE!B:B,0)/7,1)</f>
        <v>6</v>
      </c>
      <c r="I429" s="2" t="str">
        <f>_xlfn.XLOOKUP(A429,SWFTX邮编覆盖!A:A,SWFTX邮编覆盖!B:B,"否")</f>
        <v>否</v>
      </c>
      <c r="J429" s="2" t="str">
        <f>_xlfn.XLOOKUP(A429,YW邮编覆盖!A:A,YW邮编覆盖!B:B,"否")</f>
        <v>否</v>
      </c>
    </row>
    <row r="430" spans="1:10" hidden="1">
      <c r="A430" s="3">
        <v>93721</v>
      </c>
      <c r="B430" s="1" t="s">
        <v>80</v>
      </c>
      <c r="C430" s="2" t="str">
        <f>_xlfn.XLOOKUP(B430,线路DSP对应!A:A,线路DSP对应!B:B)</f>
        <v>STA_LAX_LASTMILE</v>
      </c>
      <c r="D430" s="4" t="s">
        <v>146</v>
      </c>
      <c r="E430" s="2" t="str">
        <f>_xlfn.XLOOKUP(A430,转单情况!A:A,转单情况!B:B)</f>
        <v>否</v>
      </c>
      <c r="G430" s="28">
        <f>ROUND(_xlfn.XLOOKUP(A430,全量!A:A,全量!B:B,0)/7,1)</f>
        <v>2</v>
      </c>
      <c r="H430" s="2">
        <f>ROUND(_xlfn.XLOOKUP(A430,AE!A:A,AE!B:B,0)/7,1)</f>
        <v>1</v>
      </c>
      <c r="I430" s="2" t="str">
        <f>_xlfn.XLOOKUP(A430,SWFTX邮编覆盖!A:A,SWFTX邮编覆盖!B:B,"否")</f>
        <v>是</v>
      </c>
      <c r="J430" s="2" t="str">
        <f>_xlfn.XLOOKUP(A430,YW邮编覆盖!A:A,YW邮编覆盖!B:B,"否")</f>
        <v>否</v>
      </c>
    </row>
    <row r="431" spans="1:10" hidden="1">
      <c r="A431" s="3">
        <v>93726</v>
      </c>
      <c r="B431" s="1" t="s">
        <v>80</v>
      </c>
      <c r="C431" s="2" t="str">
        <f>_xlfn.XLOOKUP(B431,线路DSP对应!A:A,线路DSP对应!B:B)</f>
        <v>STA_LAX_LASTMILE</v>
      </c>
      <c r="D431" s="4" t="s">
        <v>146</v>
      </c>
      <c r="E431" s="2" t="str">
        <f>_xlfn.XLOOKUP(A431,转单情况!A:A,转单情况!B:B)</f>
        <v>否</v>
      </c>
      <c r="G431" s="28">
        <f>ROUND(_xlfn.XLOOKUP(A431,全量!A:A,全量!B:B,0)/7,1)</f>
        <v>21.4</v>
      </c>
      <c r="H431" s="2">
        <f>ROUND(_xlfn.XLOOKUP(A431,AE!A:A,AE!B:B,0)/7,1)</f>
        <v>9.6</v>
      </c>
      <c r="I431" s="2" t="str">
        <f>_xlfn.XLOOKUP(A431,SWFTX邮编覆盖!A:A,SWFTX邮编覆盖!B:B,"否")</f>
        <v>是</v>
      </c>
      <c r="J431" s="2" t="str">
        <f>_xlfn.XLOOKUP(A431,YW邮编覆盖!A:A,YW邮编覆盖!B:B,"否")</f>
        <v>否</v>
      </c>
    </row>
    <row r="432" spans="1:10" hidden="1">
      <c r="A432" s="3">
        <v>93728</v>
      </c>
      <c r="B432" s="1" t="s">
        <v>80</v>
      </c>
      <c r="C432" s="2" t="str">
        <f>_xlfn.XLOOKUP(B432,线路DSP对应!A:A,线路DSP对应!B:B)</f>
        <v>STA_LAX_LASTMILE</v>
      </c>
      <c r="D432" s="4" t="s">
        <v>146</v>
      </c>
      <c r="E432" s="2" t="str">
        <f>_xlfn.XLOOKUP(A432,转单情况!A:A,转单情况!B:B)</f>
        <v>否</v>
      </c>
      <c r="G432" s="28">
        <f>ROUND(_xlfn.XLOOKUP(A432,全量!A:A,全量!B:B,0)/7,1)</f>
        <v>9.6999999999999993</v>
      </c>
      <c r="H432" s="2">
        <f>ROUND(_xlfn.XLOOKUP(A432,AE!A:A,AE!B:B,0)/7,1)</f>
        <v>4.4000000000000004</v>
      </c>
      <c r="I432" s="2" t="str">
        <f>_xlfn.XLOOKUP(A432,SWFTX邮编覆盖!A:A,SWFTX邮编覆盖!B:B,"否")</f>
        <v>是</v>
      </c>
      <c r="J432" s="2" t="str">
        <f>_xlfn.XLOOKUP(A432,YW邮编覆盖!A:A,YW邮编覆盖!B:B,"否")</f>
        <v>否</v>
      </c>
    </row>
    <row r="433" spans="1:10" hidden="1">
      <c r="A433" s="3">
        <v>93611</v>
      </c>
      <c r="B433" s="1" t="s">
        <v>80</v>
      </c>
      <c r="C433" s="2" t="str">
        <f>_xlfn.XLOOKUP(B433,线路DSP对应!A:A,线路DSP对应!B:B)</f>
        <v>STA_LAX_LASTMILE</v>
      </c>
      <c r="D433" s="4" t="s">
        <v>146</v>
      </c>
      <c r="E433" s="2" t="str">
        <f>_xlfn.XLOOKUP(A433,转单情况!A:A,转单情况!B:B)</f>
        <v>否</v>
      </c>
      <c r="G433" s="28">
        <f>ROUND(_xlfn.XLOOKUP(A433,全量!A:A,全量!B:B,0)/7,1)</f>
        <v>32.6</v>
      </c>
      <c r="H433" s="2">
        <f>ROUND(_xlfn.XLOOKUP(A433,AE!A:A,AE!B:B,0)/7,1)</f>
        <v>8.9</v>
      </c>
      <c r="I433" s="2" t="str">
        <f>_xlfn.XLOOKUP(A433,SWFTX邮编覆盖!A:A,SWFTX邮编覆盖!B:B,"否")</f>
        <v>是</v>
      </c>
      <c r="J433" s="2" t="str">
        <f>_xlfn.XLOOKUP(A433,YW邮编覆盖!A:A,YW邮编覆盖!B:B,"否")</f>
        <v>否</v>
      </c>
    </row>
    <row r="434" spans="1:10" hidden="1">
      <c r="A434" s="3">
        <v>93612</v>
      </c>
      <c r="B434" s="1" t="s">
        <v>80</v>
      </c>
      <c r="C434" s="2" t="str">
        <f>_xlfn.XLOOKUP(B434,线路DSP对应!A:A,线路DSP对应!B:B)</f>
        <v>STA_LAX_LASTMILE</v>
      </c>
      <c r="D434" s="4" t="s">
        <v>146</v>
      </c>
      <c r="E434" s="2" t="str">
        <f>_xlfn.XLOOKUP(A434,转单情况!A:A,转单情况!B:B)</f>
        <v>否</v>
      </c>
      <c r="G434" s="28">
        <f>ROUND(_xlfn.XLOOKUP(A434,全量!A:A,全量!B:B,0)/7,1)</f>
        <v>18.100000000000001</v>
      </c>
      <c r="H434" s="2">
        <f>ROUND(_xlfn.XLOOKUP(A434,AE!A:A,AE!B:B,0)/7,1)</f>
        <v>7</v>
      </c>
      <c r="I434" s="2" t="str">
        <f>_xlfn.XLOOKUP(A434,SWFTX邮编覆盖!A:A,SWFTX邮编覆盖!B:B,"否")</f>
        <v>是</v>
      </c>
      <c r="J434" s="2" t="str">
        <f>_xlfn.XLOOKUP(A434,YW邮编覆盖!A:A,YW邮编覆盖!B:B,"否")</f>
        <v>否</v>
      </c>
    </row>
    <row r="435" spans="1:10" hidden="1">
      <c r="A435" s="3">
        <v>93619</v>
      </c>
      <c r="B435" s="1" t="s">
        <v>80</v>
      </c>
      <c r="C435" s="2" t="str">
        <f>_xlfn.XLOOKUP(B435,线路DSP对应!A:A,线路DSP对应!B:B)</f>
        <v>STA_LAX_LASTMILE</v>
      </c>
      <c r="D435" s="4" t="s">
        <v>146</v>
      </c>
      <c r="E435" s="2" t="str">
        <f>_xlfn.XLOOKUP(A435,转单情况!A:A,转单情况!B:B)</f>
        <v>否</v>
      </c>
      <c r="G435" s="28">
        <f>ROUND(_xlfn.XLOOKUP(A435,全量!A:A,全量!B:B,0)/7,1)</f>
        <v>36.1</v>
      </c>
      <c r="H435" s="2">
        <f>ROUND(_xlfn.XLOOKUP(A435,AE!A:A,AE!B:B,0)/7,1)</f>
        <v>10.3</v>
      </c>
      <c r="I435" s="2" t="str">
        <f>_xlfn.XLOOKUP(A435,SWFTX邮编覆盖!A:A,SWFTX邮编覆盖!B:B,"否")</f>
        <v>是</v>
      </c>
      <c r="J435" s="2" t="str">
        <f>_xlfn.XLOOKUP(A435,YW邮编覆盖!A:A,YW邮编覆盖!B:B,"否")</f>
        <v>否</v>
      </c>
    </row>
    <row r="436" spans="1:10" hidden="1">
      <c r="A436" s="3">
        <v>93657</v>
      </c>
      <c r="B436" s="1" t="s">
        <v>80</v>
      </c>
      <c r="C436" s="2" t="str">
        <f>_xlfn.XLOOKUP(B436,线路DSP对应!A:A,线路DSP对应!B:B)</f>
        <v>STA_LAX_LASTMILE</v>
      </c>
      <c r="D436" s="4" t="s">
        <v>146</v>
      </c>
      <c r="E436" s="2" t="str">
        <f>_xlfn.XLOOKUP(A436,转单情况!A:A,转单情况!B:B)</f>
        <v>否</v>
      </c>
      <c r="G436" s="28">
        <f>ROUND(_xlfn.XLOOKUP(A436,全量!A:A,全量!B:B,0)/7,1)</f>
        <v>25.7</v>
      </c>
      <c r="H436" s="2">
        <f>ROUND(_xlfn.XLOOKUP(A436,AE!A:A,AE!B:B,0)/7,1)</f>
        <v>4.9000000000000004</v>
      </c>
      <c r="I436" s="2" t="str">
        <f>_xlfn.XLOOKUP(A436,SWFTX邮编覆盖!A:A,SWFTX邮编覆盖!B:B,"否")</f>
        <v>否</v>
      </c>
      <c r="J436" s="2" t="str">
        <f>_xlfn.XLOOKUP(A436,YW邮编覆盖!A:A,YW邮编覆盖!B:B,"否")</f>
        <v>否</v>
      </c>
    </row>
    <row r="437" spans="1:10" hidden="1">
      <c r="A437" s="3">
        <v>93706</v>
      </c>
      <c r="B437" s="1" t="s">
        <v>80</v>
      </c>
      <c r="C437" s="2" t="str">
        <f>_xlfn.XLOOKUP(B437,线路DSP对应!A:A,线路DSP对应!B:B)</f>
        <v>STA_LAX_LASTMILE</v>
      </c>
      <c r="D437" s="4" t="s">
        <v>146</v>
      </c>
      <c r="E437" s="2" t="str">
        <f>_xlfn.XLOOKUP(A437,转单情况!A:A,转单情况!B:B)</f>
        <v>否</v>
      </c>
      <c r="G437" s="28">
        <f>ROUND(_xlfn.XLOOKUP(A437,全量!A:A,全量!B:B,0)/7,1)</f>
        <v>13</v>
      </c>
      <c r="H437" s="2">
        <f>ROUND(_xlfn.XLOOKUP(A437,AE!A:A,AE!B:B,0)/7,1)</f>
        <v>5.6</v>
      </c>
      <c r="I437" s="2" t="str">
        <f>_xlfn.XLOOKUP(A437,SWFTX邮编覆盖!A:A,SWFTX邮编覆盖!B:B,"否")</f>
        <v>是</v>
      </c>
      <c r="J437" s="2" t="str">
        <f>_xlfn.XLOOKUP(A437,YW邮编覆盖!A:A,YW邮编覆盖!B:B,"否")</f>
        <v>否</v>
      </c>
    </row>
    <row r="438" spans="1:10" hidden="1">
      <c r="A438" s="3">
        <v>93725</v>
      </c>
      <c r="B438" s="1" t="s">
        <v>80</v>
      </c>
      <c r="C438" s="2" t="str">
        <f>_xlfn.XLOOKUP(B438,线路DSP对应!A:A,线路DSP对应!B:B)</f>
        <v>STA_LAX_LASTMILE</v>
      </c>
      <c r="D438" s="4" t="s">
        <v>146</v>
      </c>
      <c r="E438" s="2" t="str">
        <f>_xlfn.XLOOKUP(A438,转单情况!A:A,转单情况!B:B)</f>
        <v>否</v>
      </c>
      <c r="G438" s="28">
        <f>ROUND(_xlfn.XLOOKUP(A438,全量!A:A,全量!B:B,0)/7,1)</f>
        <v>12.3</v>
      </c>
      <c r="H438" s="2">
        <f>ROUND(_xlfn.XLOOKUP(A438,AE!A:A,AE!B:B,0)/7,1)</f>
        <v>6.1</v>
      </c>
      <c r="I438" s="2" t="str">
        <f>_xlfn.XLOOKUP(A438,SWFTX邮编覆盖!A:A,SWFTX邮编覆盖!B:B,"否")</f>
        <v>是</v>
      </c>
      <c r="J438" s="2" t="str">
        <f>_xlfn.XLOOKUP(A438,YW邮编覆盖!A:A,YW邮编覆盖!B:B,"否")</f>
        <v>否</v>
      </c>
    </row>
    <row r="439" spans="1:10" hidden="1">
      <c r="A439" s="3">
        <v>93727</v>
      </c>
      <c r="B439" s="1" t="s">
        <v>80</v>
      </c>
      <c r="C439" s="2" t="str">
        <f>_xlfn.XLOOKUP(B439,线路DSP对应!A:A,线路DSP对应!B:B)</f>
        <v>STA_LAX_LASTMILE</v>
      </c>
      <c r="D439" s="4" t="s">
        <v>146</v>
      </c>
      <c r="E439" s="2" t="str">
        <f>_xlfn.XLOOKUP(A439,转单情况!A:A,转单情况!B:B)</f>
        <v>否</v>
      </c>
      <c r="G439" s="28">
        <f>ROUND(_xlfn.XLOOKUP(A439,全量!A:A,全量!B:B,0)/7,1)</f>
        <v>46.7</v>
      </c>
      <c r="H439" s="2">
        <f>ROUND(_xlfn.XLOOKUP(A439,AE!A:A,AE!B:B,0)/7,1)</f>
        <v>21</v>
      </c>
      <c r="I439" s="2" t="str">
        <f>_xlfn.XLOOKUP(A439,SWFTX邮编覆盖!A:A,SWFTX邮编覆盖!B:B,"否")</f>
        <v>是</v>
      </c>
      <c r="J439" s="2" t="str">
        <f>_xlfn.XLOOKUP(A439,YW邮编覆盖!A:A,YW邮编覆盖!B:B,"否")</f>
        <v>否</v>
      </c>
    </row>
    <row r="440" spans="1:10" hidden="1">
      <c r="A440" s="3">
        <v>93625</v>
      </c>
      <c r="B440" s="1" t="s">
        <v>80</v>
      </c>
      <c r="C440" s="2" t="str">
        <f>_xlfn.XLOOKUP(B440,线路DSP对应!A:A,线路DSP对应!B:B)</f>
        <v>STA_LAX_LASTMILE</v>
      </c>
      <c r="D440" s="4" t="s">
        <v>146</v>
      </c>
      <c r="E440" s="2" t="str">
        <f>_xlfn.XLOOKUP(A440,转单情况!A:A,转单情况!B:B)</f>
        <v>否</v>
      </c>
      <c r="G440" s="28">
        <f>ROUND(_xlfn.XLOOKUP(A440,全量!A:A,全量!B:B,0)/7,1)</f>
        <v>5.9</v>
      </c>
      <c r="H440" s="2">
        <f>ROUND(_xlfn.XLOOKUP(A440,AE!A:A,AE!B:B,0)/7,1)</f>
        <v>1.9</v>
      </c>
      <c r="I440" s="2" t="str">
        <f>_xlfn.XLOOKUP(A440,SWFTX邮编覆盖!A:A,SWFTX邮编覆盖!B:B,"否")</f>
        <v>是</v>
      </c>
      <c r="J440" s="2" t="str">
        <f>_xlfn.XLOOKUP(A440,YW邮编覆盖!A:A,YW邮编覆盖!B:B,"否")</f>
        <v>否</v>
      </c>
    </row>
    <row r="441" spans="1:10" hidden="1">
      <c r="A441" s="3">
        <v>93662</v>
      </c>
      <c r="B441" s="1" t="s">
        <v>80</v>
      </c>
      <c r="C441" s="2" t="str">
        <f>_xlfn.XLOOKUP(B441,线路DSP对应!A:A,线路DSP对应!B:B)</f>
        <v>STA_LAX_LASTMILE</v>
      </c>
      <c r="D441" s="4" t="s">
        <v>146</v>
      </c>
      <c r="E441" s="2" t="str">
        <f>_xlfn.XLOOKUP(A441,转单情况!A:A,转单情况!B:B)</f>
        <v>否</v>
      </c>
      <c r="G441" s="28">
        <f>ROUND(_xlfn.XLOOKUP(A441,全量!A:A,全量!B:B,0)/7,1)</f>
        <v>14.9</v>
      </c>
      <c r="H441" s="2">
        <f>ROUND(_xlfn.XLOOKUP(A441,AE!A:A,AE!B:B,0)/7,1)</f>
        <v>5.9</v>
      </c>
      <c r="I441" s="2" t="str">
        <f>_xlfn.XLOOKUP(A441,SWFTX邮编覆盖!A:A,SWFTX邮编覆盖!B:B,"否")</f>
        <v>是</v>
      </c>
      <c r="J441" s="2" t="str">
        <f>_xlfn.XLOOKUP(A441,YW邮编覆盖!A:A,YW邮编覆盖!B:B,"否")</f>
        <v>否</v>
      </c>
    </row>
    <row r="442" spans="1:10" hidden="1">
      <c r="A442" s="3">
        <v>89129</v>
      </c>
      <c r="B442" s="1" t="s">
        <v>116</v>
      </c>
      <c r="C442" s="2" t="str">
        <f>_xlfn.XLOOKUP(B442,线路DSP对应!A:A,线路DSP对应!B:B)</f>
        <v>STA_LAS_WODLOGISTICS</v>
      </c>
      <c r="D442" s="4" t="s">
        <v>152</v>
      </c>
      <c r="E442" s="2" t="str">
        <f>_xlfn.XLOOKUP(A442,转单情况!A:A,转单情况!B:B)</f>
        <v>否</v>
      </c>
      <c r="G442" s="28">
        <f>ROUND(_xlfn.XLOOKUP(A442,全量!A:A,全量!B:B,0)/7,1)</f>
        <v>15.7</v>
      </c>
      <c r="H442" s="2">
        <f>ROUND(_xlfn.XLOOKUP(A442,AE!A:A,AE!B:B,0)/7,1)</f>
        <v>15</v>
      </c>
      <c r="I442" s="2" t="str">
        <f>_xlfn.XLOOKUP(A442,SWFTX邮编覆盖!A:A,SWFTX邮编覆盖!B:B,"否")</f>
        <v>是</v>
      </c>
      <c r="J442" s="2" t="str">
        <f>_xlfn.XLOOKUP(A442,YW邮编覆盖!A:A,YW邮编覆盖!B:B,"否")</f>
        <v>是</v>
      </c>
    </row>
    <row r="443" spans="1:10" hidden="1">
      <c r="A443" s="3">
        <v>89166</v>
      </c>
      <c r="B443" s="1" t="s">
        <v>116</v>
      </c>
      <c r="C443" s="2" t="str">
        <f>_xlfn.XLOOKUP(B443,线路DSP对应!A:A,线路DSP对应!B:B)</f>
        <v>STA_LAS_WODLOGISTICS</v>
      </c>
      <c r="D443" s="4" t="s">
        <v>152</v>
      </c>
      <c r="E443" s="2" t="str">
        <f>_xlfn.XLOOKUP(A443,转单情况!A:A,转单情况!B:B)</f>
        <v>否</v>
      </c>
      <c r="G443" s="28">
        <f>ROUND(_xlfn.XLOOKUP(A443,全量!A:A,全量!B:B,0)/7,1)</f>
        <v>13.1</v>
      </c>
      <c r="H443" s="2">
        <f>ROUND(_xlfn.XLOOKUP(A443,AE!A:A,AE!B:B,0)/7,1)</f>
        <v>7.9</v>
      </c>
      <c r="I443" s="2" t="str">
        <f>_xlfn.XLOOKUP(A443,SWFTX邮编覆盖!A:A,SWFTX邮编覆盖!B:B,"否")</f>
        <v>是</v>
      </c>
      <c r="J443" s="2" t="str">
        <f>_xlfn.XLOOKUP(A443,YW邮编覆盖!A:A,YW邮编覆盖!B:B,"否")</f>
        <v>否</v>
      </c>
    </row>
    <row r="444" spans="1:10" hidden="1">
      <c r="A444" s="3">
        <v>89149</v>
      </c>
      <c r="B444" s="1" t="s">
        <v>116</v>
      </c>
      <c r="C444" s="2" t="str">
        <f>_xlfn.XLOOKUP(B444,线路DSP对应!A:A,线路DSP对应!B:B)</f>
        <v>STA_LAS_WODLOGISTICS</v>
      </c>
      <c r="D444" s="4" t="s">
        <v>152</v>
      </c>
      <c r="E444" s="2" t="str">
        <f>_xlfn.XLOOKUP(A444,转单情况!A:A,转单情况!B:B)</f>
        <v>否</v>
      </c>
      <c r="G444" s="28">
        <f>ROUND(_xlfn.XLOOKUP(A444,全量!A:A,全量!B:B,0)/7,1)</f>
        <v>11.3</v>
      </c>
      <c r="H444" s="2">
        <f>ROUND(_xlfn.XLOOKUP(A444,AE!A:A,AE!B:B,0)/7,1)</f>
        <v>10.9</v>
      </c>
      <c r="I444" s="2" t="str">
        <f>_xlfn.XLOOKUP(A444,SWFTX邮编覆盖!A:A,SWFTX邮编覆盖!B:B,"否")</f>
        <v>是</v>
      </c>
      <c r="J444" s="2" t="str">
        <f>_xlfn.XLOOKUP(A444,YW邮编覆盖!A:A,YW邮编覆盖!B:B,"否")</f>
        <v>是</v>
      </c>
    </row>
    <row r="445" spans="1:10" hidden="1">
      <c r="A445" s="3">
        <v>89143</v>
      </c>
      <c r="B445" s="1" t="s">
        <v>116</v>
      </c>
      <c r="C445" s="2" t="str">
        <f>_xlfn.XLOOKUP(B445,线路DSP对应!A:A,线路DSP对应!B:B)</f>
        <v>STA_LAS_WODLOGISTICS</v>
      </c>
      <c r="D445" s="4" t="s">
        <v>152</v>
      </c>
      <c r="E445" s="2" t="str">
        <f>_xlfn.XLOOKUP(A445,转单情况!A:A,转单情况!B:B)</f>
        <v>否</v>
      </c>
      <c r="G445" s="28">
        <f>ROUND(_xlfn.XLOOKUP(A445,全量!A:A,全量!B:B,0)/7,1)</f>
        <v>4.0999999999999996</v>
      </c>
      <c r="H445" s="2">
        <f>ROUND(_xlfn.XLOOKUP(A445,AE!A:A,AE!B:B,0)/7,1)</f>
        <v>3.7</v>
      </c>
      <c r="I445" s="2" t="str">
        <f>_xlfn.XLOOKUP(A445,SWFTX邮编覆盖!A:A,SWFTX邮编覆盖!B:B,"否")</f>
        <v>是</v>
      </c>
      <c r="J445" s="2" t="str">
        <f>_xlfn.XLOOKUP(A445,YW邮编覆盖!A:A,YW邮编覆盖!B:B,"否")</f>
        <v>是</v>
      </c>
    </row>
    <row r="446" spans="1:10" hidden="1">
      <c r="A446" s="3">
        <v>89130</v>
      </c>
      <c r="B446" s="1" t="s">
        <v>116</v>
      </c>
      <c r="C446" s="2" t="str">
        <f>_xlfn.XLOOKUP(B446,线路DSP对应!A:A,线路DSP对应!B:B)</f>
        <v>STA_LAS_WODLOGISTICS</v>
      </c>
      <c r="D446" s="4" t="s">
        <v>152</v>
      </c>
      <c r="E446" s="2" t="str">
        <f>_xlfn.XLOOKUP(A446,转单情况!A:A,转单情况!B:B)</f>
        <v>否</v>
      </c>
      <c r="G446" s="28">
        <f>ROUND(_xlfn.XLOOKUP(A446,全量!A:A,全量!B:B,0)/7,1)</f>
        <v>8.9</v>
      </c>
      <c r="H446" s="2">
        <f>ROUND(_xlfn.XLOOKUP(A446,AE!A:A,AE!B:B,0)/7,1)</f>
        <v>8.6999999999999993</v>
      </c>
      <c r="I446" s="2" t="str">
        <f>_xlfn.XLOOKUP(A446,SWFTX邮编覆盖!A:A,SWFTX邮编覆盖!B:B,"否")</f>
        <v>是</v>
      </c>
      <c r="J446" s="2" t="str">
        <f>_xlfn.XLOOKUP(A446,YW邮编覆盖!A:A,YW邮编覆盖!B:B,"否")</f>
        <v>是</v>
      </c>
    </row>
    <row r="447" spans="1:10" hidden="1">
      <c r="A447" s="3">
        <v>89131</v>
      </c>
      <c r="B447" s="1" t="s">
        <v>116</v>
      </c>
      <c r="C447" s="2" t="str">
        <f>_xlfn.XLOOKUP(B447,线路DSP对应!A:A,线路DSP对应!B:B)</f>
        <v>STA_LAS_WODLOGISTICS</v>
      </c>
      <c r="D447" s="4" t="s">
        <v>152</v>
      </c>
      <c r="E447" s="2" t="str">
        <f>_xlfn.XLOOKUP(A447,转单情况!A:A,转单情况!B:B)</f>
        <v>否</v>
      </c>
      <c r="G447" s="28">
        <f>ROUND(_xlfn.XLOOKUP(A447,全量!A:A,全量!B:B,0)/7,1)</f>
        <v>14.3</v>
      </c>
      <c r="H447" s="2">
        <f>ROUND(_xlfn.XLOOKUP(A447,AE!A:A,AE!B:B,0)/7,1)</f>
        <v>13.4</v>
      </c>
      <c r="I447" s="2" t="str">
        <f>_xlfn.XLOOKUP(A447,SWFTX邮编覆盖!A:A,SWFTX邮编覆盖!B:B,"否")</f>
        <v>是</v>
      </c>
      <c r="J447" s="2" t="str">
        <f>_xlfn.XLOOKUP(A447,YW邮编覆盖!A:A,YW邮编覆盖!B:B,"否")</f>
        <v>否</v>
      </c>
    </row>
    <row r="448" spans="1:10" hidden="1">
      <c r="A448" s="3">
        <v>89108</v>
      </c>
      <c r="B448" s="1" t="s">
        <v>116</v>
      </c>
      <c r="C448" s="2" t="str">
        <f>_xlfn.XLOOKUP(B448,线路DSP对应!A:A,线路DSP对应!B:B)</f>
        <v>STA_LAS_WODLOGISTICS</v>
      </c>
      <c r="D448" s="4" t="s">
        <v>152</v>
      </c>
      <c r="E448" s="2" t="str">
        <f>_xlfn.XLOOKUP(A448,转单情况!A:A,转单情况!B:B)</f>
        <v>否</v>
      </c>
      <c r="G448" s="28">
        <f>ROUND(_xlfn.XLOOKUP(A448,全量!A:A,全量!B:B,0)/7,1)</f>
        <v>17.399999999999999</v>
      </c>
      <c r="H448" s="2">
        <f>ROUND(_xlfn.XLOOKUP(A448,AE!A:A,AE!B:B,0)/7,1)</f>
        <v>16.600000000000001</v>
      </c>
      <c r="I448" s="2" t="str">
        <f>_xlfn.XLOOKUP(A448,SWFTX邮编覆盖!A:A,SWFTX邮编覆盖!B:B,"否")</f>
        <v>是</v>
      </c>
      <c r="J448" s="2" t="str">
        <f>_xlfn.XLOOKUP(A448,YW邮编覆盖!A:A,YW邮编覆盖!B:B,"否")</f>
        <v>是</v>
      </c>
    </row>
    <row r="449" spans="1:10" hidden="1">
      <c r="A449" s="3">
        <v>89138</v>
      </c>
      <c r="B449" s="1" t="s">
        <v>116</v>
      </c>
      <c r="C449" s="2" t="str">
        <f>_xlfn.XLOOKUP(B449,线路DSP对应!A:A,线路DSP对应!B:B)</f>
        <v>STA_LAS_WODLOGISTICS</v>
      </c>
      <c r="D449" s="4" t="s">
        <v>152</v>
      </c>
      <c r="E449" s="2" t="str">
        <f>_xlfn.XLOOKUP(A449,转单情况!A:A,转单情况!B:B)</f>
        <v>否</v>
      </c>
      <c r="G449" s="28">
        <f>ROUND(_xlfn.XLOOKUP(A449,全量!A:A,全量!B:B,0)/7,1)</f>
        <v>8.3000000000000007</v>
      </c>
      <c r="H449" s="2">
        <f>ROUND(_xlfn.XLOOKUP(A449,AE!A:A,AE!B:B,0)/7,1)</f>
        <v>8</v>
      </c>
      <c r="I449" s="2" t="str">
        <f>_xlfn.XLOOKUP(A449,SWFTX邮编覆盖!A:A,SWFTX邮编覆盖!B:B,"否")</f>
        <v>是</v>
      </c>
      <c r="J449" s="2" t="str">
        <f>_xlfn.XLOOKUP(A449,YW邮编覆盖!A:A,YW邮编覆盖!B:B,"否")</f>
        <v>是</v>
      </c>
    </row>
    <row r="450" spans="1:10" hidden="1">
      <c r="A450" s="3">
        <v>89134</v>
      </c>
      <c r="B450" s="1" t="s">
        <v>116</v>
      </c>
      <c r="C450" s="2" t="str">
        <f>_xlfn.XLOOKUP(B450,线路DSP对应!A:A,线路DSP对应!B:B)</f>
        <v>STA_LAS_WODLOGISTICS</v>
      </c>
      <c r="D450" s="4" t="s">
        <v>152</v>
      </c>
      <c r="E450" s="2" t="str">
        <f>_xlfn.XLOOKUP(A450,转单情况!A:A,转单情况!B:B)</f>
        <v>否</v>
      </c>
      <c r="G450" s="28">
        <f>ROUND(_xlfn.XLOOKUP(A450,全量!A:A,全量!B:B,0)/7,1)</f>
        <v>6.1</v>
      </c>
      <c r="H450" s="2">
        <f>ROUND(_xlfn.XLOOKUP(A450,AE!A:A,AE!B:B,0)/7,1)</f>
        <v>5.9</v>
      </c>
      <c r="I450" s="2" t="str">
        <f>_xlfn.XLOOKUP(A450,SWFTX邮编覆盖!A:A,SWFTX邮编覆盖!B:B,"否")</f>
        <v>是</v>
      </c>
      <c r="J450" s="2" t="str">
        <f>_xlfn.XLOOKUP(A450,YW邮编覆盖!A:A,YW邮编覆盖!B:B,"否")</f>
        <v>是</v>
      </c>
    </row>
    <row r="451" spans="1:10" hidden="1">
      <c r="A451" s="3">
        <v>89128</v>
      </c>
      <c r="B451" s="1" t="s">
        <v>116</v>
      </c>
      <c r="C451" s="2" t="str">
        <f>_xlfn.XLOOKUP(B451,线路DSP对应!A:A,线路DSP对应!B:B)</f>
        <v>STA_LAS_WODLOGISTICS</v>
      </c>
      <c r="D451" s="4" t="s">
        <v>152</v>
      </c>
      <c r="E451" s="2" t="str">
        <f>_xlfn.XLOOKUP(A451,转单情况!A:A,转单情况!B:B)</f>
        <v>否</v>
      </c>
      <c r="G451" s="28">
        <f>ROUND(_xlfn.XLOOKUP(A451,全量!A:A,全量!B:B,0)/7,1)</f>
        <v>12.6</v>
      </c>
      <c r="H451" s="2">
        <f>ROUND(_xlfn.XLOOKUP(A451,AE!A:A,AE!B:B,0)/7,1)</f>
        <v>12.1</v>
      </c>
      <c r="I451" s="2" t="str">
        <f>_xlfn.XLOOKUP(A451,SWFTX邮编覆盖!A:A,SWFTX邮编覆盖!B:B,"否")</f>
        <v>是</v>
      </c>
      <c r="J451" s="2" t="str">
        <f>_xlfn.XLOOKUP(A451,YW邮编覆盖!A:A,YW邮编覆盖!B:B,"否")</f>
        <v>是</v>
      </c>
    </row>
    <row r="452" spans="1:10" hidden="1">
      <c r="A452" s="3">
        <v>89145</v>
      </c>
      <c r="B452" s="1" t="s">
        <v>116</v>
      </c>
      <c r="C452" s="2" t="str">
        <f>_xlfn.XLOOKUP(B452,线路DSP对应!A:A,线路DSP对应!B:B)</f>
        <v>STA_LAS_WODLOGISTICS</v>
      </c>
      <c r="D452" s="4" t="s">
        <v>152</v>
      </c>
      <c r="E452" s="2" t="str">
        <f>_xlfn.XLOOKUP(A452,转单情况!A:A,转单情况!B:B)</f>
        <v>否</v>
      </c>
      <c r="G452" s="28">
        <f>ROUND(_xlfn.XLOOKUP(A452,全量!A:A,全量!B:B,0)/7,1)</f>
        <v>6.6</v>
      </c>
      <c r="H452" s="2">
        <f>ROUND(_xlfn.XLOOKUP(A452,AE!A:A,AE!B:B,0)/7,1)</f>
        <v>6.4</v>
      </c>
      <c r="I452" s="2" t="str">
        <f>_xlfn.XLOOKUP(A452,SWFTX邮编覆盖!A:A,SWFTX邮编覆盖!B:B,"否")</f>
        <v>是</v>
      </c>
      <c r="J452" s="2" t="str">
        <f>_xlfn.XLOOKUP(A452,YW邮编覆盖!A:A,YW邮编覆盖!B:B,"否")</f>
        <v>是</v>
      </c>
    </row>
    <row r="453" spans="1:10" hidden="1">
      <c r="A453" s="3">
        <v>89144</v>
      </c>
      <c r="B453" s="1" t="s">
        <v>116</v>
      </c>
      <c r="C453" s="2" t="str">
        <f>_xlfn.XLOOKUP(B453,线路DSP对应!A:A,线路DSP对应!B:B)</f>
        <v>STA_LAS_WODLOGISTICS</v>
      </c>
      <c r="D453" s="4" t="s">
        <v>152</v>
      </c>
      <c r="E453" s="2" t="str">
        <f>_xlfn.XLOOKUP(A453,转单情况!A:A,转单情况!B:B)</f>
        <v>否</v>
      </c>
      <c r="G453" s="28">
        <f>ROUND(_xlfn.XLOOKUP(A453,全量!A:A,全量!B:B,0)/7,1)</f>
        <v>5.6</v>
      </c>
      <c r="H453" s="2">
        <f>ROUND(_xlfn.XLOOKUP(A453,AE!A:A,AE!B:B,0)/7,1)</f>
        <v>5.4</v>
      </c>
      <c r="I453" s="2" t="str">
        <f>_xlfn.XLOOKUP(A453,SWFTX邮编覆盖!A:A,SWFTX邮编覆盖!B:B,"否")</f>
        <v>是</v>
      </c>
      <c r="J453" s="2" t="str">
        <f>_xlfn.XLOOKUP(A453,YW邮编覆盖!A:A,YW邮编覆盖!B:B,"否")</f>
        <v>是</v>
      </c>
    </row>
    <row r="454" spans="1:10" hidden="1">
      <c r="A454" s="3">
        <v>89107</v>
      </c>
      <c r="B454" s="1" t="s">
        <v>116</v>
      </c>
      <c r="C454" s="2" t="str">
        <f>_xlfn.XLOOKUP(B454,线路DSP对应!A:A,线路DSP对应!B:B)</f>
        <v>STA_LAS_WODLOGISTICS</v>
      </c>
      <c r="D454" s="4" t="s">
        <v>152</v>
      </c>
      <c r="E454" s="2" t="str">
        <f>_xlfn.XLOOKUP(A454,转单情况!A:A,转单情况!B:B)</f>
        <v>否</v>
      </c>
      <c r="G454" s="28">
        <f>ROUND(_xlfn.XLOOKUP(A454,全量!A:A,全量!B:B,0)/7,1)</f>
        <v>9.4</v>
      </c>
      <c r="H454" s="2">
        <f>ROUND(_xlfn.XLOOKUP(A454,AE!A:A,AE!B:B,0)/7,1)</f>
        <v>9.3000000000000007</v>
      </c>
      <c r="I454" s="2" t="str">
        <f>_xlfn.XLOOKUP(A454,SWFTX邮编覆盖!A:A,SWFTX邮编覆盖!B:B,"否")</f>
        <v>是</v>
      </c>
      <c r="J454" s="2" t="str">
        <f>_xlfn.XLOOKUP(A454,YW邮编覆盖!A:A,YW邮编覆盖!B:B,"否")</f>
        <v>是</v>
      </c>
    </row>
    <row r="455" spans="1:10" hidden="1">
      <c r="A455" s="3">
        <v>89081</v>
      </c>
      <c r="B455" s="1" t="s">
        <v>117</v>
      </c>
      <c r="C455" s="2" t="str">
        <f>_xlfn.XLOOKUP(B455,线路DSP对应!A:A,线路DSP对应!B:B)</f>
        <v>STA_LAS_WODLOGISTICS</v>
      </c>
      <c r="D455" s="4" t="s">
        <v>152</v>
      </c>
      <c r="E455" s="2" t="str">
        <f>_xlfn.XLOOKUP(A455,转单情况!A:A,转单情况!B:B)</f>
        <v>否</v>
      </c>
      <c r="G455" s="28">
        <f>ROUND(_xlfn.XLOOKUP(A455,全量!A:A,全量!B:B,0)/7,1)</f>
        <v>8.1</v>
      </c>
      <c r="H455" s="2">
        <f>ROUND(_xlfn.XLOOKUP(A455,AE!A:A,AE!B:B,0)/7,1)</f>
        <v>7.6</v>
      </c>
      <c r="I455" s="2" t="str">
        <f>_xlfn.XLOOKUP(A455,SWFTX邮编覆盖!A:A,SWFTX邮编覆盖!B:B,"否")</f>
        <v>是</v>
      </c>
      <c r="J455" s="2" t="str">
        <f>_xlfn.XLOOKUP(A455,YW邮编覆盖!A:A,YW邮编覆盖!B:B,"否")</f>
        <v>是</v>
      </c>
    </row>
    <row r="456" spans="1:10" hidden="1">
      <c r="A456" s="3">
        <v>89086</v>
      </c>
      <c r="B456" s="1" t="s">
        <v>117</v>
      </c>
      <c r="C456" s="2" t="str">
        <f>_xlfn.XLOOKUP(B456,线路DSP对应!A:A,线路DSP对应!B:B)</f>
        <v>STA_LAS_WODLOGISTICS</v>
      </c>
      <c r="D456" s="4" t="s">
        <v>152</v>
      </c>
      <c r="E456" s="2" t="str">
        <f>_xlfn.XLOOKUP(A456,转单情况!A:A,转单情况!B:B)</f>
        <v>否</v>
      </c>
      <c r="G456" s="28">
        <f>ROUND(_xlfn.XLOOKUP(A456,全量!A:A,全量!B:B,0)/7,1)</f>
        <v>3.7</v>
      </c>
      <c r="H456" s="2">
        <f>ROUND(_xlfn.XLOOKUP(A456,AE!A:A,AE!B:B,0)/7,1)</f>
        <v>3.7</v>
      </c>
      <c r="I456" s="2" t="str">
        <f>_xlfn.XLOOKUP(A456,SWFTX邮编覆盖!A:A,SWFTX邮编覆盖!B:B,"否")</f>
        <v>是</v>
      </c>
      <c r="J456" s="2" t="str">
        <f>_xlfn.XLOOKUP(A456,YW邮编覆盖!A:A,YW邮编覆盖!B:B,"否")</f>
        <v>是</v>
      </c>
    </row>
    <row r="457" spans="1:10" hidden="1">
      <c r="A457" s="3">
        <v>89084</v>
      </c>
      <c r="B457" s="1" t="s">
        <v>117</v>
      </c>
      <c r="C457" s="2" t="str">
        <f>_xlfn.XLOOKUP(B457,线路DSP对应!A:A,线路DSP对应!B:B)</f>
        <v>STA_LAS_WODLOGISTICS</v>
      </c>
      <c r="D457" s="4" t="s">
        <v>152</v>
      </c>
      <c r="E457" s="2" t="str">
        <f>_xlfn.XLOOKUP(A457,转单情况!A:A,转单情况!B:B)</f>
        <v>否</v>
      </c>
      <c r="G457" s="28">
        <f>ROUND(_xlfn.XLOOKUP(A457,全量!A:A,全量!B:B,0)/7,1)</f>
        <v>12.7</v>
      </c>
      <c r="H457" s="2">
        <f>ROUND(_xlfn.XLOOKUP(A457,AE!A:A,AE!B:B,0)/7,1)</f>
        <v>11.3</v>
      </c>
      <c r="I457" s="2" t="str">
        <f>_xlfn.XLOOKUP(A457,SWFTX邮编覆盖!A:A,SWFTX邮编覆盖!B:B,"否")</f>
        <v>是</v>
      </c>
      <c r="J457" s="2" t="str">
        <f>_xlfn.XLOOKUP(A457,YW邮编覆盖!A:A,YW邮编覆盖!B:B,"否")</f>
        <v>是</v>
      </c>
    </row>
    <row r="458" spans="1:10" hidden="1">
      <c r="A458" s="3">
        <v>89085</v>
      </c>
      <c r="B458" s="1" t="s">
        <v>117</v>
      </c>
      <c r="C458" s="2" t="str">
        <f>_xlfn.XLOOKUP(B458,线路DSP对应!A:A,线路DSP对应!B:B)</f>
        <v>STA_LAS_WODLOGISTICS</v>
      </c>
      <c r="D458" s="4" t="s">
        <v>152</v>
      </c>
      <c r="E458" s="2" t="str">
        <f>_xlfn.XLOOKUP(A458,转单情况!A:A,转单情况!B:B)</f>
        <v>否</v>
      </c>
      <c r="G458" s="28">
        <f>ROUND(_xlfn.XLOOKUP(A458,全量!A:A,全量!B:B,0)/7,1)</f>
        <v>2.2999999999999998</v>
      </c>
      <c r="H458" s="2">
        <f>ROUND(_xlfn.XLOOKUP(A458,AE!A:A,AE!B:B,0)/7,1)</f>
        <v>2.2999999999999998</v>
      </c>
      <c r="I458" s="2" t="str">
        <f>_xlfn.XLOOKUP(A458,SWFTX邮编覆盖!A:A,SWFTX邮编覆盖!B:B,"否")</f>
        <v>是</v>
      </c>
      <c r="J458" s="2" t="str">
        <f>_xlfn.XLOOKUP(A458,YW邮编覆盖!A:A,YW邮编覆盖!B:B,"否")</f>
        <v>是</v>
      </c>
    </row>
    <row r="459" spans="1:10" hidden="1">
      <c r="A459" s="3">
        <v>89031</v>
      </c>
      <c r="B459" s="1" t="s">
        <v>117</v>
      </c>
      <c r="C459" s="2" t="str">
        <f>_xlfn.XLOOKUP(B459,线路DSP对应!A:A,线路DSP对应!B:B)</f>
        <v>STA_LAS_WODLOGISTICS</v>
      </c>
      <c r="D459" s="4" t="s">
        <v>152</v>
      </c>
      <c r="E459" s="2" t="str">
        <f>_xlfn.XLOOKUP(A459,转单情况!A:A,转单情况!B:B)</f>
        <v>否</v>
      </c>
      <c r="G459" s="28">
        <f>ROUND(_xlfn.XLOOKUP(A459,全量!A:A,全量!B:B,0)/7,1)</f>
        <v>20.9</v>
      </c>
      <c r="H459" s="2">
        <f>ROUND(_xlfn.XLOOKUP(A459,AE!A:A,AE!B:B,0)/7,1)</f>
        <v>19.3</v>
      </c>
      <c r="I459" s="2" t="str">
        <f>_xlfn.XLOOKUP(A459,SWFTX邮编覆盖!A:A,SWFTX邮编覆盖!B:B,"否")</f>
        <v>是</v>
      </c>
      <c r="J459" s="2" t="str">
        <f>_xlfn.XLOOKUP(A459,YW邮编覆盖!A:A,YW邮编覆盖!B:B,"否")</f>
        <v>是</v>
      </c>
    </row>
    <row r="460" spans="1:10" hidden="1">
      <c r="A460" s="3">
        <v>89030</v>
      </c>
      <c r="B460" s="1" t="s">
        <v>117</v>
      </c>
      <c r="C460" s="2" t="str">
        <f>_xlfn.XLOOKUP(B460,线路DSP对应!A:A,线路DSP对应!B:B)</f>
        <v>STA_LAS_WODLOGISTICS</v>
      </c>
      <c r="D460" s="4" t="s">
        <v>152</v>
      </c>
      <c r="E460" s="2" t="str">
        <f>_xlfn.XLOOKUP(A460,转单情况!A:A,转单情况!B:B)</f>
        <v>否</v>
      </c>
      <c r="G460" s="28">
        <f>ROUND(_xlfn.XLOOKUP(A460,全量!A:A,全量!B:B,0)/7,1)</f>
        <v>11</v>
      </c>
      <c r="H460" s="2">
        <f>ROUND(_xlfn.XLOOKUP(A460,AE!A:A,AE!B:B,0)/7,1)</f>
        <v>10.9</v>
      </c>
      <c r="I460" s="2" t="str">
        <f>_xlfn.XLOOKUP(A460,SWFTX邮编覆盖!A:A,SWFTX邮编覆盖!B:B,"否")</f>
        <v>是</v>
      </c>
      <c r="J460" s="2" t="str">
        <f>_xlfn.XLOOKUP(A460,YW邮编覆盖!A:A,YW邮编覆盖!B:B,"否")</f>
        <v>是</v>
      </c>
    </row>
    <row r="461" spans="1:10" hidden="1">
      <c r="A461" s="3">
        <v>89032</v>
      </c>
      <c r="B461" s="1" t="s">
        <v>117</v>
      </c>
      <c r="C461" s="2" t="str">
        <f>_xlfn.XLOOKUP(B461,线路DSP对应!A:A,线路DSP对应!B:B)</f>
        <v>STA_LAS_WODLOGISTICS</v>
      </c>
      <c r="D461" s="4" t="s">
        <v>152</v>
      </c>
      <c r="E461" s="2" t="str">
        <f>_xlfn.XLOOKUP(A461,转单情况!A:A,转单情况!B:B)</f>
        <v>否</v>
      </c>
      <c r="G461" s="28">
        <f>ROUND(_xlfn.XLOOKUP(A461,全量!A:A,全量!B:B,0)/7,1)</f>
        <v>16.7</v>
      </c>
      <c r="H461" s="2">
        <f>ROUND(_xlfn.XLOOKUP(A461,AE!A:A,AE!B:B,0)/7,1)</f>
        <v>16.3</v>
      </c>
      <c r="I461" s="2" t="str">
        <f>_xlfn.XLOOKUP(A461,SWFTX邮编覆盖!A:A,SWFTX邮编覆盖!B:B,"否")</f>
        <v>是</v>
      </c>
      <c r="J461" s="2" t="str">
        <f>_xlfn.XLOOKUP(A461,YW邮编覆盖!A:A,YW邮编覆盖!B:B,"否")</f>
        <v>是</v>
      </c>
    </row>
    <row r="462" spans="1:10" hidden="1">
      <c r="A462" s="3">
        <v>89123</v>
      </c>
      <c r="B462" s="1" t="s">
        <v>118</v>
      </c>
      <c r="C462" s="2" t="str">
        <f>_xlfn.XLOOKUP(B462,线路DSP对应!A:A,线路DSP对应!B:B)</f>
        <v>STA_LAS_Shunle</v>
      </c>
      <c r="D462" s="4" t="s">
        <v>152</v>
      </c>
      <c r="E462" s="2" t="str">
        <f>_xlfn.XLOOKUP(A462,转单情况!A:A,转单情况!B:B)</f>
        <v>否</v>
      </c>
      <c r="G462" s="28">
        <f>ROUND(_xlfn.XLOOKUP(A462,全量!A:A,全量!B:B,0)/7,1)</f>
        <v>13.9</v>
      </c>
      <c r="H462" s="2">
        <f>ROUND(_xlfn.XLOOKUP(A462,AE!A:A,AE!B:B,0)/7,1)</f>
        <v>13.7</v>
      </c>
      <c r="I462" s="2" t="str">
        <f>_xlfn.XLOOKUP(A462,SWFTX邮编覆盖!A:A,SWFTX邮编覆盖!B:B,"否")</f>
        <v>是</v>
      </c>
      <c r="J462" s="2" t="str">
        <f>_xlfn.XLOOKUP(A462,YW邮编覆盖!A:A,YW邮编覆盖!B:B,"否")</f>
        <v>是</v>
      </c>
    </row>
    <row r="463" spans="1:10" hidden="1">
      <c r="A463" s="3">
        <v>89183</v>
      </c>
      <c r="B463" s="1" t="s">
        <v>118</v>
      </c>
      <c r="C463" s="2" t="str">
        <f>_xlfn.XLOOKUP(B463,线路DSP对应!A:A,线路DSP对应!B:B)</f>
        <v>STA_LAS_Shunle</v>
      </c>
      <c r="D463" s="4" t="s">
        <v>152</v>
      </c>
      <c r="E463" s="2" t="str">
        <f>_xlfn.XLOOKUP(A463,转单情况!A:A,转单情况!B:B)</f>
        <v>否</v>
      </c>
      <c r="G463" s="28">
        <f>ROUND(_xlfn.XLOOKUP(A463,全量!A:A,全量!B:B,0)/7,1)</f>
        <v>12</v>
      </c>
      <c r="H463" s="2">
        <f>ROUND(_xlfn.XLOOKUP(A463,AE!A:A,AE!B:B,0)/7,1)</f>
        <v>11.4</v>
      </c>
      <c r="I463" s="2" t="str">
        <f>_xlfn.XLOOKUP(A463,SWFTX邮编覆盖!A:A,SWFTX邮编覆盖!B:B,"否")</f>
        <v>是</v>
      </c>
      <c r="J463" s="2" t="str">
        <f>_xlfn.XLOOKUP(A463,YW邮编覆盖!A:A,YW邮编覆盖!B:B,"否")</f>
        <v>是</v>
      </c>
    </row>
    <row r="464" spans="1:10" hidden="1">
      <c r="A464" s="3">
        <v>89169</v>
      </c>
      <c r="B464" s="1" t="s">
        <v>118</v>
      </c>
      <c r="C464" s="2" t="str">
        <f>_xlfn.XLOOKUP(B464,线路DSP对应!A:A,线路DSP对应!B:B)</f>
        <v>STA_LAS_Shunle</v>
      </c>
      <c r="D464" s="4" t="s">
        <v>152</v>
      </c>
      <c r="E464" s="2" t="str">
        <f>_xlfn.XLOOKUP(A464,转单情况!A:A,转单情况!B:B)</f>
        <v>否</v>
      </c>
      <c r="G464" s="28">
        <f>ROUND(_xlfn.XLOOKUP(A464,全量!A:A,全量!B:B,0)/7,1)</f>
        <v>12.3</v>
      </c>
      <c r="H464" s="2">
        <f>ROUND(_xlfn.XLOOKUP(A464,AE!A:A,AE!B:B,0)/7,1)</f>
        <v>5.7</v>
      </c>
      <c r="I464" s="2" t="str">
        <f>_xlfn.XLOOKUP(A464,SWFTX邮编覆盖!A:A,SWFTX邮编覆盖!B:B,"否")</f>
        <v>是</v>
      </c>
      <c r="J464" s="2" t="str">
        <f>_xlfn.XLOOKUP(A464,YW邮编覆盖!A:A,YW邮编覆盖!B:B,"否")</f>
        <v>否</v>
      </c>
    </row>
    <row r="465" spans="1:10" hidden="1">
      <c r="A465" s="3">
        <v>89119</v>
      </c>
      <c r="B465" s="1" t="s">
        <v>118</v>
      </c>
      <c r="C465" s="2" t="str">
        <f>_xlfn.XLOOKUP(B465,线路DSP对应!A:A,线路DSP对应!B:B)</f>
        <v>STA_LAS_Shunle</v>
      </c>
      <c r="D465" s="4" t="s">
        <v>152</v>
      </c>
      <c r="E465" s="2" t="str">
        <f>_xlfn.XLOOKUP(A465,转单情况!A:A,转单情况!B:B)</f>
        <v>否</v>
      </c>
      <c r="G465" s="28">
        <f>ROUND(_xlfn.XLOOKUP(A465,全量!A:A,全量!B:B,0)/7,1)</f>
        <v>25.7</v>
      </c>
      <c r="H465" s="2">
        <f>ROUND(_xlfn.XLOOKUP(A465,AE!A:A,AE!B:B,0)/7,1)</f>
        <v>12.3</v>
      </c>
      <c r="I465" s="2" t="str">
        <f>_xlfn.XLOOKUP(A465,SWFTX邮编覆盖!A:A,SWFTX邮编覆盖!B:B,"否")</f>
        <v>是</v>
      </c>
      <c r="J465" s="2" t="str">
        <f>_xlfn.XLOOKUP(A465,YW邮编覆盖!A:A,YW邮编覆盖!B:B,"否")</f>
        <v>否</v>
      </c>
    </row>
    <row r="466" spans="1:10" hidden="1">
      <c r="A466" s="3">
        <v>89120</v>
      </c>
      <c r="B466" s="1" t="s">
        <v>118</v>
      </c>
      <c r="C466" s="2" t="str">
        <f>_xlfn.XLOOKUP(B466,线路DSP对应!A:A,线路DSP对应!B:B)</f>
        <v>STA_LAS_Shunle</v>
      </c>
      <c r="D466" s="4" t="s">
        <v>152</v>
      </c>
      <c r="E466" s="2" t="str">
        <f>_xlfn.XLOOKUP(A466,转单情况!A:A,转单情况!B:B)</f>
        <v>否</v>
      </c>
      <c r="G466" s="28">
        <f>ROUND(_xlfn.XLOOKUP(A466,全量!A:A,全量!B:B,0)/7,1)</f>
        <v>7.1</v>
      </c>
      <c r="H466" s="2">
        <f>ROUND(_xlfn.XLOOKUP(A466,AE!A:A,AE!B:B,0)/7,1)</f>
        <v>7</v>
      </c>
      <c r="I466" s="2" t="str">
        <f>_xlfn.XLOOKUP(A466,SWFTX邮编覆盖!A:A,SWFTX邮编覆盖!B:B,"否")</f>
        <v>是</v>
      </c>
      <c r="J466" s="2" t="str">
        <f>_xlfn.XLOOKUP(A466,YW邮编覆盖!A:A,YW邮编覆盖!B:B,"否")</f>
        <v>是</v>
      </c>
    </row>
    <row r="467" spans="1:10" hidden="1">
      <c r="A467" s="3">
        <v>89121</v>
      </c>
      <c r="B467" s="1" t="s">
        <v>118</v>
      </c>
      <c r="C467" s="2" t="str">
        <f>_xlfn.XLOOKUP(B467,线路DSP对应!A:A,线路DSP对应!B:B)</f>
        <v>STA_LAS_Shunle</v>
      </c>
      <c r="D467" s="4" t="s">
        <v>152</v>
      </c>
      <c r="E467" s="2" t="str">
        <f>_xlfn.XLOOKUP(A467,转单情况!A:A,转单情况!B:B)</f>
        <v>否</v>
      </c>
      <c r="G467" s="28">
        <f>ROUND(_xlfn.XLOOKUP(A467,全量!A:A,全量!B:B,0)/7,1)</f>
        <v>22.4</v>
      </c>
      <c r="H467" s="2">
        <f>ROUND(_xlfn.XLOOKUP(A467,AE!A:A,AE!B:B,0)/7,1)</f>
        <v>22.1</v>
      </c>
      <c r="I467" s="2" t="str">
        <f>_xlfn.XLOOKUP(A467,SWFTX邮编覆盖!A:A,SWFTX邮编覆盖!B:B,"否")</f>
        <v>是</v>
      </c>
      <c r="J467" s="2" t="str">
        <f>_xlfn.XLOOKUP(A467,YW邮编覆盖!A:A,YW邮编覆盖!B:B,"否")</f>
        <v>是</v>
      </c>
    </row>
    <row r="468" spans="1:10" hidden="1">
      <c r="A468" s="3">
        <v>89178</v>
      </c>
      <c r="B468" s="1" t="s">
        <v>118</v>
      </c>
      <c r="C468" s="2" t="str">
        <f>_xlfn.XLOOKUP(B468,线路DSP对应!A:A,线路DSP对应!B:B)</f>
        <v>STA_LAS_Shunle</v>
      </c>
      <c r="D468" s="4" t="s">
        <v>152</v>
      </c>
      <c r="E468" s="2" t="str">
        <f>_xlfn.XLOOKUP(A468,转单情况!A:A,转单情况!B:B)</f>
        <v>否</v>
      </c>
      <c r="G468" s="28">
        <f>ROUND(_xlfn.XLOOKUP(A468,全量!A:A,全量!B:B,0)/7,1)</f>
        <v>16.7</v>
      </c>
      <c r="H468" s="2">
        <f>ROUND(_xlfn.XLOOKUP(A468,AE!A:A,AE!B:B,0)/7,1)</f>
        <v>15.3</v>
      </c>
      <c r="I468" s="2" t="str">
        <f>_xlfn.XLOOKUP(A468,SWFTX邮编覆盖!A:A,SWFTX邮编覆盖!B:B,"否")</f>
        <v>是</v>
      </c>
      <c r="J468" s="2" t="str">
        <f>_xlfn.XLOOKUP(A468,YW邮编覆盖!A:A,YW邮编覆盖!B:B,"否")</f>
        <v>是</v>
      </c>
    </row>
    <row r="469" spans="1:10" hidden="1">
      <c r="A469" s="3">
        <v>89139</v>
      </c>
      <c r="B469" s="1" t="s">
        <v>118</v>
      </c>
      <c r="C469" s="2" t="str">
        <f>_xlfn.XLOOKUP(B469,线路DSP对应!A:A,线路DSP对应!B:B)</f>
        <v>STA_LAS_Shunle</v>
      </c>
      <c r="D469" s="4" t="s">
        <v>152</v>
      </c>
      <c r="E469" s="2" t="str">
        <f>_xlfn.XLOOKUP(A469,转单情况!A:A,转单情况!B:B)</f>
        <v>否</v>
      </c>
      <c r="G469" s="28">
        <f>ROUND(_xlfn.XLOOKUP(A469,全量!A:A,全量!B:B,0)/7,1)</f>
        <v>21.7</v>
      </c>
      <c r="H469" s="2">
        <f>ROUND(_xlfn.XLOOKUP(A469,AE!A:A,AE!B:B,0)/7,1)</f>
        <v>21</v>
      </c>
      <c r="I469" s="2" t="str">
        <f>_xlfn.XLOOKUP(A469,SWFTX邮编覆盖!A:A,SWFTX邮编覆盖!B:B,"否")</f>
        <v>是</v>
      </c>
      <c r="J469" s="2" t="str">
        <f>_xlfn.XLOOKUP(A469,YW邮编覆盖!A:A,YW邮编覆盖!B:B,"否")</f>
        <v>是</v>
      </c>
    </row>
    <row r="470" spans="1:10" hidden="1">
      <c r="A470" s="3">
        <v>89141</v>
      </c>
      <c r="B470" s="1" t="s">
        <v>118</v>
      </c>
      <c r="C470" s="2" t="str">
        <f>_xlfn.XLOOKUP(B470,线路DSP对应!A:A,线路DSP对应!B:B)</f>
        <v>STA_LAS_Shunle</v>
      </c>
      <c r="D470" s="4" t="s">
        <v>152</v>
      </c>
      <c r="E470" s="2" t="str">
        <f>_xlfn.XLOOKUP(A470,转单情况!A:A,转单情况!B:B)</f>
        <v>否</v>
      </c>
      <c r="G470" s="28">
        <f>ROUND(_xlfn.XLOOKUP(A470,全量!A:A,全量!B:B,0)/7,1)</f>
        <v>14.6</v>
      </c>
      <c r="H470" s="2">
        <f>ROUND(_xlfn.XLOOKUP(A470,AE!A:A,AE!B:B,0)/7,1)</f>
        <v>13.6</v>
      </c>
      <c r="I470" s="2" t="str">
        <f>_xlfn.XLOOKUP(A470,SWFTX邮编覆盖!A:A,SWFTX邮编覆盖!B:B,"否")</f>
        <v>是</v>
      </c>
      <c r="J470" s="2" t="str">
        <f>_xlfn.XLOOKUP(A470,YW邮编覆盖!A:A,YW邮编覆盖!B:B,"否")</f>
        <v>是</v>
      </c>
    </row>
    <row r="471" spans="1:10" hidden="1">
      <c r="A471" s="3">
        <v>89179</v>
      </c>
      <c r="B471" s="1" t="s">
        <v>118</v>
      </c>
      <c r="C471" s="2" t="str">
        <f>_xlfn.XLOOKUP(B471,线路DSP对应!A:A,线路DSP对应!B:B)</f>
        <v>STA_LAS_Shunle</v>
      </c>
      <c r="D471" s="4" t="s">
        <v>152</v>
      </c>
      <c r="E471" s="2" t="str">
        <f>_xlfn.XLOOKUP(A471,转单情况!A:A,转单情况!B:B)</f>
        <v>SW</v>
      </c>
      <c r="F471" s="29"/>
      <c r="G471" s="28">
        <f>ROUND(_xlfn.XLOOKUP(A471,全量!A:A,全量!B:B,0)/7,1)</f>
        <v>2.6</v>
      </c>
      <c r="H471" s="2">
        <f>ROUND(_xlfn.XLOOKUP(A471,AE!A:A,AE!B:B,0)/7,1)</f>
        <v>2.1</v>
      </c>
      <c r="I471" s="2" t="str">
        <f>_xlfn.XLOOKUP(A471,SWFTX邮编覆盖!A:A,SWFTX邮编覆盖!B:B,"否")</f>
        <v>是</v>
      </c>
      <c r="J471" s="2" t="str">
        <f>_xlfn.XLOOKUP(A471,YW邮编覆盖!A:A,YW邮编覆盖!B:B,"否")</f>
        <v>是</v>
      </c>
    </row>
    <row r="472" spans="1:10" hidden="1">
      <c r="A472" s="3">
        <v>89117</v>
      </c>
      <c r="B472" s="1" t="s">
        <v>119</v>
      </c>
      <c r="C472" s="2" t="str">
        <f>_xlfn.XLOOKUP(B472,线路DSP对应!A:A,线路DSP对应!B:B)</f>
        <v>STA_LAS_WODLOGISTICS</v>
      </c>
      <c r="D472" s="4" t="s">
        <v>152</v>
      </c>
      <c r="E472" s="2" t="str">
        <f>_xlfn.XLOOKUP(A472,转单情况!A:A,转单情况!B:B)</f>
        <v>否</v>
      </c>
      <c r="G472" s="28">
        <f>ROUND(_xlfn.XLOOKUP(A472,全量!A:A,全量!B:B,0)/7,1)</f>
        <v>16.3</v>
      </c>
      <c r="H472" s="2">
        <f>ROUND(_xlfn.XLOOKUP(A472,AE!A:A,AE!B:B,0)/7,1)</f>
        <v>15.7</v>
      </c>
      <c r="I472" s="2" t="str">
        <f>_xlfn.XLOOKUP(A472,SWFTX邮编覆盖!A:A,SWFTX邮编覆盖!B:B,"否")</f>
        <v>是</v>
      </c>
      <c r="J472" s="2" t="str">
        <f>_xlfn.XLOOKUP(A472,YW邮编覆盖!A:A,YW邮编覆盖!B:B,"否")</f>
        <v>是</v>
      </c>
    </row>
    <row r="473" spans="1:10" hidden="1">
      <c r="A473" s="3">
        <v>89147</v>
      </c>
      <c r="B473" s="1" t="s">
        <v>119</v>
      </c>
      <c r="C473" s="2" t="str">
        <f>_xlfn.XLOOKUP(B473,线路DSP对应!A:A,线路DSP对应!B:B)</f>
        <v>STA_LAS_WODLOGISTICS</v>
      </c>
      <c r="D473" s="4" t="s">
        <v>152</v>
      </c>
      <c r="E473" s="2" t="str">
        <f>_xlfn.XLOOKUP(A473,转单情况!A:A,转单情况!B:B)</f>
        <v>否</v>
      </c>
      <c r="G473" s="28">
        <f>ROUND(_xlfn.XLOOKUP(A473,全量!A:A,全量!B:B,0)/7,1)</f>
        <v>16.600000000000001</v>
      </c>
      <c r="H473" s="2">
        <f>ROUND(_xlfn.XLOOKUP(A473,AE!A:A,AE!B:B,0)/7,1)</f>
        <v>16.3</v>
      </c>
      <c r="I473" s="2" t="str">
        <f>_xlfn.XLOOKUP(A473,SWFTX邮编覆盖!A:A,SWFTX邮编覆盖!B:B,"否")</f>
        <v>是</v>
      </c>
      <c r="J473" s="2" t="str">
        <f>_xlfn.XLOOKUP(A473,YW邮编覆盖!A:A,YW邮编覆盖!B:B,"否")</f>
        <v>是</v>
      </c>
    </row>
    <row r="474" spans="1:10" hidden="1">
      <c r="A474" s="3">
        <v>89102</v>
      </c>
      <c r="B474" s="1" t="s">
        <v>119</v>
      </c>
      <c r="C474" s="2" t="str">
        <f>_xlfn.XLOOKUP(B474,线路DSP对应!A:A,线路DSP对应!B:B)</f>
        <v>STA_LAS_WODLOGISTICS</v>
      </c>
      <c r="D474" s="4" t="s">
        <v>152</v>
      </c>
      <c r="E474" s="2" t="str">
        <f>_xlfn.XLOOKUP(A474,转单情况!A:A,转单情况!B:B)</f>
        <v>否</v>
      </c>
      <c r="G474" s="28">
        <f>ROUND(_xlfn.XLOOKUP(A474,全量!A:A,全量!B:B,0)/7,1)</f>
        <v>10.1</v>
      </c>
      <c r="H474" s="2">
        <f>ROUND(_xlfn.XLOOKUP(A474,AE!A:A,AE!B:B,0)/7,1)</f>
        <v>10.1</v>
      </c>
      <c r="I474" s="2" t="str">
        <f>_xlfn.XLOOKUP(A474,SWFTX邮编覆盖!A:A,SWFTX邮编覆盖!B:B,"否")</f>
        <v>是</v>
      </c>
      <c r="J474" s="2" t="str">
        <f>_xlfn.XLOOKUP(A474,YW邮编覆盖!A:A,YW邮编覆盖!B:B,"否")</f>
        <v>是</v>
      </c>
    </row>
    <row r="475" spans="1:10" hidden="1">
      <c r="A475" s="3">
        <v>89103</v>
      </c>
      <c r="B475" s="1" t="s">
        <v>119</v>
      </c>
      <c r="C475" s="2" t="str">
        <f>_xlfn.XLOOKUP(B475,线路DSP对应!A:A,线路DSP对应!B:B)</f>
        <v>STA_LAS_WODLOGISTICS</v>
      </c>
      <c r="D475" s="4" t="s">
        <v>152</v>
      </c>
      <c r="E475" s="2" t="str">
        <f>_xlfn.XLOOKUP(A475,转单情况!A:A,转单情况!B:B)</f>
        <v>否</v>
      </c>
      <c r="G475" s="28">
        <f>ROUND(_xlfn.XLOOKUP(A475,全量!A:A,全量!B:B,0)/7,1)</f>
        <v>14.1</v>
      </c>
      <c r="H475" s="2">
        <f>ROUND(_xlfn.XLOOKUP(A475,AE!A:A,AE!B:B,0)/7,1)</f>
        <v>13.9</v>
      </c>
      <c r="I475" s="2" t="str">
        <f>_xlfn.XLOOKUP(A475,SWFTX邮编覆盖!A:A,SWFTX邮编覆盖!B:B,"否")</f>
        <v>是</v>
      </c>
      <c r="J475" s="2" t="str">
        <f>_xlfn.XLOOKUP(A475,YW邮编覆盖!A:A,YW邮编覆盖!B:B,"否")</f>
        <v>是</v>
      </c>
    </row>
    <row r="476" spans="1:10" hidden="1">
      <c r="A476" s="3">
        <v>89118</v>
      </c>
      <c r="B476" s="1" t="s">
        <v>119</v>
      </c>
      <c r="C476" s="2" t="str">
        <f>_xlfn.XLOOKUP(B476,线路DSP对应!A:A,线路DSP对应!B:B)</f>
        <v>STA_LAS_WODLOGISTICS</v>
      </c>
      <c r="D476" s="4" t="s">
        <v>152</v>
      </c>
      <c r="E476" s="2" t="str">
        <f>_xlfn.XLOOKUP(A476,转单情况!A:A,转单情况!B:B)</f>
        <v>否</v>
      </c>
      <c r="G476" s="28">
        <f>ROUND(_xlfn.XLOOKUP(A476,全量!A:A,全量!B:B,0)/7,1)</f>
        <v>6.4</v>
      </c>
      <c r="H476" s="2">
        <f>ROUND(_xlfn.XLOOKUP(A476,AE!A:A,AE!B:B,0)/7,1)</f>
        <v>6.4</v>
      </c>
      <c r="I476" s="2" t="str">
        <f>_xlfn.XLOOKUP(A476,SWFTX邮编覆盖!A:A,SWFTX邮编覆盖!B:B,"否")</f>
        <v>是</v>
      </c>
      <c r="J476" s="2" t="str">
        <f>_xlfn.XLOOKUP(A476,YW邮编覆盖!A:A,YW邮编覆盖!B:B,"否")</f>
        <v>是</v>
      </c>
    </row>
    <row r="477" spans="1:10" hidden="1">
      <c r="A477" s="3">
        <v>89146</v>
      </c>
      <c r="B477" s="1" t="s">
        <v>119</v>
      </c>
      <c r="C477" s="2" t="str">
        <f>_xlfn.XLOOKUP(B477,线路DSP对应!A:A,线路DSP对应!B:B)</f>
        <v>STA_LAS_WODLOGISTICS</v>
      </c>
      <c r="D477" s="4" t="s">
        <v>152</v>
      </c>
      <c r="E477" s="2" t="str">
        <f>_xlfn.XLOOKUP(A477,转单情况!A:A,转单情况!B:B)</f>
        <v>否</v>
      </c>
      <c r="G477" s="28">
        <f>ROUND(_xlfn.XLOOKUP(A477,全量!A:A,全量!B:B,0)/7,1)</f>
        <v>6.4</v>
      </c>
      <c r="H477" s="2">
        <f>ROUND(_xlfn.XLOOKUP(A477,AE!A:A,AE!B:B,0)/7,1)</f>
        <v>6.1</v>
      </c>
      <c r="I477" s="2" t="str">
        <f>_xlfn.XLOOKUP(A477,SWFTX邮编覆盖!A:A,SWFTX邮编覆盖!B:B,"否")</f>
        <v>是</v>
      </c>
      <c r="J477" s="2" t="str">
        <f>_xlfn.XLOOKUP(A477,YW邮编覆盖!A:A,YW邮编覆盖!B:B,"否")</f>
        <v>是</v>
      </c>
    </row>
    <row r="478" spans="1:10" hidden="1">
      <c r="A478" s="3">
        <v>89106</v>
      </c>
      <c r="B478" s="1" t="s">
        <v>119</v>
      </c>
      <c r="C478" s="2" t="str">
        <f>_xlfn.XLOOKUP(B478,线路DSP对应!A:A,线路DSP对应!B:B)</f>
        <v>STA_LAS_WODLOGISTICS</v>
      </c>
      <c r="D478" s="4" t="s">
        <v>152</v>
      </c>
      <c r="E478" s="2" t="str">
        <f>_xlfn.XLOOKUP(A478,转单情况!A:A,转单情况!B:B)</f>
        <v>否</v>
      </c>
      <c r="G478" s="28">
        <f>ROUND(_xlfn.XLOOKUP(A478,全量!A:A,全量!B:B,0)/7,1)</f>
        <v>8.9</v>
      </c>
      <c r="H478" s="2">
        <f>ROUND(_xlfn.XLOOKUP(A478,AE!A:A,AE!B:B,0)/7,1)</f>
        <v>8.6</v>
      </c>
      <c r="I478" s="2" t="str">
        <f>_xlfn.XLOOKUP(A478,SWFTX邮编覆盖!A:A,SWFTX邮编覆盖!B:B,"否")</f>
        <v>是</v>
      </c>
      <c r="J478" s="2" t="str">
        <f>_xlfn.XLOOKUP(A478,YW邮编覆盖!A:A,YW邮编覆盖!B:B,"否")</f>
        <v>是</v>
      </c>
    </row>
    <row r="479" spans="1:10" hidden="1">
      <c r="A479" s="3">
        <v>89135</v>
      </c>
      <c r="B479" s="1" t="s">
        <v>119</v>
      </c>
      <c r="C479" s="2" t="str">
        <f>_xlfn.XLOOKUP(B479,线路DSP对应!A:A,线路DSP对应!B:B)</f>
        <v>STA_LAS_WODLOGISTICS</v>
      </c>
      <c r="D479" s="4" t="s">
        <v>152</v>
      </c>
      <c r="E479" s="2" t="str">
        <f>_xlfn.XLOOKUP(A479,转单情况!A:A,转单情况!B:B)</f>
        <v>否</v>
      </c>
      <c r="G479" s="28">
        <f>ROUND(_xlfn.XLOOKUP(A479,全量!A:A,全量!B:B,0)/7,1)</f>
        <v>11.4</v>
      </c>
      <c r="H479" s="2">
        <f>ROUND(_xlfn.XLOOKUP(A479,AE!A:A,AE!B:B,0)/7,1)</f>
        <v>11.1</v>
      </c>
      <c r="I479" s="2" t="str">
        <f>_xlfn.XLOOKUP(A479,SWFTX邮编覆盖!A:A,SWFTX邮编覆盖!B:B,"否")</f>
        <v>是</v>
      </c>
      <c r="J479" s="2" t="str">
        <f>_xlfn.XLOOKUP(A479,YW邮编覆盖!A:A,YW邮编覆盖!B:B,"否")</f>
        <v>是</v>
      </c>
    </row>
    <row r="480" spans="1:10" hidden="1">
      <c r="A480" s="3">
        <v>89148</v>
      </c>
      <c r="B480" s="1" t="s">
        <v>119</v>
      </c>
      <c r="C480" s="2" t="str">
        <f>_xlfn.XLOOKUP(B480,线路DSP对应!A:A,线路DSP对应!B:B)</f>
        <v>STA_LAS_WODLOGISTICS</v>
      </c>
      <c r="D480" s="4" t="s">
        <v>152</v>
      </c>
      <c r="E480" s="2" t="str">
        <f>_xlfn.XLOOKUP(A480,转单情况!A:A,转单情况!B:B)</f>
        <v>否</v>
      </c>
      <c r="G480" s="28">
        <f>ROUND(_xlfn.XLOOKUP(A480,全量!A:A,全量!B:B,0)/7,1)</f>
        <v>27.1</v>
      </c>
      <c r="H480" s="2">
        <f>ROUND(_xlfn.XLOOKUP(A480,AE!A:A,AE!B:B,0)/7,1)</f>
        <v>26.3</v>
      </c>
      <c r="I480" s="2" t="str">
        <f>_xlfn.XLOOKUP(A480,SWFTX邮编覆盖!A:A,SWFTX邮编覆盖!B:B,"否")</f>
        <v>是</v>
      </c>
      <c r="J480" s="2" t="str">
        <f>_xlfn.XLOOKUP(A480,YW邮编覆盖!A:A,YW邮编覆盖!B:B,"否")</f>
        <v>是</v>
      </c>
    </row>
    <row r="481" spans="1:10" hidden="1">
      <c r="A481" s="3">
        <v>89113</v>
      </c>
      <c r="B481" s="1" t="s">
        <v>119</v>
      </c>
      <c r="C481" s="2" t="str">
        <f>_xlfn.XLOOKUP(B481,线路DSP对应!A:A,线路DSP对应!B:B)</f>
        <v>STA_LAS_WODLOGISTICS</v>
      </c>
      <c r="D481" s="4" t="s">
        <v>152</v>
      </c>
      <c r="E481" s="2" t="str">
        <f>_xlfn.XLOOKUP(A481,转单情况!A:A,转单情况!B:B)</f>
        <v>否</v>
      </c>
      <c r="G481" s="28">
        <f>ROUND(_xlfn.XLOOKUP(A481,全量!A:A,全量!B:B,0)/7,1)</f>
        <v>16.7</v>
      </c>
      <c r="H481" s="2">
        <f>ROUND(_xlfn.XLOOKUP(A481,AE!A:A,AE!B:B,0)/7,1)</f>
        <v>16</v>
      </c>
      <c r="I481" s="2" t="str">
        <f>_xlfn.XLOOKUP(A481,SWFTX邮编覆盖!A:A,SWFTX邮编覆盖!B:B,"否")</f>
        <v>是</v>
      </c>
      <c r="J481" s="2" t="str">
        <f>_xlfn.XLOOKUP(A481,YW邮编覆盖!A:A,YW邮编覆盖!B:B,"否")</f>
        <v>是</v>
      </c>
    </row>
    <row r="482" spans="1:10" hidden="1">
      <c r="A482" s="3">
        <v>89156</v>
      </c>
      <c r="B482" s="1" t="s">
        <v>120</v>
      </c>
      <c r="C482" s="2" t="str">
        <f>_xlfn.XLOOKUP(B482,线路DSP对应!A:A,线路DSP对应!B:B)</f>
        <v>STA_LAS_Shunle</v>
      </c>
      <c r="D482" s="4" t="s">
        <v>152</v>
      </c>
      <c r="E482" s="2" t="str">
        <f>_xlfn.XLOOKUP(A482,转单情况!A:A,转单情况!B:B)</f>
        <v>否</v>
      </c>
      <c r="G482" s="28">
        <f>ROUND(_xlfn.XLOOKUP(A482,全量!A:A,全量!B:B,0)/7,1)</f>
        <v>8.3000000000000007</v>
      </c>
      <c r="H482" s="2">
        <f>ROUND(_xlfn.XLOOKUP(A482,AE!A:A,AE!B:B,0)/7,1)</f>
        <v>7.9</v>
      </c>
      <c r="I482" s="2" t="str">
        <f>_xlfn.XLOOKUP(A482,SWFTX邮编覆盖!A:A,SWFTX邮编覆盖!B:B,"否")</f>
        <v>是</v>
      </c>
      <c r="J482" s="2" t="str">
        <f>_xlfn.XLOOKUP(A482,YW邮编覆盖!A:A,YW邮编覆盖!B:B,"否")</f>
        <v>是</v>
      </c>
    </row>
    <row r="483" spans="1:10" hidden="1">
      <c r="A483" s="3">
        <v>89101</v>
      </c>
      <c r="B483" s="1" t="s">
        <v>120</v>
      </c>
      <c r="C483" s="2" t="str">
        <f>_xlfn.XLOOKUP(B483,线路DSP对应!A:A,线路DSP对应!B:B)</f>
        <v>STA_LAS_Shunle</v>
      </c>
      <c r="D483" s="4" t="s">
        <v>152</v>
      </c>
      <c r="E483" s="2" t="str">
        <f>_xlfn.XLOOKUP(A483,转单情况!A:A,转单情况!B:B)</f>
        <v>否</v>
      </c>
      <c r="G483" s="28">
        <f>ROUND(_xlfn.XLOOKUP(A483,全量!A:A,全量!B:B,0)/7,1)</f>
        <v>11.3</v>
      </c>
      <c r="H483" s="2">
        <f>ROUND(_xlfn.XLOOKUP(A483,AE!A:A,AE!B:B,0)/7,1)</f>
        <v>10.7</v>
      </c>
      <c r="I483" s="2" t="str">
        <f>_xlfn.XLOOKUP(A483,SWFTX邮编覆盖!A:A,SWFTX邮编覆盖!B:B,"否")</f>
        <v>是</v>
      </c>
      <c r="J483" s="2" t="str">
        <f>_xlfn.XLOOKUP(A483,YW邮编覆盖!A:A,YW邮编覆盖!B:B,"否")</f>
        <v>是</v>
      </c>
    </row>
    <row r="484" spans="1:10" hidden="1">
      <c r="A484" s="3">
        <v>89110</v>
      </c>
      <c r="B484" s="1" t="s">
        <v>120</v>
      </c>
      <c r="C484" s="2" t="str">
        <f>_xlfn.XLOOKUP(B484,线路DSP对应!A:A,线路DSP对应!B:B)</f>
        <v>STA_LAS_Shunle</v>
      </c>
      <c r="D484" s="4" t="s">
        <v>152</v>
      </c>
      <c r="E484" s="2" t="str">
        <f>_xlfn.XLOOKUP(A484,转单情况!A:A,转单情况!B:B)</f>
        <v>否</v>
      </c>
      <c r="G484" s="28">
        <f>ROUND(_xlfn.XLOOKUP(A484,全量!A:A,全量!B:B,0)/7,1)</f>
        <v>22.3</v>
      </c>
      <c r="H484" s="2">
        <f>ROUND(_xlfn.XLOOKUP(A484,AE!A:A,AE!B:B,0)/7,1)</f>
        <v>21.3</v>
      </c>
      <c r="I484" s="2" t="str">
        <f>_xlfn.XLOOKUP(A484,SWFTX邮编覆盖!A:A,SWFTX邮编覆盖!B:B,"否")</f>
        <v>是</v>
      </c>
      <c r="J484" s="2" t="str">
        <f>_xlfn.XLOOKUP(A484,YW邮编覆盖!A:A,YW邮编覆盖!B:B,"否")</f>
        <v>是</v>
      </c>
    </row>
    <row r="485" spans="1:10" hidden="1">
      <c r="A485" s="3">
        <v>89142</v>
      </c>
      <c r="B485" s="1" t="s">
        <v>120</v>
      </c>
      <c r="C485" s="2" t="str">
        <f>_xlfn.XLOOKUP(B485,线路DSP对应!A:A,线路DSP对应!B:B)</f>
        <v>STA_LAS_Shunle</v>
      </c>
      <c r="D485" s="4" t="s">
        <v>152</v>
      </c>
      <c r="E485" s="2" t="str">
        <f>_xlfn.XLOOKUP(A485,转单情况!A:A,转单情况!B:B)</f>
        <v>否</v>
      </c>
      <c r="G485" s="28">
        <f>ROUND(_xlfn.XLOOKUP(A485,全量!A:A,全量!B:B,0)/7,1)</f>
        <v>9.3000000000000007</v>
      </c>
      <c r="H485" s="2">
        <f>ROUND(_xlfn.XLOOKUP(A485,AE!A:A,AE!B:B,0)/7,1)</f>
        <v>9</v>
      </c>
      <c r="I485" s="2" t="str">
        <f>_xlfn.XLOOKUP(A485,SWFTX邮编覆盖!A:A,SWFTX邮编覆盖!B:B,"否")</f>
        <v>是</v>
      </c>
      <c r="J485" s="2" t="str">
        <f>_xlfn.XLOOKUP(A485,YW邮编覆盖!A:A,YW邮编覆盖!B:B,"否")</f>
        <v>是</v>
      </c>
    </row>
    <row r="486" spans="1:10" hidden="1">
      <c r="A486" s="3">
        <v>89122</v>
      </c>
      <c r="B486" s="1" t="s">
        <v>120</v>
      </c>
      <c r="C486" s="2" t="str">
        <f>_xlfn.XLOOKUP(B486,线路DSP对应!A:A,线路DSP对应!B:B)</f>
        <v>STA_LAS_Shunle</v>
      </c>
      <c r="D486" s="4" t="s">
        <v>152</v>
      </c>
      <c r="E486" s="2" t="str">
        <f>_xlfn.XLOOKUP(A486,转单情况!A:A,转单情况!B:B)</f>
        <v>否</v>
      </c>
      <c r="G486" s="28">
        <f>ROUND(_xlfn.XLOOKUP(A486,全量!A:A,全量!B:B,0)/7,1)</f>
        <v>19</v>
      </c>
      <c r="H486" s="2">
        <f>ROUND(_xlfn.XLOOKUP(A486,AE!A:A,AE!B:B,0)/7,1)</f>
        <v>18.100000000000001</v>
      </c>
      <c r="I486" s="2" t="str">
        <f>_xlfn.XLOOKUP(A486,SWFTX邮编覆盖!A:A,SWFTX邮编覆盖!B:B,"否")</f>
        <v>是</v>
      </c>
      <c r="J486" s="2" t="str">
        <f>_xlfn.XLOOKUP(A486,YW邮编覆盖!A:A,YW邮编覆盖!B:B,"否")</f>
        <v>是</v>
      </c>
    </row>
    <row r="487" spans="1:10" hidden="1">
      <c r="A487" s="3">
        <v>89104</v>
      </c>
      <c r="B487" s="1" t="s">
        <v>120</v>
      </c>
      <c r="C487" s="2" t="str">
        <f>_xlfn.XLOOKUP(B487,线路DSP对应!A:A,线路DSP对应!B:B)</f>
        <v>STA_LAS_Shunle</v>
      </c>
      <c r="D487" s="4" t="s">
        <v>152</v>
      </c>
      <c r="E487" s="2" t="str">
        <f>_xlfn.XLOOKUP(A487,转单情况!A:A,转单情况!B:B)</f>
        <v>否</v>
      </c>
      <c r="G487" s="28">
        <f>ROUND(_xlfn.XLOOKUP(A487,全量!A:A,全量!B:B,0)/7,1)</f>
        <v>11.3</v>
      </c>
      <c r="H487" s="2">
        <f>ROUND(_xlfn.XLOOKUP(A487,AE!A:A,AE!B:B,0)/7,1)</f>
        <v>10.7</v>
      </c>
      <c r="I487" s="2" t="str">
        <f>_xlfn.XLOOKUP(A487,SWFTX邮编覆盖!A:A,SWFTX邮编覆盖!B:B,"否")</f>
        <v>是</v>
      </c>
      <c r="J487" s="2" t="str">
        <f>_xlfn.XLOOKUP(A487,YW邮编覆盖!A:A,YW邮编覆盖!B:B,"否")</f>
        <v>是</v>
      </c>
    </row>
    <row r="488" spans="1:10" hidden="1">
      <c r="A488" s="3">
        <v>89014</v>
      </c>
      <c r="B488" s="1" t="s">
        <v>121</v>
      </c>
      <c r="C488" s="2" t="str">
        <f>_xlfn.XLOOKUP(B488,线路DSP对应!A:A,线路DSP对应!B:B)</f>
        <v>STA_LAS_Shunle</v>
      </c>
      <c r="D488" s="4" t="s">
        <v>152</v>
      </c>
      <c r="E488" s="2" t="str">
        <f>_xlfn.XLOOKUP(A488,转单情况!A:A,转单情况!B:B)</f>
        <v>否</v>
      </c>
      <c r="G488" s="28">
        <f>ROUND(_xlfn.XLOOKUP(A488,全量!A:A,全量!B:B,0)/7,1)</f>
        <v>11.9</v>
      </c>
      <c r="H488" s="2">
        <f>ROUND(_xlfn.XLOOKUP(A488,AE!A:A,AE!B:B,0)/7,1)</f>
        <v>11.7</v>
      </c>
      <c r="I488" s="2" t="str">
        <f>_xlfn.XLOOKUP(A488,SWFTX邮编覆盖!A:A,SWFTX邮编覆盖!B:B,"否")</f>
        <v>是</v>
      </c>
      <c r="J488" s="2" t="str">
        <f>_xlfn.XLOOKUP(A488,YW邮编覆盖!A:A,YW邮编覆盖!B:B,"否")</f>
        <v>是</v>
      </c>
    </row>
    <row r="489" spans="1:10" hidden="1">
      <c r="A489" s="3">
        <v>89012</v>
      </c>
      <c r="B489" s="1" t="s">
        <v>121</v>
      </c>
      <c r="C489" s="2" t="str">
        <f>_xlfn.XLOOKUP(B489,线路DSP对应!A:A,线路DSP对应!B:B)</f>
        <v>STA_LAS_Shunle</v>
      </c>
      <c r="D489" s="4" t="s">
        <v>152</v>
      </c>
      <c r="E489" s="2" t="str">
        <f>_xlfn.XLOOKUP(A489,转单情况!A:A,转单情况!B:B)</f>
        <v>否</v>
      </c>
      <c r="G489" s="28">
        <f>ROUND(_xlfn.XLOOKUP(A489,全量!A:A,全量!B:B,0)/7,1)</f>
        <v>10.1</v>
      </c>
      <c r="H489" s="2">
        <f>ROUND(_xlfn.XLOOKUP(A489,AE!A:A,AE!B:B,0)/7,1)</f>
        <v>9.4</v>
      </c>
      <c r="I489" s="2" t="str">
        <f>_xlfn.XLOOKUP(A489,SWFTX邮编覆盖!A:A,SWFTX邮编覆盖!B:B,"否")</f>
        <v>是</v>
      </c>
      <c r="J489" s="2" t="str">
        <f>_xlfn.XLOOKUP(A489,YW邮编覆盖!A:A,YW邮编覆盖!B:B,"否")</f>
        <v>是</v>
      </c>
    </row>
    <row r="490" spans="1:10" hidden="1">
      <c r="A490" s="3">
        <v>89074</v>
      </c>
      <c r="B490" s="1" t="s">
        <v>121</v>
      </c>
      <c r="C490" s="2" t="str">
        <f>_xlfn.XLOOKUP(B490,线路DSP对应!A:A,线路DSP对应!B:B)</f>
        <v>STA_LAS_Shunle</v>
      </c>
      <c r="D490" s="4" t="s">
        <v>152</v>
      </c>
      <c r="E490" s="2" t="str">
        <f>_xlfn.XLOOKUP(A490,转单情况!A:A,转单情况!B:B)</f>
        <v>否</v>
      </c>
      <c r="G490" s="28">
        <f>ROUND(_xlfn.XLOOKUP(A490,全量!A:A,全量!B:B,0)/7,1)</f>
        <v>14</v>
      </c>
      <c r="H490" s="2">
        <f>ROUND(_xlfn.XLOOKUP(A490,AE!A:A,AE!B:B,0)/7,1)</f>
        <v>13.7</v>
      </c>
      <c r="I490" s="2" t="str">
        <f>_xlfn.XLOOKUP(A490,SWFTX邮编覆盖!A:A,SWFTX邮编覆盖!B:B,"否")</f>
        <v>是</v>
      </c>
      <c r="J490" s="2" t="str">
        <f>_xlfn.XLOOKUP(A490,YW邮编覆盖!A:A,YW邮编覆盖!B:B,"否")</f>
        <v>是</v>
      </c>
    </row>
    <row r="491" spans="1:10" hidden="1">
      <c r="A491" s="3">
        <v>89011</v>
      </c>
      <c r="B491" s="1" t="s">
        <v>121</v>
      </c>
      <c r="C491" s="2" t="str">
        <f>_xlfn.XLOOKUP(B491,线路DSP对应!A:A,线路DSP对应!B:B)</f>
        <v>STA_LAS_Shunle</v>
      </c>
      <c r="D491" s="4" t="s">
        <v>152</v>
      </c>
      <c r="E491" s="2" t="str">
        <f>_xlfn.XLOOKUP(A491,转单情况!A:A,转单情况!B:B)</f>
        <v>否</v>
      </c>
      <c r="G491" s="28">
        <f>ROUND(_xlfn.XLOOKUP(A491,全量!A:A,全量!B:B,0)/7,1)</f>
        <v>15.4</v>
      </c>
      <c r="H491" s="2">
        <f>ROUND(_xlfn.XLOOKUP(A491,AE!A:A,AE!B:B,0)/7,1)</f>
        <v>14.4</v>
      </c>
      <c r="I491" s="2" t="str">
        <f>_xlfn.XLOOKUP(A491,SWFTX邮编覆盖!A:A,SWFTX邮编覆盖!B:B,"否")</f>
        <v>是</v>
      </c>
      <c r="J491" s="2" t="str">
        <f>_xlfn.XLOOKUP(A491,YW邮编覆盖!A:A,YW邮编覆盖!B:B,"否")</f>
        <v>是</v>
      </c>
    </row>
    <row r="492" spans="1:10" hidden="1">
      <c r="A492" s="3">
        <v>89015</v>
      </c>
      <c r="B492" s="1" t="s">
        <v>121</v>
      </c>
      <c r="C492" s="2" t="str">
        <f>_xlfn.XLOOKUP(B492,线路DSP对应!A:A,线路DSP对应!B:B)</f>
        <v>STA_LAS_Shunle</v>
      </c>
      <c r="D492" s="4" t="s">
        <v>152</v>
      </c>
      <c r="E492" s="2" t="str">
        <f>_xlfn.XLOOKUP(A492,转单情况!A:A,转单情况!B:B)</f>
        <v>否</v>
      </c>
      <c r="G492" s="28">
        <f>ROUND(_xlfn.XLOOKUP(A492,全量!A:A,全量!B:B,0)/7,1)</f>
        <v>12.4</v>
      </c>
      <c r="H492" s="2">
        <f>ROUND(_xlfn.XLOOKUP(A492,AE!A:A,AE!B:B,0)/7,1)</f>
        <v>12</v>
      </c>
      <c r="I492" s="2" t="str">
        <f>_xlfn.XLOOKUP(A492,SWFTX邮编覆盖!A:A,SWFTX邮编覆盖!B:B,"否")</f>
        <v>是</v>
      </c>
      <c r="J492" s="2" t="str">
        <f>_xlfn.XLOOKUP(A492,YW邮编覆盖!A:A,YW邮编覆盖!B:B,"否")</f>
        <v>是</v>
      </c>
    </row>
    <row r="493" spans="1:10" hidden="1">
      <c r="A493" s="3">
        <v>89002</v>
      </c>
      <c r="B493" s="1" t="s">
        <v>121</v>
      </c>
      <c r="C493" s="2" t="str">
        <f>_xlfn.XLOOKUP(B493,线路DSP对应!A:A,线路DSP对应!B:B)</f>
        <v>STA_LAS_Shunle</v>
      </c>
      <c r="D493" s="4" t="s">
        <v>152</v>
      </c>
      <c r="E493" s="2" t="str">
        <f>_xlfn.XLOOKUP(A493,转单情况!A:A,转单情况!B:B)</f>
        <v>否</v>
      </c>
      <c r="G493" s="28">
        <f>ROUND(_xlfn.XLOOKUP(A493,全量!A:A,全量!B:B,0)/7,1)</f>
        <v>8.1</v>
      </c>
      <c r="H493" s="2">
        <f>ROUND(_xlfn.XLOOKUP(A493,AE!A:A,AE!B:B,0)/7,1)</f>
        <v>7.4</v>
      </c>
      <c r="I493" s="2" t="str">
        <f>_xlfn.XLOOKUP(A493,SWFTX邮编覆盖!A:A,SWFTX邮编覆盖!B:B,"否")</f>
        <v>是</v>
      </c>
      <c r="J493" s="2" t="str">
        <f>_xlfn.XLOOKUP(A493,YW邮编覆盖!A:A,YW邮编覆盖!B:B,"否")</f>
        <v>是</v>
      </c>
    </row>
    <row r="494" spans="1:10" hidden="1">
      <c r="A494" s="3">
        <v>89052</v>
      </c>
      <c r="B494" s="1" t="s">
        <v>121</v>
      </c>
      <c r="C494" s="2" t="str">
        <f>_xlfn.XLOOKUP(B494,线路DSP对应!A:A,线路DSP对应!B:B)</f>
        <v>STA_LAS_Shunle</v>
      </c>
      <c r="D494" s="4" t="s">
        <v>152</v>
      </c>
      <c r="E494" s="2" t="str">
        <f>_xlfn.XLOOKUP(A494,转单情况!A:A,转单情况!B:B)</f>
        <v>否</v>
      </c>
      <c r="G494" s="28">
        <f>ROUND(_xlfn.XLOOKUP(A494,全量!A:A,全量!B:B,0)/7,1)</f>
        <v>18.399999999999999</v>
      </c>
      <c r="H494" s="2">
        <f>ROUND(_xlfn.XLOOKUP(A494,AE!A:A,AE!B:B,0)/7,1)</f>
        <v>18.100000000000001</v>
      </c>
      <c r="I494" s="2" t="str">
        <f>_xlfn.XLOOKUP(A494,SWFTX邮编覆盖!A:A,SWFTX邮编覆盖!B:B,"否")</f>
        <v>是</v>
      </c>
      <c r="J494" s="2" t="str">
        <f>_xlfn.XLOOKUP(A494,YW邮编覆盖!A:A,YW邮编覆盖!B:B,"否")</f>
        <v>是</v>
      </c>
    </row>
    <row r="495" spans="1:10" hidden="1">
      <c r="A495" s="3">
        <v>89044</v>
      </c>
      <c r="B495" s="1" t="s">
        <v>121</v>
      </c>
      <c r="C495" s="2" t="str">
        <f>_xlfn.XLOOKUP(B495,线路DSP对应!A:A,线路DSP对应!B:B)</f>
        <v>STA_LAS_Shunle</v>
      </c>
      <c r="D495" s="4" t="s">
        <v>152</v>
      </c>
      <c r="E495" s="2" t="str">
        <f>_xlfn.XLOOKUP(A495,转单情况!A:A,转单情况!B:B)</f>
        <v>否</v>
      </c>
      <c r="G495" s="28">
        <f>ROUND(_xlfn.XLOOKUP(A495,全量!A:A,全量!B:B,0)/7,1)</f>
        <v>10.1</v>
      </c>
      <c r="H495" s="2">
        <f>ROUND(_xlfn.XLOOKUP(A495,AE!A:A,AE!B:B,0)/7,1)</f>
        <v>9.4</v>
      </c>
      <c r="I495" s="2" t="str">
        <f>_xlfn.XLOOKUP(A495,SWFTX邮编覆盖!A:A,SWFTX邮编覆盖!B:B,"否")</f>
        <v>是</v>
      </c>
      <c r="J495" s="2" t="str">
        <f>_xlfn.XLOOKUP(A495,YW邮编覆盖!A:A,YW邮编覆盖!B:B,"否")</f>
        <v>否</v>
      </c>
    </row>
    <row r="496" spans="1:10" hidden="1">
      <c r="A496" s="3">
        <v>95352</v>
      </c>
      <c r="B496" s="1" t="s">
        <v>162</v>
      </c>
      <c r="C496" s="2" t="e">
        <f>_xlfn.XLOOKUP(B496,线路DSP对应!A:A,线路DSP对应!B:B)</f>
        <v>#N/A</v>
      </c>
      <c r="D496" s="4" t="s">
        <v>157</v>
      </c>
      <c r="E496" s="2" t="e">
        <f>_xlfn.XLOOKUP(A496,转单情况!A:A,转单情况!B:B)</f>
        <v>#N/A</v>
      </c>
      <c r="G496" s="28">
        <f>ROUND(_xlfn.XLOOKUP(A496,全量!A:A,全量!B:B,0)/7,1)</f>
        <v>0</v>
      </c>
      <c r="H496" s="2">
        <f>ROUND(_xlfn.XLOOKUP(A496,AE!A:A,AE!B:B,0)/7,1)</f>
        <v>0</v>
      </c>
      <c r="I496" s="2" t="str">
        <f>_xlfn.XLOOKUP(A496,SWFTX邮编覆盖!A:A,SWFTX邮编覆盖!B:B,"否")</f>
        <v>否</v>
      </c>
      <c r="J496" s="2" t="str">
        <f>_xlfn.XLOOKUP(A496,YW邮编覆盖!A:A,YW邮编覆盖!B:B,"否")</f>
        <v>否</v>
      </c>
    </row>
    <row r="497" spans="1:10" hidden="1">
      <c r="A497" s="3">
        <v>95353</v>
      </c>
      <c r="B497" s="1" t="s">
        <v>162</v>
      </c>
      <c r="C497" s="2" t="e">
        <f>_xlfn.XLOOKUP(B497,线路DSP对应!A:A,线路DSP对应!B:B)</f>
        <v>#N/A</v>
      </c>
      <c r="D497" s="4" t="s">
        <v>157</v>
      </c>
      <c r="E497" s="2" t="e">
        <f>_xlfn.XLOOKUP(A497,转单情况!A:A,转单情况!B:B)</f>
        <v>#N/A</v>
      </c>
      <c r="G497" s="28">
        <f>ROUND(_xlfn.XLOOKUP(A497,全量!A:A,全量!B:B,0)/7,1)</f>
        <v>0</v>
      </c>
      <c r="H497" s="2">
        <f>ROUND(_xlfn.XLOOKUP(A497,AE!A:A,AE!B:B,0)/7,1)</f>
        <v>0</v>
      </c>
      <c r="I497" s="2" t="str">
        <f>_xlfn.XLOOKUP(A497,SWFTX邮编覆盖!A:A,SWFTX邮编覆盖!B:B,"否")</f>
        <v>否</v>
      </c>
      <c r="J497" s="2" t="str">
        <f>_xlfn.XLOOKUP(A497,YW邮编覆盖!A:A,YW邮编覆盖!B:B,"否")</f>
        <v>否</v>
      </c>
    </row>
    <row r="498" spans="1:10" hidden="1">
      <c r="A498" s="3">
        <v>95381</v>
      </c>
      <c r="B498" s="1" t="s">
        <v>162</v>
      </c>
      <c r="C498" s="2" t="e">
        <f>_xlfn.XLOOKUP(B498,线路DSP对应!A:A,线路DSP对应!B:B)</f>
        <v>#N/A</v>
      </c>
      <c r="D498" s="4" t="s">
        <v>157</v>
      </c>
      <c r="E498" s="2" t="e">
        <f>_xlfn.XLOOKUP(A498,转单情况!A:A,转单情况!B:B)</f>
        <v>#N/A</v>
      </c>
      <c r="G498" s="28">
        <f>ROUND(_xlfn.XLOOKUP(A498,全量!A:A,全量!B:B,0)/7,1)</f>
        <v>0</v>
      </c>
      <c r="H498" s="2">
        <f>ROUND(_xlfn.XLOOKUP(A498,AE!A:A,AE!B:B,0)/7,1)</f>
        <v>0</v>
      </c>
      <c r="I498" s="2" t="str">
        <f>_xlfn.XLOOKUP(A498,SWFTX邮编覆盖!A:A,SWFTX邮编覆盖!B:B,"否")</f>
        <v>否</v>
      </c>
      <c r="J498" s="2" t="str">
        <f>_xlfn.XLOOKUP(A498,YW邮编覆盖!A:A,YW邮编覆盖!B:B,"否")</f>
        <v>否</v>
      </c>
    </row>
    <row r="499" spans="1:10" hidden="1">
      <c r="A499" s="3">
        <v>95397</v>
      </c>
      <c r="B499" s="1" t="s">
        <v>162</v>
      </c>
      <c r="C499" s="2" t="e">
        <f>_xlfn.XLOOKUP(B499,线路DSP对应!A:A,线路DSP对应!B:B)</f>
        <v>#N/A</v>
      </c>
      <c r="D499" s="4" t="s">
        <v>157</v>
      </c>
      <c r="E499" s="2" t="e">
        <f>_xlfn.XLOOKUP(A499,转单情况!A:A,转单情况!B:B)</f>
        <v>#N/A</v>
      </c>
      <c r="G499" s="28">
        <f>ROUND(_xlfn.XLOOKUP(A499,全量!A:A,全量!B:B,0)/7,1)</f>
        <v>0</v>
      </c>
      <c r="H499" s="2">
        <f>ROUND(_xlfn.XLOOKUP(A499,AE!A:A,AE!B:B,0)/7,1)</f>
        <v>0</v>
      </c>
      <c r="I499" s="2" t="str">
        <f>_xlfn.XLOOKUP(A499,SWFTX邮编覆盖!A:A,SWFTX邮编覆盖!B:B,"否")</f>
        <v>否</v>
      </c>
      <c r="J499" s="2" t="str">
        <f>_xlfn.XLOOKUP(A499,YW邮编覆盖!A:A,YW邮编覆盖!B:B,"否")</f>
        <v>否</v>
      </c>
    </row>
    <row r="500" spans="1:10" hidden="1">
      <c r="A500" s="3">
        <v>95368</v>
      </c>
      <c r="B500" s="1" t="s">
        <v>166</v>
      </c>
      <c r="C500" s="2" t="str">
        <f>_xlfn.XLOOKUP(B500,线路DSP对应!A:A,线路DSP对应!B:B)</f>
        <v>STA_SAC_QUICK</v>
      </c>
      <c r="D500" s="4" t="s">
        <v>157</v>
      </c>
      <c r="E500" s="2" t="str">
        <f>_xlfn.XLOOKUP(A500,转单情况!A:A,转单情况!B:B)</f>
        <v>否</v>
      </c>
      <c r="G500" s="28">
        <f>ROUND(_xlfn.XLOOKUP(A500,全量!A:A,全量!B:B,0)/7,1)</f>
        <v>5.0999999999999996</v>
      </c>
      <c r="H500" s="2">
        <f>ROUND(_xlfn.XLOOKUP(A500,AE!A:A,AE!B:B,0)/7,1)</f>
        <v>5.0999999999999996</v>
      </c>
      <c r="I500" s="2" t="str">
        <f>_xlfn.XLOOKUP(A500,SWFTX邮编覆盖!A:A,SWFTX邮编覆盖!B:B,"否")</f>
        <v>是</v>
      </c>
      <c r="J500" s="2" t="str">
        <f>_xlfn.XLOOKUP(A500,YW邮编覆盖!A:A,YW邮编覆盖!B:B,"否")</f>
        <v>否</v>
      </c>
    </row>
    <row r="501" spans="1:10" hidden="1">
      <c r="A501" s="3">
        <v>95358</v>
      </c>
      <c r="B501" s="1" t="s">
        <v>166</v>
      </c>
      <c r="C501" s="2" t="str">
        <f>_xlfn.XLOOKUP(B501,线路DSP对应!A:A,线路DSP对应!B:B)</f>
        <v>STA_SAC_QUICK</v>
      </c>
      <c r="D501" s="4" t="s">
        <v>157</v>
      </c>
      <c r="E501" s="2" t="str">
        <f>_xlfn.XLOOKUP(A501,转单情况!A:A,转单情况!B:B)</f>
        <v>否</v>
      </c>
      <c r="G501" s="28">
        <f>ROUND(_xlfn.XLOOKUP(A501,全量!A:A,全量!B:B,0)/7,1)</f>
        <v>7.6</v>
      </c>
      <c r="H501" s="2">
        <f>ROUND(_xlfn.XLOOKUP(A501,AE!A:A,AE!B:B,0)/7,1)</f>
        <v>7.3</v>
      </c>
      <c r="I501" s="2" t="str">
        <f>_xlfn.XLOOKUP(A501,SWFTX邮编覆盖!A:A,SWFTX邮编覆盖!B:B,"否")</f>
        <v>是</v>
      </c>
      <c r="J501" s="2" t="str">
        <f>_xlfn.XLOOKUP(A501,YW邮编覆盖!A:A,YW邮编覆盖!B:B,"否")</f>
        <v>否</v>
      </c>
    </row>
    <row r="502" spans="1:10" hidden="1">
      <c r="A502" s="3">
        <v>95356</v>
      </c>
      <c r="B502" s="1" t="s">
        <v>166</v>
      </c>
      <c r="C502" s="2" t="str">
        <f>_xlfn.XLOOKUP(B502,线路DSP对应!A:A,线路DSP对应!B:B)</f>
        <v>STA_SAC_QUICK</v>
      </c>
      <c r="D502" s="4" t="s">
        <v>157</v>
      </c>
      <c r="E502" s="2" t="str">
        <f>_xlfn.XLOOKUP(A502,转单情况!A:A,转单情况!B:B)</f>
        <v>否</v>
      </c>
      <c r="G502" s="28">
        <f>ROUND(_xlfn.XLOOKUP(A502,全量!A:A,全量!B:B,0)/7,1)</f>
        <v>8.9</v>
      </c>
      <c r="H502" s="2">
        <f>ROUND(_xlfn.XLOOKUP(A502,AE!A:A,AE!B:B,0)/7,1)</f>
        <v>8.6999999999999993</v>
      </c>
      <c r="I502" s="2" t="str">
        <f>_xlfn.XLOOKUP(A502,SWFTX邮编覆盖!A:A,SWFTX邮编覆盖!B:B,"否")</f>
        <v>是</v>
      </c>
      <c r="J502" s="2" t="str">
        <f>_xlfn.XLOOKUP(A502,YW邮编覆盖!A:A,YW邮编覆盖!B:B,"否")</f>
        <v>否</v>
      </c>
    </row>
    <row r="503" spans="1:10" hidden="1">
      <c r="A503" s="3">
        <v>95385</v>
      </c>
      <c r="B503" s="1" t="s">
        <v>166</v>
      </c>
      <c r="C503" s="2" t="str">
        <f>_xlfn.XLOOKUP(B503,线路DSP对应!A:A,线路DSP对应!B:B)</f>
        <v>STA_SAC_QUICK</v>
      </c>
      <c r="D503" s="4" t="s">
        <v>157</v>
      </c>
      <c r="E503" s="2" t="str">
        <f>_xlfn.XLOOKUP(A503,转单情况!A:A,转单情况!B:B)</f>
        <v>否</v>
      </c>
      <c r="G503" s="28">
        <f>ROUND(_xlfn.XLOOKUP(A503,全量!A:A,全量!B:B,0)/7,1)</f>
        <v>0</v>
      </c>
      <c r="H503" s="2">
        <f>ROUND(_xlfn.XLOOKUP(A503,AE!A:A,AE!B:B,0)/7,1)</f>
        <v>0</v>
      </c>
      <c r="I503" s="2" t="str">
        <f>_xlfn.XLOOKUP(A503,SWFTX邮编覆盖!A:A,SWFTX邮编覆盖!B:B,"否")</f>
        <v>否</v>
      </c>
      <c r="J503" s="2" t="str">
        <f>_xlfn.XLOOKUP(A503,YW邮编覆盖!A:A,YW邮编覆盖!B:B,"否")</f>
        <v>否</v>
      </c>
    </row>
    <row r="504" spans="1:10" hidden="1">
      <c r="A504" s="3">
        <v>95367</v>
      </c>
      <c r="B504" s="1" t="s">
        <v>166</v>
      </c>
      <c r="C504" s="2" t="str">
        <f>_xlfn.XLOOKUP(B504,线路DSP对应!A:A,线路DSP对应!B:B)</f>
        <v>STA_SAC_QUICK</v>
      </c>
      <c r="D504" s="4" t="s">
        <v>157</v>
      </c>
      <c r="E504" s="2" t="str">
        <f>_xlfn.XLOOKUP(A504,转单情况!A:A,转单情况!B:B)</f>
        <v>否</v>
      </c>
      <c r="G504" s="28">
        <f>ROUND(_xlfn.XLOOKUP(A504,全量!A:A,全量!B:B,0)/7,1)</f>
        <v>7.9</v>
      </c>
      <c r="H504" s="2">
        <f>ROUND(_xlfn.XLOOKUP(A504,AE!A:A,AE!B:B,0)/7,1)</f>
        <v>7.7</v>
      </c>
      <c r="I504" s="2" t="str">
        <f>_xlfn.XLOOKUP(A504,SWFTX邮编覆盖!A:A,SWFTX邮编覆盖!B:B,"否")</f>
        <v>是</v>
      </c>
      <c r="J504" s="2" t="str">
        <f>_xlfn.XLOOKUP(A504,YW邮编覆盖!A:A,YW邮编覆盖!B:B,"否")</f>
        <v>否</v>
      </c>
    </row>
    <row r="505" spans="1:10" hidden="1">
      <c r="A505" s="3">
        <v>95350</v>
      </c>
      <c r="B505" s="1" t="s">
        <v>166</v>
      </c>
      <c r="C505" s="2" t="str">
        <f>_xlfn.XLOOKUP(B505,线路DSP对应!A:A,线路DSP对应!B:B)</f>
        <v>STA_SAC_QUICK</v>
      </c>
      <c r="D505" s="4" t="s">
        <v>157</v>
      </c>
      <c r="E505" s="2" t="str">
        <f>_xlfn.XLOOKUP(A505,转单情况!A:A,转单情况!B:B)</f>
        <v>否</v>
      </c>
      <c r="G505" s="28">
        <f>ROUND(_xlfn.XLOOKUP(A505,全量!A:A,全量!B:B,0)/7,1)</f>
        <v>11</v>
      </c>
      <c r="H505" s="2">
        <f>ROUND(_xlfn.XLOOKUP(A505,AE!A:A,AE!B:B,0)/7,1)</f>
        <v>10.7</v>
      </c>
      <c r="I505" s="2" t="str">
        <f>_xlfn.XLOOKUP(A505,SWFTX邮编覆盖!A:A,SWFTX邮编覆盖!B:B,"否")</f>
        <v>是</v>
      </c>
      <c r="J505" s="2" t="str">
        <f>_xlfn.XLOOKUP(A505,YW邮编覆盖!A:A,YW邮编覆盖!B:B,"否")</f>
        <v>否</v>
      </c>
    </row>
    <row r="506" spans="1:10" hidden="1">
      <c r="A506" s="3">
        <v>95351</v>
      </c>
      <c r="B506" s="1" t="s">
        <v>166</v>
      </c>
      <c r="C506" s="2" t="str">
        <f>_xlfn.XLOOKUP(B506,线路DSP对应!A:A,线路DSP对应!B:B)</f>
        <v>STA_SAC_QUICK</v>
      </c>
      <c r="D506" s="4" t="s">
        <v>157</v>
      </c>
      <c r="E506" s="2" t="str">
        <f>_xlfn.XLOOKUP(A506,转单情况!A:A,转单情况!B:B)</f>
        <v>否</v>
      </c>
      <c r="G506" s="28">
        <f>ROUND(_xlfn.XLOOKUP(A506,全量!A:A,全量!B:B,0)/7,1)</f>
        <v>8.9</v>
      </c>
      <c r="H506" s="2">
        <f>ROUND(_xlfn.XLOOKUP(A506,AE!A:A,AE!B:B,0)/7,1)</f>
        <v>8.9</v>
      </c>
      <c r="I506" s="2" t="str">
        <f>_xlfn.XLOOKUP(A506,SWFTX邮编覆盖!A:A,SWFTX邮编覆盖!B:B,"否")</f>
        <v>是</v>
      </c>
      <c r="J506" s="2" t="str">
        <f>_xlfn.XLOOKUP(A506,YW邮编覆盖!A:A,YW邮编覆盖!B:B,"否")</f>
        <v>否</v>
      </c>
    </row>
    <row r="507" spans="1:10" hidden="1">
      <c r="A507" s="3">
        <v>95354</v>
      </c>
      <c r="B507" s="1" t="s">
        <v>166</v>
      </c>
      <c r="C507" s="2" t="str">
        <f>_xlfn.XLOOKUP(B507,线路DSP对应!A:A,线路DSP对应!B:B)</f>
        <v>STA_SAC_QUICK</v>
      </c>
      <c r="D507" s="4" t="s">
        <v>157</v>
      </c>
      <c r="E507" s="2" t="str">
        <f>_xlfn.XLOOKUP(A507,转单情况!A:A,转单情况!B:B)</f>
        <v>否</v>
      </c>
      <c r="G507" s="28">
        <f>ROUND(_xlfn.XLOOKUP(A507,全量!A:A,全量!B:B,0)/7,1)</f>
        <v>5</v>
      </c>
      <c r="H507" s="2">
        <f>ROUND(_xlfn.XLOOKUP(A507,AE!A:A,AE!B:B,0)/7,1)</f>
        <v>4.9000000000000004</v>
      </c>
      <c r="I507" s="2" t="str">
        <f>_xlfn.XLOOKUP(A507,SWFTX邮编覆盖!A:A,SWFTX邮编覆盖!B:B,"否")</f>
        <v>是</v>
      </c>
      <c r="J507" s="2" t="str">
        <f>_xlfn.XLOOKUP(A507,YW邮编覆盖!A:A,YW邮编覆盖!B:B,"否")</f>
        <v>否</v>
      </c>
    </row>
    <row r="508" spans="1:10" hidden="1">
      <c r="A508" s="3">
        <v>95355</v>
      </c>
      <c r="B508" s="1" t="s">
        <v>166</v>
      </c>
      <c r="C508" s="2" t="str">
        <f>_xlfn.XLOOKUP(B508,线路DSP对应!A:A,线路DSP对应!B:B)</f>
        <v>STA_SAC_QUICK</v>
      </c>
      <c r="D508" s="4" t="s">
        <v>157</v>
      </c>
      <c r="E508" s="2" t="str">
        <f>_xlfn.XLOOKUP(A508,转单情况!A:A,转单情况!B:B)</f>
        <v>否</v>
      </c>
      <c r="G508" s="28">
        <f>ROUND(_xlfn.XLOOKUP(A508,全量!A:A,全量!B:B,0)/7,1)</f>
        <v>14</v>
      </c>
      <c r="H508" s="2">
        <f>ROUND(_xlfn.XLOOKUP(A508,AE!A:A,AE!B:B,0)/7,1)</f>
        <v>13.9</v>
      </c>
      <c r="I508" s="2" t="str">
        <f>_xlfn.XLOOKUP(A508,SWFTX邮编覆盖!A:A,SWFTX邮编覆盖!B:B,"否")</f>
        <v>是</v>
      </c>
      <c r="J508" s="2" t="str">
        <f>_xlfn.XLOOKUP(A508,YW邮编覆盖!A:A,YW邮编覆盖!B:B,"否")</f>
        <v>否</v>
      </c>
    </row>
    <row r="509" spans="1:10" hidden="1">
      <c r="A509" s="3">
        <v>95357</v>
      </c>
      <c r="B509" s="1" t="s">
        <v>166</v>
      </c>
      <c r="C509" s="2" t="str">
        <f>_xlfn.XLOOKUP(B509,线路DSP对应!A:A,线路DSP对应!B:B)</f>
        <v>STA_SAC_QUICK</v>
      </c>
      <c r="D509" s="4" t="s">
        <v>157</v>
      </c>
      <c r="E509" s="2" t="str">
        <f>_xlfn.XLOOKUP(A509,转单情况!A:A,转单情况!B:B)</f>
        <v>否</v>
      </c>
      <c r="G509" s="28">
        <f>ROUND(_xlfn.XLOOKUP(A509,全量!A:A,全量!B:B,0)/7,1)</f>
        <v>1.6</v>
      </c>
      <c r="H509" s="2">
        <f>ROUND(_xlfn.XLOOKUP(A509,AE!A:A,AE!B:B,0)/7,1)</f>
        <v>1.6</v>
      </c>
      <c r="I509" s="2" t="str">
        <f>_xlfn.XLOOKUP(A509,SWFTX邮编覆盖!A:A,SWFTX邮编覆盖!B:B,"否")</f>
        <v>是</v>
      </c>
      <c r="J509" s="2" t="str">
        <f>_xlfn.XLOOKUP(A509,YW邮编覆盖!A:A,YW邮编覆盖!B:B,"否")</f>
        <v>否</v>
      </c>
    </row>
    <row r="510" spans="1:10" hidden="1">
      <c r="A510" s="3">
        <v>95316</v>
      </c>
      <c r="B510" s="1" t="s">
        <v>166</v>
      </c>
      <c r="C510" s="2" t="str">
        <f>_xlfn.XLOOKUP(B510,线路DSP对应!A:A,线路DSP对应!B:B)</f>
        <v>STA_SAC_QUICK</v>
      </c>
      <c r="D510" s="4" t="s">
        <v>157</v>
      </c>
      <c r="E510" s="2" t="str">
        <f>_xlfn.XLOOKUP(A510,转单情况!A:A,转单情况!B:B)</f>
        <v>否</v>
      </c>
      <c r="G510" s="28">
        <f>ROUND(_xlfn.XLOOKUP(A510,全量!A:A,全量!B:B,0)/7,1)</f>
        <v>5</v>
      </c>
      <c r="H510" s="2">
        <f>ROUND(_xlfn.XLOOKUP(A510,AE!A:A,AE!B:B,0)/7,1)</f>
        <v>0.7</v>
      </c>
      <c r="I510" s="2" t="str">
        <f>_xlfn.XLOOKUP(A510,SWFTX邮编覆盖!A:A,SWFTX邮编覆盖!B:B,"否")</f>
        <v>是</v>
      </c>
      <c r="J510" s="2" t="str">
        <f>_xlfn.XLOOKUP(A510,YW邮编覆盖!A:A,YW邮编覆盖!B:B,"否")</f>
        <v>否</v>
      </c>
    </row>
    <row r="511" spans="1:10" hidden="1">
      <c r="A511" s="3">
        <v>95319</v>
      </c>
      <c r="B511" s="1" t="s">
        <v>166</v>
      </c>
      <c r="C511" s="2" t="str">
        <f>_xlfn.XLOOKUP(B511,线路DSP对应!A:A,线路DSP对应!B:B)</f>
        <v>STA_SAC_QUICK</v>
      </c>
      <c r="D511" s="4" t="s">
        <v>157</v>
      </c>
      <c r="E511" s="2" t="str">
        <f>_xlfn.XLOOKUP(A511,转单情况!A:A,转单情况!B:B)</f>
        <v>否</v>
      </c>
      <c r="G511" s="28">
        <f>ROUND(_xlfn.XLOOKUP(A511,全量!A:A,全量!B:B,0)/7,1)</f>
        <v>0.3</v>
      </c>
      <c r="H511" s="2">
        <f>ROUND(_xlfn.XLOOKUP(A511,AE!A:A,AE!B:B,0)/7,1)</f>
        <v>0.3</v>
      </c>
      <c r="I511" s="2" t="str">
        <f>_xlfn.XLOOKUP(A511,SWFTX邮编覆盖!A:A,SWFTX邮编覆盖!B:B,"否")</f>
        <v>是</v>
      </c>
      <c r="J511" s="2" t="str">
        <f>_xlfn.XLOOKUP(A511,YW邮编覆盖!A:A,YW邮编覆盖!B:B,"否")</f>
        <v>否</v>
      </c>
    </row>
    <row r="512" spans="1:10" hidden="1">
      <c r="A512" s="3">
        <v>95361</v>
      </c>
      <c r="B512" s="1" t="s">
        <v>166</v>
      </c>
      <c r="C512" s="2" t="str">
        <f>_xlfn.XLOOKUP(B512,线路DSP对应!A:A,线路DSP对应!B:B)</f>
        <v>STA_SAC_QUICK</v>
      </c>
      <c r="D512" s="4" t="s">
        <v>157</v>
      </c>
      <c r="E512" s="2" t="str">
        <f>_xlfn.XLOOKUP(A512,转单情况!A:A,转单情况!B:B)</f>
        <v>否</v>
      </c>
      <c r="G512" s="28">
        <f>ROUND(_xlfn.XLOOKUP(A512,全量!A:A,全量!B:B,0)/7,1)</f>
        <v>19.7</v>
      </c>
      <c r="H512" s="2">
        <f>ROUND(_xlfn.XLOOKUP(A512,AE!A:A,AE!B:B,0)/7,1)</f>
        <v>5.7</v>
      </c>
      <c r="I512" s="2" t="str">
        <f>_xlfn.XLOOKUP(A512,SWFTX邮编覆盖!A:A,SWFTX邮编覆盖!B:B,"否")</f>
        <v>是</v>
      </c>
      <c r="J512" s="2" t="str">
        <f>_xlfn.XLOOKUP(A512,YW邮编覆盖!A:A,YW邮编覆盖!B:B,"否")</f>
        <v>否</v>
      </c>
    </row>
    <row r="513" spans="1:10" hidden="1">
      <c r="A513" s="3">
        <v>95386</v>
      </c>
      <c r="B513" s="1" t="s">
        <v>166</v>
      </c>
      <c r="C513" s="2" t="str">
        <f>_xlfn.XLOOKUP(B513,线路DSP对应!A:A,线路DSP对应!B:B)</f>
        <v>STA_SAC_QUICK</v>
      </c>
      <c r="D513" s="4" t="s">
        <v>157</v>
      </c>
      <c r="E513" s="2" t="str">
        <f>_xlfn.XLOOKUP(A513,转单情况!A:A,转单情况!B:B)</f>
        <v>否</v>
      </c>
      <c r="G513" s="28">
        <f>ROUND(_xlfn.XLOOKUP(A513,全量!A:A,全量!B:B,0)/7,1)</f>
        <v>7.6</v>
      </c>
      <c r="H513" s="2">
        <f>ROUND(_xlfn.XLOOKUP(A513,AE!A:A,AE!B:B,0)/7,1)</f>
        <v>2.9</v>
      </c>
      <c r="I513" s="2" t="str">
        <f>_xlfn.XLOOKUP(A513,SWFTX邮编覆盖!A:A,SWFTX邮编覆盖!B:B,"否")</f>
        <v>是</v>
      </c>
      <c r="J513" s="2" t="str">
        <f>_xlfn.XLOOKUP(A513,YW邮编覆盖!A:A,YW邮编覆盖!B:B,"否")</f>
        <v>否</v>
      </c>
    </row>
    <row r="514" spans="1:10" hidden="1">
      <c r="A514" s="3">
        <v>95323</v>
      </c>
      <c r="B514" s="1" t="s">
        <v>166</v>
      </c>
      <c r="C514" s="2" t="str">
        <f>_xlfn.XLOOKUP(B514,线路DSP对应!A:A,线路DSP对应!B:B)</f>
        <v>STA_SAC_QUICK</v>
      </c>
      <c r="D514" s="4" t="s">
        <v>157</v>
      </c>
      <c r="E514" s="2" t="str">
        <f>_xlfn.XLOOKUP(A514,转单情况!A:A,转单情况!B:B)</f>
        <v>否</v>
      </c>
      <c r="G514" s="28">
        <f>ROUND(_xlfn.XLOOKUP(A514,全量!A:A,全量!B:B,0)/7,1)</f>
        <v>1.4</v>
      </c>
      <c r="H514" s="2">
        <f>ROUND(_xlfn.XLOOKUP(A514,AE!A:A,AE!B:B,0)/7,1)</f>
        <v>0</v>
      </c>
      <c r="I514" s="2" t="str">
        <f>_xlfn.XLOOKUP(A514,SWFTX邮编覆盖!A:A,SWFTX邮编覆盖!B:B,"否")</f>
        <v>否</v>
      </c>
      <c r="J514" s="2" t="str">
        <f>_xlfn.XLOOKUP(A514,YW邮编覆盖!A:A,YW邮编覆盖!B:B,"否")</f>
        <v>否</v>
      </c>
    </row>
    <row r="515" spans="1:10" hidden="1">
      <c r="A515" s="3">
        <v>95326</v>
      </c>
      <c r="B515" s="1" t="s">
        <v>166</v>
      </c>
      <c r="C515" s="2" t="str">
        <f>_xlfn.XLOOKUP(B515,线路DSP对应!A:A,线路DSP对应!B:B)</f>
        <v>STA_SAC_QUICK</v>
      </c>
      <c r="D515" s="4" t="s">
        <v>157</v>
      </c>
      <c r="E515" s="2" t="str">
        <f>_xlfn.XLOOKUP(A515,转单情况!A:A,转单情况!B:B)</f>
        <v>否</v>
      </c>
      <c r="G515" s="28">
        <f>ROUND(_xlfn.XLOOKUP(A515,全量!A:A,全量!B:B,0)/7,1)</f>
        <v>1.1000000000000001</v>
      </c>
      <c r="H515" s="2">
        <f>ROUND(_xlfn.XLOOKUP(A515,AE!A:A,AE!B:B,0)/7,1)</f>
        <v>1</v>
      </c>
      <c r="I515" s="2" t="str">
        <f>_xlfn.XLOOKUP(A515,SWFTX邮编覆盖!A:A,SWFTX邮编覆盖!B:B,"否")</f>
        <v>是</v>
      </c>
      <c r="J515" s="2" t="str">
        <f>_xlfn.XLOOKUP(A515,YW邮编覆盖!A:A,YW邮编覆盖!B:B,"否")</f>
        <v>否</v>
      </c>
    </row>
    <row r="516" spans="1:10" hidden="1">
      <c r="A516" s="3">
        <v>95307</v>
      </c>
      <c r="B516" s="1" t="s">
        <v>166</v>
      </c>
      <c r="C516" s="2" t="str">
        <f>_xlfn.XLOOKUP(B516,线路DSP对应!A:A,线路DSP对应!B:B)</f>
        <v>STA_SAC_QUICK</v>
      </c>
      <c r="D516" s="4" t="s">
        <v>157</v>
      </c>
      <c r="E516" s="2" t="str">
        <f>_xlfn.XLOOKUP(A516,转单情况!A:A,转单情况!B:B)</f>
        <v>否</v>
      </c>
      <c r="G516" s="28">
        <f>ROUND(_xlfn.XLOOKUP(A516,全量!A:A,全量!B:B,0)/7,1)</f>
        <v>9</v>
      </c>
      <c r="H516" s="2">
        <f>ROUND(_xlfn.XLOOKUP(A516,AE!A:A,AE!B:B,0)/7,1)</f>
        <v>8.6</v>
      </c>
      <c r="I516" s="2" t="str">
        <f>_xlfn.XLOOKUP(A516,SWFTX邮编覆盖!A:A,SWFTX邮编覆盖!B:B,"否")</f>
        <v>是</v>
      </c>
      <c r="J516" s="2" t="str">
        <f>_xlfn.XLOOKUP(A516,YW邮编覆盖!A:A,YW邮编覆盖!B:B,"否")</f>
        <v>否</v>
      </c>
    </row>
    <row r="517" spans="1:10" hidden="1">
      <c r="A517" s="3">
        <v>95328</v>
      </c>
      <c r="B517" s="1" t="s">
        <v>166</v>
      </c>
      <c r="C517" s="2" t="str">
        <f>_xlfn.XLOOKUP(B517,线路DSP对应!A:A,线路DSP对应!B:B)</f>
        <v>STA_SAC_QUICK</v>
      </c>
      <c r="D517" s="4" t="s">
        <v>157</v>
      </c>
      <c r="E517" s="2" t="str">
        <f>_xlfn.XLOOKUP(A517,转单情况!A:A,转单情况!B:B)</f>
        <v>否</v>
      </c>
      <c r="G517" s="28">
        <f>ROUND(_xlfn.XLOOKUP(A517,全量!A:A,全量!B:B,0)/7,1)</f>
        <v>1.1000000000000001</v>
      </c>
      <c r="H517" s="2">
        <f>ROUND(_xlfn.XLOOKUP(A517,AE!A:A,AE!B:B,0)/7,1)</f>
        <v>1.1000000000000001</v>
      </c>
      <c r="I517" s="2" t="str">
        <f>_xlfn.XLOOKUP(A517,SWFTX邮编覆盖!A:A,SWFTX邮编覆盖!B:B,"否")</f>
        <v>是</v>
      </c>
      <c r="J517" s="2" t="str">
        <f>_xlfn.XLOOKUP(A517,YW邮编覆盖!A:A,YW邮编覆盖!B:B,"否")</f>
        <v>否</v>
      </c>
    </row>
    <row r="518" spans="1:10" hidden="1">
      <c r="A518" s="3">
        <v>95382</v>
      </c>
      <c r="B518" s="1" t="s">
        <v>166</v>
      </c>
      <c r="C518" s="2" t="str">
        <f>_xlfn.XLOOKUP(B518,线路DSP对应!A:A,线路DSP对应!B:B)</f>
        <v>STA_SAC_QUICK</v>
      </c>
      <c r="D518" s="4" t="s">
        <v>157</v>
      </c>
      <c r="E518" s="2" t="str">
        <f>_xlfn.XLOOKUP(A518,转单情况!A:A,转单情况!B:B)</f>
        <v>否</v>
      </c>
      <c r="G518" s="28">
        <f>ROUND(_xlfn.XLOOKUP(A518,全量!A:A,全量!B:B,0)/7,1)</f>
        <v>9.1</v>
      </c>
      <c r="H518" s="2">
        <f>ROUND(_xlfn.XLOOKUP(A518,AE!A:A,AE!B:B,0)/7,1)</f>
        <v>8.9</v>
      </c>
      <c r="I518" s="2" t="str">
        <f>_xlfn.XLOOKUP(A518,SWFTX邮编覆盖!A:A,SWFTX邮编覆盖!B:B,"否")</f>
        <v>是</v>
      </c>
      <c r="J518" s="2" t="str">
        <f>_xlfn.XLOOKUP(A518,YW邮编覆盖!A:A,YW邮编覆盖!B:B,"否")</f>
        <v>否</v>
      </c>
    </row>
    <row r="519" spans="1:10" hidden="1">
      <c r="A519" s="3">
        <v>95380</v>
      </c>
      <c r="B519" s="1" t="s">
        <v>166</v>
      </c>
      <c r="C519" s="2" t="str">
        <f>_xlfn.XLOOKUP(B519,线路DSP对应!A:A,线路DSP对应!B:B)</f>
        <v>STA_SAC_QUICK</v>
      </c>
      <c r="D519" s="4" t="s">
        <v>157</v>
      </c>
      <c r="E519" s="2" t="str">
        <f>_xlfn.XLOOKUP(A519,转单情况!A:A,转单情况!B:B)</f>
        <v>否</v>
      </c>
      <c r="G519" s="28">
        <f>ROUND(_xlfn.XLOOKUP(A519,全量!A:A,全量!B:B,0)/7,1)</f>
        <v>7</v>
      </c>
      <c r="H519" s="2">
        <f>ROUND(_xlfn.XLOOKUP(A519,AE!A:A,AE!B:B,0)/7,1)</f>
        <v>6.7</v>
      </c>
      <c r="I519" s="2" t="str">
        <f>_xlfn.XLOOKUP(A519,SWFTX邮编覆盖!A:A,SWFTX邮编覆盖!B:B,"否")</f>
        <v>是</v>
      </c>
      <c r="J519" s="2" t="str">
        <f>_xlfn.XLOOKUP(A519,YW邮编覆盖!A:A,YW邮编覆盖!B:B,"否")</f>
        <v>否</v>
      </c>
    </row>
    <row r="520" spans="1:10" hidden="1">
      <c r="A520" s="3">
        <v>95360</v>
      </c>
      <c r="B520" s="1" t="s">
        <v>166</v>
      </c>
      <c r="C520" s="2" t="str">
        <f>_xlfn.XLOOKUP(B520,线路DSP对应!A:A,线路DSP对应!B:B)</f>
        <v>STA_SAC_QUICK</v>
      </c>
      <c r="D520" s="4" t="s">
        <v>157</v>
      </c>
      <c r="E520" s="2" t="str">
        <f>_xlfn.XLOOKUP(A520,转单情况!A:A,转单情况!B:B)</f>
        <v>否</v>
      </c>
      <c r="G520" s="28">
        <f>ROUND(_xlfn.XLOOKUP(A520,全量!A:A,全量!B:B,0)/7,1)</f>
        <v>6.4</v>
      </c>
      <c r="H520" s="2">
        <f>ROUND(_xlfn.XLOOKUP(A520,AE!A:A,AE!B:B,0)/7,1)</f>
        <v>2.2999999999999998</v>
      </c>
      <c r="I520" s="2" t="str">
        <f>_xlfn.XLOOKUP(A520,SWFTX邮编覆盖!A:A,SWFTX邮编覆盖!B:B,"否")</f>
        <v>是</v>
      </c>
      <c r="J520" s="2" t="str">
        <f>_xlfn.XLOOKUP(A520,YW邮编覆盖!A:A,YW邮编覆盖!B:B,"否")</f>
        <v>否</v>
      </c>
    </row>
    <row r="521" spans="1:10" hidden="1">
      <c r="A521" s="3">
        <v>95363</v>
      </c>
      <c r="B521" s="1" t="s">
        <v>166</v>
      </c>
      <c r="C521" s="2" t="str">
        <f>_xlfn.XLOOKUP(B521,线路DSP对应!A:A,线路DSP对应!B:B)</f>
        <v>STA_SAC_QUICK</v>
      </c>
      <c r="D521" s="4" t="s">
        <v>157</v>
      </c>
      <c r="E521" s="2" t="str">
        <f>_xlfn.XLOOKUP(A521,转单情况!A:A,转单情况!B:B)</f>
        <v>否</v>
      </c>
      <c r="G521" s="28">
        <f>ROUND(_xlfn.XLOOKUP(A521,全量!A:A,全量!B:B,0)/7,1)</f>
        <v>41.7</v>
      </c>
      <c r="H521" s="2">
        <f>ROUND(_xlfn.XLOOKUP(A521,AE!A:A,AE!B:B,0)/7,1)</f>
        <v>8</v>
      </c>
      <c r="I521" s="2" t="str">
        <f>_xlfn.XLOOKUP(A521,SWFTX邮编覆盖!A:A,SWFTX邮编覆盖!B:B,"否")</f>
        <v>否</v>
      </c>
      <c r="J521" s="2" t="str">
        <f>_xlfn.XLOOKUP(A521,YW邮编覆盖!A:A,YW邮编覆盖!B:B,"否")</f>
        <v>否</v>
      </c>
    </row>
    <row r="522" spans="1:10" hidden="1">
      <c r="A522" s="3">
        <v>91763</v>
      </c>
      <c r="B522" s="1" t="s">
        <v>55</v>
      </c>
      <c r="C522" s="2" t="str">
        <f>_xlfn.XLOOKUP(B522,线路DSP对应!A:A,线路DSP对应!B:B)</f>
        <v>STA_LAX_ChinaOcean</v>
      </c>
      <c r="D522" s="4" t="s">
        <v>148</v>
      </c>
      <c r="E522" s="2" t="str">
        <f>_xlfn.XLOOKUP(A522,转单情况!A:A,转单情况!B:B)</f>
        <v>SW</v>
      </c>
      <c r="G522" s="28">
        <f>ROUND(_xlfn.XLOOKUP(A522,全量!A:A,全量!B:B,0)/7,1)</f>
        <v>0.3</v>
      </c>
      <c r="H522" s="2">
        <f>ROUND(_xlfn.XLOOKUP(A522,AE!A:A,AE!B:B,0)/7,1)</f>
        <v>0</v>
      </c>
      <c r="I522" s="2" t="str">
        <f>_xlfn.XLOOKUP(A522,SWFTX邮编覆盖!A:A,SWFTX邮编覆盖!B:B,"否")</f>
        <v>是</v>
      </c>
      <c r="J522" s="2" t="str">
        <f>_xlfn.XLOOKUP(A522,YW邮编覆盖!A:A,YW邮编覆盖!B:B,"否")</f>
        <v>是</v>
      </c>
    </row>
    <row r="523" spans="1:10" hidden="1">
      <c r="A523" s="3">
        <v>91762</v>
      </c>
      <c r="B523" s="1" t="s">
        <v>55</v>
      </c>
      <c r="C523" s="2" t="str">
        <f>_xlfn.XLOOKUP(B523,线路DSP对应!A:A,线路DSP对应!B:B)</f>
        <v>STA_LAX_ChinaOcean</v>
      </c>
      <c r="D523" s="4" t="s">
        <v>148</v>
      </c>
      <c r="E523" s="2" t="str">
        <f>_xlfn.XLOOKUP(A523,转单情况!A:A,转单情况!B:B)</f>
        <v>SW</v>
      </c>
      <c r="G523" s="28">
        <f>ROUND(_xlfn.XLOOKUP(A523,全量!A:A,全量!B:B,0)/7,1)</f>
        <v>0.7</v>
      </c>
      <c r="H523" s="2">
        <f>ROUND(_xlfn.XLOOKUP(A523,AE!A:A,AE!B:B,0)/7,1)</f>
        <v>0</v>
      </c>
      <c r="I523" s="2" t="str">
        <f>_xlfn.XLOOKUP(A523,SWFTX邮编覆盖!A:A,SWFTX邮编覆盖!B:B,"否")</f>
        <v>是</v>
      </c>
      <c r="J523" s="2" t="str">
        <f>_xlfn.XLOOKUP(A523,YW邮编覆盖!A:A,YW邮编覆盖!B:B,"否")</f>
        <v>是</v>
      </c>
    </row>
    <row r="524" spans="1:10" hidden="1">
      <c r="A524" s="3">
        <v>91766</v>
      </c>
      <c r="B524" s="1" t="s">
        <v>55</v>
      </c>
      <c r="C524" s="2" t="str">
        <f>_xlfn.XLOOKUP(B524,线路DSP对应!A:A,线路DSP对应!B:B)</f>
        <v>STA_LAX_ChinaOcean</v>
      </c>
      <c r="D524" s="4" t="s">
        <v>148</v>
      </c>
      <c r="E524" s="2" t="str">
        <f>_xlfn.XLOOKUP(A524,转单情况!A:A,转单情况!B:B)</f>
        <v>SW</v>
      </c>
      <c r="G524" s="28">
        <f>ROUND(_xlfn.XLOOKUP(A524,全量!A:A,全量!B:B,0)/7,1)</f>
        <v>0.7</v>
      </c>
      <c r="H524" s="2">
        <f>ROUND(_xlfn.XLOOKUP(A524,AE!A:A,AE!B:B,0)/7,1)</f>
        <v>0</v>
      </c>
      <c r="I524" s="2" t="str">
        <f>_xlfn.XLOOKUP(A524,SWFTX邮编覆盖!A:A,SWFTX邮编覆盖!B:B,"否")</f>
        <v>是</v>
      </c>
      <c r="J524" s="2" t="str">
        <f>_xlfn.XLOOKUP(A524,YW邮编覆盖!A:A,YW邮编覆盖!B:B,"否")</f>
        <v>是</v>
      </c>
    </row>
    <row r="525" spans="1:10" hidden="1">
      <c r="A525" s="3">
        <v>91767</v>
      </c>
      <c r="B525" s="1" t="s">
        <v>55</v>
      </c>
      <c r="C525" s="2" t="str">
        <f>_xlfn.XLOOKUP(B525,线路DSP对应!A:A,线路DSP对应!B:B)</f>
        <v>STA_LAX_ChinaOcean</v>
      </c>
      <c r="D525" s="4" t="s">
        <v>148</v>
      </c>
      <c r="E525" s="2" t="str">
        <f>_xlfn.XLOOKUP(A525,转单情况!A:A,转单情况!B:B)</f>
        <v>SW</v>
      </c>
      <c r="G525" s="28">
        <f>ROUND(_xlfn.XLOOKUP(A525,全量!A:A,全量!B:B,0)/7,1)</f>
        <v>0.4</v>
      </c>
      <c r="H525" s="2">
        <f>ROUND(_xlfn.XLOOKUP(A525,AE!A:A,AE!B:B,0)/7,1)</f>
        <v>0</v>
      </c>
      <c r="I525" s="2" t="str">
        <f>_xlfn.XLOOKUP(A525,SWFTX邮编覆盖!A:A,SWFTX邮编覆盖!B:B,"否")</f>
        <v>是</v>
      </c>
      <c r="J525" s="2" t="str">
        <f>_xlfn.XLOOKUP(A525,YW邮编覆盖!A:A,YW邮编覆盖!B:B,"否")</f>
        <v>是</v>
      </c>
    </row>
    <row r="526" spans="1:10" hidden="1">
      <c r="A526" s="3">
        <v>91768</v>
      </c>
      <c r="B526" s="1" t="s">
        <v>55</v>
      </c>
      <c r="C526" s="2" t="str">
        <f>_xlfn.XLOOKUP(B526,线路DSP对应!A:A,线路DSP对应!B:B)</f>
        <v>STA_LAX_ChinaOcean</v>
      </c>
      <c r="D526" s="4" t="s">
        <v>148</v>
      </c>
      <c r="E526" s="2" t="str">
        <f>_xlfn.XLOOKUP(A526,转单情况!A:A,转单情况!B:B)</f>
        <v>SW</v>
      </c>
      <c r="G526" s="28">
        <f>ROUND(_xlfn.XLOOKUP(A526,全量!A:A,全量!B:B,0)/7,1)</f>
        <v>0.7</v>
      </c>
      <c r="H526" s="2">
        <f>ROUND(_xlfn.XLOOKUP(A526,AE!A:A,AE!B:B,0)/7,1)</f>
        <v>0</v>
      </c>
      <c r="I526" s="2" t="str">
        <f>_xlfn.XLOOKUP(A526,SWFTX邮编覆盖!A:A,SWFTX邮编覆盖!B:B,"否")</f>
        <v>是</v>
      </c>
      <c r="J526" s="2" t="str">
        <f>_xlfn.XLOOKUP(A526,YW邮编覆盖!A:A,YW邮编覆盖!B:B,"否")</f>
        <v>是</v>
      </c>
    </row>
    <row r="527" spans="1:10" hidden="1">
      <c r="A527" s="3">
        <v>91708</v>
      </c>
      <c r="B527" s="1" t="s">
        <v>56</v>
      </c>
      <c r="C527" s="2" t="str">
        <f>_xlfn.XLOOKUP(B527,线路DSP对应!A:A,线路DSP对应!B:B)</f>
        <v>STA_LAX_ChinaOcean</v>
      </c>
      <c r="D527" s="4" t="s">
        <v>148</v>
      </c>
      <c r="E527" s="2" t="str">
        <f>_xlfn.XLOOKUP(A527,转单情况!A:A,转单情况!B:B)</f>
        <v>SW</v>
      </c>
      <c r="G527" s="28">
        <f>ROUND(_xlfn.XLOOKUP(A527,全量!A:A,全量!B:B,0)/7,1)</f>
        <v>0.1</v>
      </c>
      <c r="H527" s="2">
        <f>ROUND(_xlfn.XLOOKUP(A527,AE!A:A,AE!B:B,0)/7,1)</f>
        <v>0</v>
      </c>
      <c r="I527" s="2" t="str">
        <f>_xlfn.XLOOKUP(A527,SWFTX邮编覆盖!A:A,SWFTX邮编覆盖!B:B,"否")</f>
        <v>是</v>
      </c>
      <c r="J527" s="2" t="str">
        <f>_xlfn.XLOOKUP(A527,YW邮编覆盖!A:A,YW邮编覆盖!B:B,"否")</f>
        <v>是</v>
      </c>
    </row>
    <row r="528" spans="1:10" hidden="1">
      <c r="A528" s="3">
        <v>91710</v>
      </c>
      <c r="B528" s="1" t="s">
        <v>56</v>
      </c>
      <c r="C528" s="2" t="str">
        <f>_xlfn.XLOOKUP(B528,线路DSP对应!A:A,线路DSP对应!B:B)</f>
        <v>STA_LAX_ChinaOcean</v>
      </c>
      <c r="D528" s="4" t="s">
        <v>148</v>
      </c>
      <c r="E528" s="2" t="str">
        <f>_xlfn.XLOOKUP(A528,转单情况!A:A,转单情况!B:B)</f>
        <v>SW</v>
      </c>
      <c r="G528" s="28">
        <f>ROUND(_xlfn.XLOOKUP(A528,全量!A:A,全量!B:B,0)/7,1)</f>
        <v>0.4</v>
      </c>
      <c r="H528" s="2">
        <f>ROUND(_xlfn.XLOOKUP(A528,AE!A:A,AE!B:B,0)/7,1)</f>
        <v>0</v>
      </c>
      <c r="I528" s="2" t="str">
        <f>_xlfn.XLOOKUP(A528,SWFTX邮编覆盖!A:A,SWFTX邮编覆盖!B:B,"否")</f>
        <v>是</v>
      </c>
      <c r="J528" s="2" t="str">
        <f>_xlfn.XLOOKUP(A528,YW邮编覆盖!A:A,YW邮编覆盖!B:B,"否")</f>
        <v>是</v>
      </c>
    </row>
    <row r="529" spans="1:10" hidden="1">
      <c r="A529" s="3">
        <v>91709</v>
      </c>
      <c r="B529" s="1" t="s">
        <v>56</v>
      </c>
      <c r="C529" s="2" t="str">
        <f>_xlfn.XLOOKUP(B529,线路DSP对应!A:A,线路DSP对应!B:B)</f>
        <v>STA_LAX_ChinaOcean</v>
      </c>
      <c r="D529" s="4" t="s">
        <v>148</v>
      </c>
      <c r="E529" s="2" t="str">
        <f>_xlfn.XLOOKUP(A529,转单情况!A:A,转单情况!B:B)</f>
        <v>SW</v>
      </c>
      <c r="G529" s="28">
        <f>ROUND(_xlfn.XLOOKUP(A529,全量!A:A,全量!B:B,0)/7,1)</f>
        <v>1</v>
      </c>
      <c r="H529" s="2">
        <f>ROUND(_xlfn.XLOOKUP(A529,AE!A:A,AE!B:B,0)/7,1)</f>
        <v>0</v>
      </c>
      <c r="I529" s="2" t="str">
        <f>_xlfn.XLOOKUP(A529,SWFTX邮编覆盖!A:A,SWFTX邮编覆盖!B:B,"否")</f>
        <v>是</v>
      </c>
      <c r="J529" s="2" t="str">
        <f>_xlfn.XLOOKUP(A529,YW邮编覆盖!A:A,YW邮编覆盖!B:B,"否")</f>
        <v>是</v>
      </c>
    </row>
    <row r="530" spans="1:10" hidden="1">
      <c r="A530" s="3">
        <v>91761</v>
      </c>
      <c r="B530" s="1" t="s">
        <v>57</v>
      </c>
      <c r="C530" s="2" t="str">
        <f>_xlfn.XLOOKUP(B530,线路DSP对应!A:A,线路DSP对应!B:B)</f>
        <v>STA_LAX_ChinaOcean</v>
      </c>
      <c r="D530" s="4" t="s">
        <v>148</v>
      </c>
      <c r="E530" s="2" t="str">
        <f>_xlfn.XLOOKUP(A530,转单情况!A:A,转单情况!B:B)</f>
        <v>SW</v>
      </c>
      <c r="G530" s="28">
        <f>ROUND(_xlfn.XLOOKUP(A530,全量!A:A,全量!B:B,0)/7,1)</f>
        <v>0.9</v>
      </c>
      <c r="H530" s="2">
        <f>ROUND(_xlfn.XLOOKUP(A530,AE!A:A,AE!B:B,0)/7,1)</f>
        <v>0</v>
      </c>
      <c r="I530" s="2" t="str">
        <f>_xlfn.XLOOKUP(A530,SWFTX邮编覆盖!A:A,SWFTX邮编覆盖!B:B,"否")</f>
        <v>是</v>
      </c>
      <c r="J530" s="2" t="str">
        <f>_xlfn.XLOOKUP(A530,YW邮编覆盖!A:A,YW邮编覆盖!B:B,"否")</f>
        <v>是</v>
      </c>
    </row>
    <row r="531" spans="1:10" hidden="1">
      <c r="A531" s="3">
        <v>91764</v>
      </c>
      <c r="B531" s="1" t="s">
        <v>57</v>
      </c>
      <c r="C531" s="2" t="str">
        <f>_xlfn.XLOOKUP(B531,线路DSP对应!A:A,线路DSP对应!B:B)</f>
        <v>STA_LAX_ChinaOcean</v>
      </c>
      <c r="D531" s="4" t="s">
        <v>148</v>
      </c>
      <c r="E531" s="2" t="str">
        <f>_xlfn.XLOOKUP(A531,转单情况!A:A,转单情况!B:B)</f>
        <v>SW</v>
      </c>
      <c r="G531" s="28">
        <f>ROUND(_xlfn.XLOOKUP(A531,全量!A:A,全量!B:B,0)/7,1)</f>
        <v>0.4</v>
      </c>
      <c r="H531" s="2">
        <f>ROUND(_xlfn.XLOOKUP(A531,AE!A:A,AE!B:B,0)/7,1)</f>
        <v>0</v>
      </c>
      <c r="I531" s="2" t="str">
        <f>_xlfn.XLOOKUP(A531,SWFTX邮编覆盖!A:A,SWFTX邮编覆盖!B:B,"否")</f>
        <v>是</v>
      </c>
      <c r="J531" s="2" t="str">
        <f>_xlfn.XLOOKUP(A531,YW邮编覆盖!A:A,YW邮编覆盖!B:B,"否")</f>
        <v>是</v>
      </c>
    </row>
    <row r="532" spans="1:10" hidden="1">
      <c r="A532" s="3">
        <v>91758</v>
      </c>
      <c r="B532" s="1" t="s">
        <v>57</v>
      </c>
      <c r="C532" s="2" t="str">
        <f>_xlfn.XLOOKUP(B532,线路DSP对应!A:A,线路DSP对应!B:B)</f>
        <v>STA_LAX_ChinaOcean</v>
      </c>
      <c r="D532" s="4" t="s">
        <v>148</v>
      </c>
      <c r="E532" s="2" t="str">
        <f>_xlfn.XLOOKUP(A532,转单情况!A:A,转单情况!B:B)</f>
        <v>否</v>
      </c>
      <c r="G532" s="28">
        <f>ROUND(_xlfn.XLOOKUP(A532,全量!A:A,全量!B:B,0)/7,1)</f>
        <v>0</v>
      </c>
      <c r="H532" s="2">
        <f>ROUND(_xlfn.XLOOKUP(A532,AE!A:A,AE!B:B,0)/7,1)</f>
        <v>0</v>
      </c>
      <c r="I532" s="2" t="str">
        <f>_xlfn.XLOOKUP(A532,SWFTX邮编覆盖!A:A,SWFTX邮编覆盖!B:B,"否")</f>
        <v>否</v>
      </c>
      <c r="J532" s="2" t="str">
        <f>_xlfn.XLOOKUP(A532,YW邮编覆盖!A:A,YW邮编覆盖!B:B,"否")</f>
        <v>否</v>
      </c>
    </row>
    <row r="533" spans="1:10" hidden="1">
      <c r="A533" s="3">
        <v>91730</v>
      </c>
      <c r="B533" s="1" t="s">
        <v>57</v>
      </c>
      <c r="C533" s="2" t="str">
        <f>_xlfn.XLOOKUP(B533,线路DSP对应!A:A,线路DSP对应!B:B)</f>
        <v>STA_LAX_ChinaOcean</v>
      </c>
      <c r="D533" s="4" t="s">
        <v>148</v>
      </c>
      <c r="E533" s="2" t="str">
        <f>_xlfn.XLOOKUP(A533,转单情况!A:A,转单情况!B:B)</f>
        <v>SW</v>
      </c>
      <c r="G533" s="28">
        <f>ROUND(_xlfn.XLOOKUP(A533,全量!A:A,全量!B:B,0)/7,1)</f>
        <v>1.4</v>
      </c>
      <c r="H533" s="2">
        <f>ROUND(_xlfn.XLOOKUP(A533,AE!A:A,AE!B:B,0)/7,1)</f>
        <v>0</v>
      </c>
      <c r="I533" s="2" t="str">
        <f>_xlfn.XLOOKUP(A533,SWFTX邮编覆盖!A:A,SWFTX邮编覆盖!B:B,"否")</f>
        <v>是</v>
      </c>
      <c r="J533" s="2" t="str">
        <f>_xlfn.XLOOKUP(A533,YW邮编覆盖!A:A,YW邮编覆盖!B:B,"否")</f>
        <v>是</v>
      </c>
    </row>
    <row r="534" spans="1:10" hidden="1">
      <c r="A534" s="3">
        <v>91737</v>
      </c>
      <c r="B534" s="1" t="s">
        <v>57</v>
      </c>
      <c r="C534" s="2" t="str">
        <f>_xlfn.XLOOKUP(B534,线路DSP对应!A:A,线路DSP对应!B:B)</f>
        <v>STA_LAX_ChinaOcean</v>
      </c>
      <c r="D534" s="4" t="s">
        <v>148</v>
      </c>
      <c r="E534" s="2" t="str">
        <f>_xlfn.XLOOKUP(A534,转单情况!A:A,转单情况!B:B)</f>
        <v>SW</v>
      </c>
      <c r="G534" s="28">
        <f>ROUND(_xlfn.XLOOKUP(A534,全量!A:A,全量!B:B,0)/7,1)</f>
        <v>0.7</v>
      </c>
      <c r="H534" s="2">
        <f>ROUND(_xlfn.XLOOKUP(A534,AE!A:A,AE!B:B,0)/7,1)</f>
        <v>0</v>
      </c>
      <c r="I534" s="2" t="str">
        <f>_xlfn.XLOOKUP(A534,SWFTX邮编覆盖!A:A,SWFTX邮编覆盖!B:B,"否")</f>
        <v>是</v>
      </c>
      <c r="J534" s="2" t="str">
        <f>_xlfn.XLOOKUP(A534,YW邮编覆盖!A:A,YW邮编覆盖!B:B,"否")</f>
        <v>是</v>
      </c>
    </row>
    <row r="535" spans="1:10" hidden="1">
      <c r="A535" s="3">
        <v>91701</v>
      </c>
      <c r="B535" s="1" t="s">
        <v>57</v>
      </c>
      <c r="C535" s="2" t="str">
        <f>_xlfn.XLOOKUP(B535,线路DSP对应!A:A,线路DSP对应!B:B)</f>
        <v>STA_LAX_ChinaOcean</v>
      </c>
      <c r="D535" s="4" t="s">
        <v>148</v>
      </c>
      <c r="E535" s="2" t="str">
        <f>_xlfn.XLOOKUP(A535,转单情况!A:A,转单情况!B:B)</f>
        <v>SW</v>
      </c>
      <c r="G535" s="28">
        <f>ROUND(_xlfn.XLOOKUP(A535,全量!A:A,全量!B:B,0)/7,1)</f>
        <v>0.6</v>
      </c>
      <c r="H535" s="2">
        <f>ROUND(_xlfn.XLOOKUP(A535,AE!A:A,AE!B:B,0)/7,1)</f>
        <v>0</v>
      </c>
      <c r="I535" s="2" t="str">
        <f>_xlfn.XLOOKUP(A535,SWFTX邮编覆盖!A:A,SWFTX邮编覆盖!B:B,"否")</f>
        <v>是</v>
      </c>
      <c r="J535" s="2" t="str">
        <f>_xlfn.XLOOKUP(A535,YW邮编覆盖!A:A,YW邮编覆盖!B:B,"否")</f>
        <v>是</v>
      </c>
    </row>
    <row r="536" spans="1:10" hidden="1">
      <c r="A536" s="3">
        <v>91784</v>
      </c>
      <c r="B536" s="1" t="s">
        <v>57</v>
      </c>
      <c r="C536" s="2" t="str">
        <f>_xlfn.XLOOKUP(B536,线路DSP对应!A:A,线路DSP对应!B:B)</f>
        <v>STA_LAX_ChinaOcean</v>
      </c>
      <c r="D536" s="4" t="s">
        <v>148</v>
      </c>
      <c r="E536" s="2" t="str">
        <f>_xlfn.XLOOKUP(A536,转单情况!A:A,转单情况!B:B)</f>
        <v>SW</v>
      </c>
      <c r="G536" s="28">
        <f>ROUND(_xlfn.XLOOKUP(A536,全量!A:A,全量!B:B,0)/7,1)</f>
        <v>0.3</v>
      </c>
      <c r="H536" s="2">
        <f>ROUND(_xlfn.XLOOKUP(A536,AE!A:A,AE!B:B,0)/7,1)</f>
        <v>0</v>
      </c>
      <c r="I536" s="2" t="str">
        <f>_xlfn.XLOOKUP(A536,SWFTX邮编覆盖!A:A,SWFTX邮编覆盖!B:B,"否")</f>
        <v>是</v>
      </c>
      <c r="J536" s="2" t="str">
        <f>_xlfn.XLOOKUP(A536,YW邮编覆盖!A:A,YW邮编覆盖!B:B,"否")</f>
        <v>是</v>
      </c>
    </row>
    <row r="537" spans="1:10" hidden="1">
      <c r="A537" s="3">
        <v>91786</v>
      </c>
      <c r="B537" s="1" t="s">
        <v>57</v>
      </c>
      <c r="C537" s="2" t="str">
        <f>_xlfn.XLOOKUP(B537,线路DSP对应!A:A,线路DSP对应!B:B)</f>
        <v>STA_LAX_ChinaOcean</v>
      </c>
      <c r="D537" s="4" t="s">
        <v>148</v>
      </c>
      <c r="E537" s="2" t="str">
        <f>_xlfn.XLOOKUP(A537,转单情况!A:A,转单情况!B:B)</f>
        <v>SW</v>
      </c>
      <c r="G537" s="28">
        <f>ROUND(_xlfn.XLOOKUP(A537,全量!A:A,全量!B:B,0)/7,1)</f>
        <v>0.4</v>
      </c>
      <c r="H537" s="2">
        <f>ROUND(_xlfn.XLOOKUP(A537,AE!A:A,AE!B:B,0)/7,1)</f>
        <v>0</v>
      </c>
      <c r="I537" s="2" t="str">
        <f>_xlfn.XLOOKUP(A537,SWFTX邮编覆盖!A:A,SWFTX邮编覆盖!B:B,"否")</f>
        <v>是</v>
      </c>
      <c r="J537" s="2" t="str">
        <f>_xlfn.XLOOKUP(A537,YW邮编覆盖!A:A,YW邮编覆盖!B:B,"否")</f>
        <v>是</v>
      </c>
    </row>
    <row r="538" spans="1:10" hidden="1">
      <c r="A538" s="3">
        <v>92878</v>
      </c>
      <c r="B538" s="1" t="s">
        <v>58</v>
      </c>
      <c r="C538" s="2" t="str">
        <f>_xlfn.XLOOKUP(B538,线路DSP对应!A:A,线路DSP对应!B:B)</f>
        <v>STA_LAX_LEWINS</v>
      </c>
      <c r="D538" s="4" t="s">
        <v>148</v>
      </c>
      <c r="E538" s="2" t="str">
        <f>_xlfn.XLOOKUP(A538,转单情况!A:A,转单情况!B:B)</f>
        <v>否</v>
      </c>
      <c r="G538" s="28">
        <f>ROUND(_xlfn.XLOOKUP(A538,全量!A:A,全量!B:B,0)/7,1)</f>
        <v>2.4</v>
      </c>
      <c r="H538" s="2">
        <f>ROUND(_xlfn.XLOOKUP(A538,AE!A:A,AE!B:B,0)/7,1)</f>
        <v>0</v>
      </c>
      <c r="I538" s="2" t="str">
        <f>_xlfn.XLOOKUP(A538,SWFTX邮编覆盖!A:A,SWFTX邮编覆盖!B:B,"否")</f>
        <v>否</v>
      </c>
      <c r="J538" s="2" t="str">
        <f>_xlfn.XLOOKUP(A538,YW邮编覆盖!A:A,YW邮编覆盖!B:B,"否")</f>
        <v>否</v>
      </c>
    </row>
    <row r="539" spans="1:10" hidden="1">
      <c r="A539" s="3">
        <v>92879</v>
      </c>
      <c r="B539" s="1" t="s">
        <v>58</v>
      </c>
      <c r="C539" s="2" t="str">
        <f>_xlfn.XLOOKUP(B539,线路DSP对应!A:A,线路DSP对应!B:B)</f>
        <v>STA_LAX_LEWINS</v>
      </c>
      <c r="D539" s="4" t="s">
        <v>148</v>
      </c>
      <c r="E539" s="2" t="str">
        <f>_xlfn.XLOOKUP(A539,转单情况!A:A,转单情况!B:B)</f>
        <v>否</v>
      </c>
      <c r="G539" s="28">
        <f>ROUND(_xlfn.XLOOKUP(A539,全量!A:A,全量!B:B,0)/7,1)</f>
        <v>0.3</v>
      </c>
      <c r="H539" s="2">
        <f>ROUND(_xlfn.XLOOKUP(A539,AE!A:A,AE!B:B,0)/7,1)</f>
        <v>0</v>
      </c>
      <c r="I539" s="2" t="str">
        <f>_xlfn.XLOOKUP(A539,SWFTX邮编覆盖!A:A,SWFTX邮编覆盖!B:B,"否")</f>
        <v>是</v>
      </c>
      <c r="J539" s="2" t="str">
        <f>_xlfn.XLOOKUP(A539,YW邮编覆盖!A:A,YW邮编覆盖!B:B,"否")</f>
        <v>是</v>
      </c>
    </row>
    <row r="540" spans="1:10" hidden="1">
      <c r="A540" s="3">
        <v>92880</v>
      </c>
      <c r="B540" s="1" t="s">
        <v>58</v>
      </c>
      <c r="C540" s="2" t="str">
        <f>_xlfn.XLOOKUP(B540,线路DSP对应!A:A,线路DSP对应!B:B)</f>
        <v>STA_LAX_LEWINS</v>
      </c>
      <c r="D540" s="4" t="s">
        <v>148</v>
      </c>
      <c r="E540" s="2" t="str">
        <f>_xlfn.XLOOKUP(A540,转单情况!A:A,转单情况!B:B)</f>
        <v>否</v>
      </c>
      <c r="G540" s="28">
        <f>ROUND(_xlfn.XLOOKUP(A540,全量!A:A,全量!B:B,0)/7,1)</f>
        <v>0.4</v>
      </c>
      <c r="H540" s="2">
        <f>ROUND(_xlfn.XLOOKUP(A540,AE!A:A,AE!B:B,0)/7,1)</f>
        <v>0</v>
      </c>
      <c r="I540" s="2" t="str">
        <f>_xlfn.XLOOKUP(A540,SWFTX邮编覆盖!A:A,SWFTX邮编覆盖!B:B,"否")</f>
        <v>是</v>
      </c>
      <c r="J540" s="2" t="str">
        <f>_xlfn.XLOOKUP(A540,YW邮编覆盖!A:A,YW邮编覆盖!B:B,"否")</f>
        <v>是</v>
      </c>
    </row>
    <row r="541" spans="1:10" hidden="1">
      <c r="A541" s="3">
        <v>92881</v>
      </c>
      <c r="B541" s="1" t="s">
        <v>58</v>
      </c>
      <c r="C541" s="2" t="str">
        <f>_xlfn.XLOOKUP(B541,线路DSP对应!A:A,线路DSP对应!B:B)</f>
        <v>STA_LAX_LEWINS</v>
      </c>
      <c r="D541" s="4" t="s">
        <v>148</v>
      </c>
      <c r="E541" s="2" t="str">
        <f>_xlfn.XLOOKUP(A541,转单情况!A:A,转单情况!B:B)</f>
        <v>否</v>
      </c>
      <c r="G541" s="28">
        <f>ROUND(_xlfn.XLOOKUP(A541,全量!A:A,全量!B:B,0)/7,1)</f>
        <v>0</v>
      </c>
      <c r="H541" s="2">
        <f>ROUND(_xlfn.XLOOKUP(A541,AE!A:A,AE!B:B,0)/7,1)</f>
        <v>0</v>
      </c>
      <c r="I541" s="2" t="str">
        <f>_xlfn.XLOOKUP(A541,SWFTX邮编覆盖!A:A,SWFTX邮编覆盖!B:B,"否")</f>
        <v>是</v>
      </c>
      <c r="J541" s="2" t="str">
        <f>_xlfn.XLOOKUP(A541,YW邮编覆盖!A:A,YW邮编覆盖!B:B,"否")</f>
        <v>是</v>
      </c>
    </row>
    <row r="542" spans="1:10" hidden="1">
      <c r="A542" s="3">
        <v>92882</v>
      </c>
      <c r="B542" s="1" t="s">
        <v>58</v>
      </c>
      <c r="C542" s="2" t="str">
        <f>_xlfn.XLOOKUP(B542,线路DSP对应!A:A,线路DSP对应!B:B)</f>
        <v>STA_LAX_LEWINS</v>
      </c>
      <c r="D542" s="4" t="s">
        <v>148</v>
      </c>
      <c r="E542" s="2" t="str">
        <f>_xlfn.XLOOKUP(A542,转单情况!A:A,转单情况!B:B)</f>
        <v>否</v>
      </c>
      <c r="G542" s="28">
        <f>ROUND(_xlfn.XLOOKUP(A542,全量!A:A,全量!B:B,0)/7,1)</f>
        <v>0.3</v>
      </c>
      <c r="H542" s="2">
        <f>ROUND(_xlfn.XLOOKUP(A542,AE!A:A,AE!B:B,0)/7,1)</f>
        <v>0</v>
      </c>
      <c r="I542" s="2" t="str">
        <f>_xlfn.XLOOKUP(A542,SWFTX邮编覆盖!A:A,SWFTX邮编覆盖!B:B,"否")</f>
        <v>是</v>
      </c>
      <c r="J542" s="2" t="str">
        <f>_xlfn.XLOOKUP(A542,YW邮编覆盖!A:A,YW邮编覆盖!B:B,"否")</f>
        <v>是</v>
      </c>
    </row>
    <row r="543" spans="1:10" hidden="1">
      <c r="A543" s="3">
        <v>92883</v>
      </c>
      <c r="B543" s="1" t="s">
        <v>58</v>
      </c>
      <c r="C543" s="2" t="str">
        <f>_xlfn.XLOOKUP(B543,线路DSP对应!A:A,线路DSP对应!B:B)</f>
        <v>STA_LAX_LEWINS</v>
      </c>
      <c r="D543" s="4" t="s">
        <v>148</v>
      </c>
      <c r="E543" s="2" t="str">
        <f>_xlfn.XLOOKUP(A543,转单情况!A:A,转单情况!B:B)</f>
        <v>否</v>
      </c>
      <c r="G543" s="28">
        <f>ROUND(_xlfn.XLOOKUP(A543,全量!A:A,全量!B:B,0)/7,1)</f>
        <v>0</v>
      </c>
      <c r="H543" s="2">
        <f>ROUND(_xlfn.XLOOKUP(A543,AE!A:A,AE!B:B,0)/7,1)</f>
        <v>0</v>
      </c>
      <c r="I543" s="2" t="str">
        <f>_xlfn.XLOOKUP(A543,SWFTX邮编覆盖!A:A,SWFTX邮编覆盖!B:B,"否")</f>
        <v>是</v>
      </c>
      <c r="J543" s="2" t="str">
        <f>_xlfn.XLOOKUP(A543,YW邮编覆盖!A:A,YW邮编覆盖!B:B,"否")</f>
        <v>否</v>
      </c>
    </row>
    <row r="544" spans="1:10" hidden="1">
      <c r="A544" s="3">
        <v>92860</v>
      </c>
      <c r="B544" s="1" t="s">
        <v>58</v>
      </c>
      <c r="C544" s="2" t="str">
        <f>_xlfn.XLOOKUP(B544,线路DSP对应!A:A,线路DSP对应!B:B)</f>
        <v>STA_LAX_LEWINS</v>
      </c>
      <c r="D544" s="4" t="s">
        <v>148</v>
      </c>
      <c r="E544" s="2" t="str">
        <f>_xlfn.XLOOKUP(A544,转单情况!A:A,转单情况!B:B)</f>
        <v>否</v>
      </c>
      <c r="G544" s="28">
        <f>ROUND(_xlfn.XLOOKUP(A544,全量!A:A,全量!B:B,0)/7,1)</f>
        <v>0.1</v>
      </c>
      <c r="H544" s="2">
        <f>ROUND(_xlfn.XLOOKUP(A544,AE!A:A,AE!B:B,0)/7,1)</f>
        <v>0</v>
      </c>
      <c r="I544" s="2" t="str">
        <f>_xlfn.XLOOKUP(A544,SWFTX邮编覆盖!A:A,SWFTX邮编覆盖!B:B,"否")</f>
        <v>是</v>
      </c>
      <c r="J544" s="2" t="str">
        <f>_xlfn.XLOOKUP(A544,YW邮编覆盖!A:A,YW邮编覆盖!B:B,"否")</f>
        <v>是</v>
      </c>
    </row>
    <row r="545" spans="1:10" hidden="1">
      <c r="A545" s="3">
        <v>91739</v>
      </c>
      <c r="B545" s="1" t="s">
        <v>59</v>
      </c>
      <c r="C545" s="2" t="str">
        <f>_xlfn.XLOOKUP(B545,线路DSP对应!A:A,线路DSP对应!B:B)</f>
        <v>STA_LAX_ChinaOcean</v>
      </c>
      <c r="D545" s="4" t="s">
        <v>148</v>
      </c>
      <c r="E545" s="2" t="str">
        <f>_xlfn.XLOOKUP(A545,转单情况!A:A,转单情况!B:B)</f>
        <v>SW</v>
      </c>
      <c r="G545" s="28">
        <f>ROUND(_xlfn.XLOOKUP(A545,全量!A:A,全量!B:B,0)/7,1)</f>
        <v>0.3</v>
      </c>
      <c r="H545" s="2">
        <f>ROUND(_xlfn.XLOOKUP(A545,AE!A:A,AE!B:B,0)/7,1)</f>
        <v>0</v>
      </c>
      <c r="I545" s="2" t="str">
        <f>_xlfn.XLOOKUP(A545,SWFTX邮编覆盖!A:A,SWFTX邮编覆盖!B:B,"否")</f>
        <v>是</v>
      </c>
      <c r="J545" s="2" t="str">
        <f>_xlfn.XLOOKUP(A545,YW邮编覆盖!A:A,YW邮编覆盖!B:B,"否")</f>
        <v>是</v>
      </c>
    </row>
    <row r="546" spans="1:10" hidden="1">
      <c r="A546" s="3">
        <v>92376</v>
      </c>
      <c r="B546" s="1" t="s">
        <v>59</v>
      </c>
      <c r="C546" s="2" t="str">
        <f>_xlfn.XLOOKUP(B546,线路DSP对应!A:A,线路DSP对应!B:B)</f>
        <v>STA_LAX_ChinaOcean</v>
      </c>
      <c r="D546" s="4" t="s">
        <v>148</v>
      </c>
      <c r="E546" s="2" t="str">
        <f>_xlfn.XLOOKUP(A546,转单情况!A:A,转单情况!B:B)</f>
        <v>SW</v>
      </c>
      <c r="G546" s="28">
        <f>ROUND(_xlfn.XLOOKUP(A546,全量!A:A,全量!B:B,0)/7,1)</f>
        <v>0.9</v>
      </c>
      <c r="H546" s="2">
        <f>ROUND(_xlfn.XLOOKUP(A546,AE!A:A,AE!B:B,0)/7,1)</f>
        <v>0</v>
      </c>
      <c r="I546" s="2" t="str">
        <f>_xlfn.XLOOKUP(A546,SWFTX邮编覆盖!A:A,SWFTX邮编覆盖!B:B,"否")</f>
        <v>是</v>
      </c>
      <c r="J546" s="2" t="str">
        <f>_xlfn.XLOOKUP(A546,YW邮编覆盖!A:A,YW邮编覆盖!B:B,"否")</f>
        <v>是</v>
      </c>
    </row>
    <row r="547" spans="1:10" hidden="1">
      <c r="A547" s="3">
        <v>92377</v>
      </c>
      <c r="B547" s="1" t="s">
        <v>59</v>
      </c>
      <c r="C547" s="2" t="str">
        <f>_xlfn.XLOOKUP(B547,线路DSP对应!A:A,线路DSP对应!B:B)</f>
        <v>STA_LAX_ChinaOcean</v>
      </c>
      <c r="D547" s="4" t="s">
        <v>148</v>
      </c>
      <c r="E547" s="2" t="str">
        <f>_xlfn.XLOOKUP(A547,转单情况!A:A,转单情况!B:B)</f>
        <v>SW</v>
      </c>
      <c r="G547" s="28">
        <f>ROUND(_xlfn.XLOOKUP(A547,全量!A:A,全量!B:B,0)/7,1)</f>
        <v>0</v>
      </c>
      <c r="H547" s="2">
        <f>ROUND(_xlfn.XLOOKUP(A547,AE!A:A,AE!B:B,0)/7,1)</f>
        <v>0</v>
      </c>
      <c r="I547" s="2" t="str">
        <f>_xlfn.XLOOKUP(A547,SWFTX邮编覆盖!A:A,SWFTX邮编覆盖!B:B,"否")</f>
        <v>是</v>
      </c>
      <c r="J547" s="2" t="str">
        <f>_xlfn.XLOOKUP(A547,YW邮编覆盖!A:A,YW邮编覆盖!B:B,"否")</f>
        <v>是</v>
      </c>
    </row>
    <row r="548" spans="1:10" hidden="1">
      <c r="A548" s="3">
        <v>92335</v>
      </c>
      <c r="B548" s="1" t="s">
        <v>59</v>
      </c>
      <c r="C548" s="2" t="str">
        <f>_xlfn.XLOOKUP(B548,线路DSP对应!A:A,线路DSP对应!B:B)</f>
        <v>STA_LAX_ChinaOcean</v>
      </c>
      <c r="D548" s="4" t="s">
        <v>148</v>
      </c>
      <c r="E548" s="2" t="str">
        <f>_xlfn.XLOOKUP(A548,转单情况!A:A,转单情况!B:B)</f>
        <v>SW</v>
      </c>
      <c r="G548" s="28">
        <f>ROUND(_xlfn.XLOOKUP(A548,全量!A:A,全量!B:B,0)/7,1)</f>
        <v>0.7</v>
      </c>
      <c r="H548" s="2">
        <f>ROUND(_xlfn.XLOOKUP(A548,AE!A:A,AE!B:B,0)/7,1)</f>
        <v>0</v>
      </c>
      <c r="I548" s="2" t="str">
        <f>_xlfn.XLOOKUP(A548,SWFTX邮编覆盖!A:A,SWFTX邮编覆盖!B:B,"否")</f>
        <v>是</v>
      </c>
      <c r="J548" s="2" t="str">
        <f>_xlfn.XLOOKUP(A548,YW邮编覆盖!A:A,YW邮编覆盖!B:B,"否")</f>
        <v>是</v>
      </c>
    </row>
    <row r="549" spans="1:10" hidden="1">
      <c r="A549" s="3">
        <v>92336</v>
      </c>
      <c r="B549" s="1" t="s">
        <v>59</v>
      </c>
      <c r="C549" s="2" t="str">
        <f>_xlfn.XLOOKUP(B549,线路DSP对应!A:A,线路DSP对应!B:B)</f>
        <v>STA_LAX_ChinaOcean</v>
      </c>
      <c r="D549" s="4" t="s">
        <v>148</v>
      </c>
      <c r="E549" s="2" t="str">
        <f>_xlfn.XLOOKUP(A549,转单情况!A:A,转单情况!B:B)</f>
        <v>SW</v>
      </c>
      <c r="G549" s="28">
        <f>ROUND(_xlfn.XLOOKUP(A549,全量!A:A,全量!B:B,0)/7,1)</f>
        <v>1</v>
      </c>
      <c r="H549" s="2">
        <f>ROUND(_xlfn.XLOOKUP(A549,AE!A:A,AE!B:B,0)/7,1)</f>
        <v>0</v>
      </c>
      <c r="I549" s="2" t="str">
        <f>_xlfn.XLOOKUP(A549,SWFTX邮编覆盖!A:A,SWFTX邮编覆盖!B:B,"否")</f>
        <v>是</v>
      </c>
      <c r="J549" s="2" t="str">
        <f>_xlfn.XLOOKUP(A549,YW邮编覆盖!A:A,YW邮编覆盖!B:B,"否")</f>
        <v>是</v>
      </c>
    </row>
    <row r="550" spans="1:10" hidden="1">
      <c r="A550" s="3">
        <v>92337</v>
      </c>
      <c r="B550" s="1" t="s">
        <v>59</v>
      </c>
      <c r="C550" s="2" t="str">
        <f>_xlfn.XLOOKUP(B550,线路DSP对应!A:A,线路DSP对应!B:B)</f>
        <v>STA_LAX_ChinaOcean</v>
      </c>
      <c r="D550" s="4" t="s">
        <v>148</v>
      </c>
      <c r="E550" s="2" t="str">
        <f>_xlfn.XLOOKUP(A550,转单情况!A:A,转单情况!B:B)</f>
        <v>SW</v>
      </c>
      <c r="G550" s="28">
        <f>ROUND(_xlfn.XLOOKUP(A550,全量!A:A,全量!B:B,0)/7,1)</f>
        <v>0.3</v>
      </c>
      <c r="H550" s="2">
        <f>ROUND(_xlfn.XLOOKUP(A550,AE!A:A,AE!B:B,0)/7,1)</f>
        <v>0</v>
      </c>
      <c r="I550" s="2" t="str">
        <f>_xlfn.XLOOKUP(A550,SWFTX邮编覆盖!A:A,SWFTX邮编覆盖!B:B,"否")</f>
        <v>是</v>
      </c>
      <c r="J550" s="2" t="str">
        <f>_xlfn.XLOOKUP(A550,YW邮编覆盖!A:A,YW邮编覆盖!B:B,"否")</f>
        <v>是</v>
      </c>
    </row>
    <row r="551" spans="1:10" hidden="1">
      <c r="A551" s="3">
        <v>92316</v>
      </c>
      <c r="B551" s="1" t="s">
        <v>59</v>
      </c>
      <c r="C551" s="2" t="str">
        <f>_xlfn.XLOOKUP(B551,线路DSP对应!A:A,线路DSP对应!B:B)</f>
        <v>STA_LAX_ChinaOcean</v>
      </c>
      <c r="D551" s="4" t="s">
        <v>148</v>
      </c>
      <c r="E551" s="2" t="str">
        <f>_xlfn.XLOOKUP(A551,转单情况!A:A,转单情况!B:B)</f>
        <v>SW</v>
      </c>
      <c r="G551" s="28">
        <f>ROUND(_xlfn.XLOOKUP(A551,全量!A:A,全量!B:B,0)/7,1)</f>
        <v>0.4</v>
      </c>
      <c r="H551" s="2">
        <f>ROUND(_xlfn.XLOOKUP(A551,AE!A:A,AE!B:B,0)/7,1)</f>
        <v>0</v>
      </c>
      <c r="I551" s="2" t="str">
        <f>_xlfn.XLOOKUP(A551,SWFTX邮编覆盖!A:A,SWFTX邮编覆盖!B:B,"否")</f>
        <v>是</v>
      </c>
      <c r="J551" s="2" t="str">
        <f>_xlfn.XLOOKUP(A551,YW邮编覆盖!A:A,YW邮编覆盖!B:B,"否")</f>
        <v>是</v>
      </c>
    </row>
    <row r="552" spans="1:10" hidden="1">
      <c r="A552" s="3">
        <v>92522</v>
      </c>
      <c r="B552" s="1" t="s">
        <v>60</v>
      </c>
      <c r="C552" s="2" t="str">
        <f>_xlfn.XLOOKUP(B552,线路DSP对应!A:A,线路DSP对应!B:B)</f>
        <v>STA_LAX_LEWINS</v>
      </c>
      <c r="D552" s="4" t="s">
        <v>148</v>
      </c>
      <c r="E552" s="2" t="str">
        <f>_xlfn.XLOOKUP(A552,转单情况!A:A,转单情况!B:B)</f>
        <v>否</v>
      </c>
      <c r="G552" s="28">
        <f>ROUND(_xlfn.XLOOKUP(A552,全量!A:A,全量!B:B,0)/7,1)</f>
        <v>0</v>
      </c>
      <c r="H552" s="2">
        <f>ROUND(_xlfn.XLOOKUP(A552,AE!A:A,AE!B:B,0)/7,1)</f>
        <v>0</v>
      </c>
      <c r="I552" s="2" t="str">
        <f>_xlfn.XLOOKUP(A552,SWFTX邮编覆盖!A:A,SWFTX邮编覆盖!B:B,"否")</f>
        <v>否</v>
      </c>
      <c r="J552" s="2" t="str">
        <f>_xlfn.XLOOKUP(A552,YW邮编覆盖!A:A,YW邮编覆盖!B:B,"否")</f>
        <v>否</v>
      </c>
    </row>
    <row r="553" spans="1:10" hidden="1">
      <c r="A553" s="3">
        <v>92501</v>
      </c>
      <c r="B553" s="1" t="s">
        <v>60</v>
      </c>
      <c r="C553" s="2" t="str">
        <f>_xlfn.XLOOKUP(B553,线路DSP对应!A:A,线路DSP对应!B:B)</f>
        <v>STA_LAX_LEWINS</v>
      </c>
      <c r="D553" s="4" t="s">
        <v>148</v>
      </c>
      <c r="E553" s="2" t="str">
        <f>_xlfn.XLOOKUP(A553,转单情况!A:A,转单情况!B:B)</f>
        <v>否</v>
      </c>
      <c r="G553" s="28">
        <f>ROUND(_xlfn.XLOOKUP(A553,全量!A:A,全量!B:B,0)/7,1)</f>
        <v>0.4</v>
      </c>
      <c r="H553" s="2">
        <f>ROUND(_xlfn.XLOOKUP(A553,AE!A:A,AE!B:B,0)/7,1)</f>
        <v>0</v>
      </c>
      <c r="I553" s="2" t="str">
        <f>_xlfn.XLOOKUP(A553,SWFTX邮编覆盖!A:A,SWFTX邮编覆盖!B:B,"否")</f>
        <v>是</v>
      </c>
      <c r="J553" s="2" t="str">
        <f>_xlfn.XLOOKUP(A553,YW邮编覆盖!A:A,YW邮编覆盖!B:B,"否")</f>
        <v>是</v>
      </c>
    </row>
    <row r="554" spans="1:10" hidden="1">
      <c r="A554" s="3">
        <v>92503</v>
      </c>
      <c r="B554" s="1" t="s">
        <v>60</v>
      </c>
      <c r="C554" s="2" t="str">
        <f>_xlfn.XLOOKUP(B554,线路DSP对应!A:A,线路DSP对应!B:B)</f>
        <v>STA_LAX_LEWINS</v>
      </c>
      <c r="D554" s="4" t="s">
        <v>148</v>
      </c>
      <c r="E554" s="2" t="str">
        <f>_xlfn.XLOOKUP(A554,转单情况!A:A,转单情况!B:B)</f>
        <v>否</v>
      </c>
      <c r="G554" s="28">
        <f>ROUND(_xlfn.XLOOKUP(A554,全量!A:A,全量!B:B,0)/7,1)</f>
        <v>1.9</v>
      </c>
      <c r="H554" s="2">
        <f>ROUND(_xlfn.XLOOKUP(A554,AE!A:A,AE!B:B,0)/7,1)</f>
        <v>0</v>
      </c>
      <c r="I554" s="2" t="str">
        <f>_xlfn.XLOOKUP(A554,SWFTX邮编覆盖!A:A,SWFTX邮编覆盖!B:B,"否")</f>
        <v>是</v>
      </c>
      <c r="J554" s="2" t="str">
        <f>_xlfn.XLOOKUP(A554,YW邮编覆盖!A:A,YW邮编覆盖!B:B,"否")</f>
        <v>是</v>
      </c>
    </row>
    <row r="555" spans="1:10" hidden="1">
      <c r="A555" s="3">
        <v>92504</v>
      </c>
      <c r="B555" s="1" t="s">
        <v>60</v>
      </c>
      <c r="C555" s="2" t="str">
        <f>_xlfn.XLOOKUP(B555,线路DSP对应!A:A,线路DSP对应!B:B)</f>
        <v>STA_LAX_LEWINS</v>
      </c>
      <c r="D555" s="4" t="s">
        <v>148</v>
      </c>
      <c r="E555" s="2" t="str">
        <f>_xlfn.XLOOKUP(A555,转单情况!A:A,转单情况!B:B)</f>
        <v>否</v>
      </c>
      <c r="G555" s="28">
        <f>ROUND(_xlfn.XLOOKUP(A555,全量!A:A,全量!B:B,0)/7,1)</f>
        <v>16.7</v>
      </c>
      <c r="H555" s="2">
        <f>ROUND(_xlfn.XLOOKUP(A555,AE!A:A,AE!B:B,0)/7,1)</f>
        <v>15.7</v>
      </c>
      <c r="I555" s="2" t="str">
        <f>_xlfn.XLOOKUP(A555,SWFTX邮编覆盖!A:A,SWFTX邮编覆盖!B:B,"否")</f>
        <v>是</v>
      </c>
      <c r="J555" s="2" t="str">
        <f>_xlfn.XLOOKUP(A555,YW邮编覆盖!A:A,YW邮编覆盖!B:B,"否")</f>
        <v>是</v>
      </c>
    </row>
    <row r="556" spans="1:10" hidden="1">
      <c r="A556" s="3">
        <v>92505</v>
      </c>
      <c r="B556" s="1" t="s">
        <v>60</v>
      </c>
      <c r="C556" s="2" t="str">
        <f>_xlfn.XLOOKUP(B556,线路DSP对应!A:A,线路DSP对应!B:B)</f>
        <v>STA_LAX_LEWINS</v>
      </c>
      <c r="D556" s="4" t="s">
        <v>148</v>
      </c>
      <c r="E556" s="2" t="str">
        <f>_xlfn.XLOOKUP(A556,转单情况!A:A,转单情况!B:B)</f>
        <v>否</v>
      </c>
      <c r="G556" s="28">
        <f>ROUND(_xlfn.XLOOKUP(A556,全量!A:A,全量!B:B,0)/7,1)</f>
        <v>1.1000000000000001</v>
      </c>
      <c r="H556" s="2">
        <f>ROUND(_xlfn.XLOOKUP(A556,AE!A:A,AE!B:B,0)/7,1)</f>
        <v>0</v>
      </c>
      <c r="I556" s="2" t="str">
        <f>_xlfn.XLOOKUP(A556,SWFTX邮编覆盖!A:A,SWFTX邮编覆盖!B:B,"否")</f>
        <v>是</v>
      </c>
      <c r="J556" s="2" t="str">
        <f>_xlfn.XLOOKUP(A556,YW邮编覆盖!A:A,YW邮编覆盖!B:B,"否")</f>
        <v>是</v>
      </c>
    </row>
    <row r="557" spans="1:10" hidden="1">
      <c r="A557" s="3">
        <v>92506</v>
      </c>
      <c r="B557" s="1" t="s">
        <v>61</v>
      </c>
      <c r="C557" s="2" t="str">
        <f>_xlfn.XLOOKUP(B557,线路DSP对应!A:A,线路DSP对应!B:B)</f>
        <v>STA_LAX_LEWINS</v>
      </c>
      <c r="D557" s="4" t="s">
        <v>148</v>
      </c>
      <c r="E557" s="2" t="str">
        <f>_xlfn.XLOOKUP(A557,转单情况!A:A,转单情况!B:B)</f>
        <v>否</v>
      </c>
      <c r="G557" s="28">
        <f>ROUND(_xlfn.XLOOKUP(A557,全量!A:A,全量!B:B,0)/7,1)</f>
        <v>0.7</v>
      </c>
      <c r="H557" s="2">
        <f>ROUND(_xlfn.XLOOKUP(A557,AE!A:A,AE!B:B,0)/7,1)</f>
        <v>0</v>
      </c>
      <c r="I557" s="2" t="str">
        <f>_xlfn.XLOOKUP(A557,SWFTX邮编覆盖!A:A,SWFTX邮编覆盖!B:B,"否")</f>
        <v>是</v>
      </c>
      <c r="J557" s="2" t="str">
        <f>_xlfn.XLOOKUP(A557,YW邮编覆盖!A:A,YW邮编覆盖!B:B,"否")</f>
        <v>是</v>
      </c>
    </row>
    <row r="558" spans="1:10" hidden="1">
      <c r="A558" s="3">
        <v>92507</v>
      </c>
      <c r="B558" s="1" t="s">
        <v>61</v>
      </c>
      <c r="C558" s="2" t="str">
        <f>_xlfn.XLOOKUP(B558,线路DSP对应!A:A,线路DSP对应!B:B)</f>
        <v>STA_LAX_LEWINS</v>
      </c>
      <c r="D558" s="4" t="s">
        <v>148</v>
      </c>
      <c r="E558" s="2" t="str">
        <f>_xlfn.XLOOKUP(A558,转单情况!A:A,转单情况!B:B)</f>
        <v>否</v>
      </c>
      <c r="G558" s="28">
        <f>ROUND(_xlfn.XLOOKUP(A558,全量!A:A,全量!B:B,0)/7,1)</f>
        <v>0.6</v>
      </c>
      <c r="H558" s="2">
        <f>ROUND(_xlfn.XLOOKUP(A558,AE!A:A,AE!B:B,0)/7,1)</f>
        <v>0.1</v>
      </c>
      <c r="I558" s="2" t="str">
        <f>_xlfn.XLOOKUP(A558,SWFTX邮编覆盖!A:A,SWFTX邮编覆盖!B:B,"否")</f>
        <v>是</v>
      </c>
      <c r="J558" s="2" t="str">
        <f>_xlfn.XLOOKUP(A558,YW邮编覆盖!A:A,YW邮编覆盖!B:B,"否")</f>
        <v>是</v>
      </c>
    </row>
    <row r="559" spans="1:10" hidden="1">
      <c r="A559" s="3">
        <v>92521</v>
      </c>
      <c r="B559" s="1" t="s">
        <v>61</v>
      </c>
      <c r="C559" s="2" t="str">
        <f>_xlfn.XLOOKUP(B559,线路DSP对应!A:A,线路DSP对应!B:B)</f>
        <v>STA_LAX_LEWINS</v>
      </c>
      <c r="D559" s="4" t="s">
        <v>148</v>
      </c>
      <c r="E559" s="2" t="str">
        <f>_xlfn.XLOOKUP(A559,转单情况!A:A,转单情况!B:B)</f>
        <v>否</v>
      </c>
      <c r="G559" s="28">
        <f>ROUND(_xlfn.XLOOKUP(A559,全量!A:A,全量!B:B,0)/7,1)</f>
        <v>0</v>
      </c>
      <c r="H559" s="2">
        <f>ROUND(_xlfn.XLOOKUP(A559,AE!A:A,AE!B:B,0)/7,1)</f>
        <v>0</v>
      </c>
      <c r="I559" s="2" t="str">
        <f>_xlfn.XLOOKUP(A559,SWFTX邮编覆盖!A:A,SWFTX邮编覆盖!B:B,"否")</f>
        <v>否</v>
      </c>
      <c r="J559" s="2" t="str">
        <f>_xlfn.XLOOKUP(A559,YW邮编覆盖!A:A,YW邮编覆盖!B:B,"否")</f>
        <v>否</v>
      </c>
    </row>
    <row r="560" spans="1:10" hidden="1">
      <c r="A560" s="3">
        <v>92508</v>
      </c>
      <c r="B560" s="1" t="s">
        <v>61</v>
      </c>
      <c r="C560" s="2" t="str">
        <f>_xlfn.XLOOKUP(B560,线路DSP对应!A:A,线路DSP对应!B:B)</f>
        <v>STA_LAX_LEWINS</v>
      </c>
      <c r="D560" s="4" t="s">
        <v>148</v>
      </c>
      <c r="E560" s="2" t="str">
        <f>_xlfn.XLOOKUP(A560,转单情况!A:A,转单情况!B:B)</f>
        <v>否</v>
      </c>
      <c r="G560" s="28">
        <f>ROUND(_xlfn.XLOOKUP(A560,全量!A:A,全量!B:B,0)/7,1)</f>
        <v>11.7</v>
      </c>
      <c r="H560" s="2">
        <f>ROUND(_xlfn.XLOOKUP(A560,AE!A:A,AE!B:B,0)/7,1)</f>
        <v>10.4</v>
      </c>
      <c r="I560" s="2" t="str">
        <f>_xlfn.XLOOKUP(A560,SWFTX邮编覆盖!A:A,SWFTX邮编覆盖!B:B,"否")</f>
        <v>是</v>
      </c>
      <c r="J560" s="2" t="str">
        <f>_xlfn.XLOOKUP(A560,YW邮编覆盖!A:A,YW邮编覆盖!B:B,"否")</f>
        <v>是</v>
      </c>
    </row>
    <row r="561" spans="1:10" hidden="1">
      <c r="A561" s="3">
        <v>92509</v>
      </c>
      <c r="B561" s="1" t="s">
        <v>61</v>
      </c>
      <c r="C561" s="2" t="str">
        <f>_xlfn.XLOOKUP(B561,线路DSP对应!A:A,线路DSP对应!B:B)</f>
        <v>STA_LAX_LEWINS</v>
      </c>
      <c r="D561" s="4" t="s">
        <v>148</v>
      </c>
      <c r="E561" s="2" t="str">
        <f>_xlfn.XLOOKUP(A561,转单情况!A:A,转单情况!B:B)</f>
        <v>否</v>
      </c>
      <c r="G561" s="28">
        <f>ROUND(_xlfn.XLOOKUP(A561,全量!A:A,全量!B:B,0)/7,1)</f>
        <v>1.9</v>
      </c>
      <c r="H561" s="2">
        <f>ROUND(_xlfn.XLOOKUP(A561,AE!A:A,AE!B:B,0)/7,1)</f>
        <v>0</v>
      </c>
      <c r="I561" s="2" t="str">
        <f>_xlfn.XLOOKUP(A561,SWFTX邮编覆盖!A:A,SWFTX邮编覆盖!B:B,"否")</f>
        <v>是</v>
      </c>
      <c r="J561" s="2" t="str">
        <f>_xlfn.XLOOKUP(A561,YW邮编覆盖!A:A,YW邮编覆盖!B:B,"否")</f>
        <v>是</v>
      </c>
    </row>
    <row r="562" spans="1:10" hidden="1">
      <c r="A562" s="3">
        <v>91752</v>
      </c>
      <c r="B562" s="1" t="s">
        <v>61</v>
      </c>
      <c r="C562" s="2" t="str">
        <f>_xlfn.XLOOKUP(B562,线路DSP对应!A:A,线路DSP对应!B:B)</f>
        <v>STA_LAX_LEWINS</v>
      </c>
      <c r="D562" s="4" t="s">
        <v>148</v>
      </c>
      <c r="E562" s="2" t="str">
        <f>_xlfn.XLOOKUP(A562,转单情况!A:A,转单情况!B:B)</f>
        <v>否</v>
      </c>
      <c r="G562" s="28">
        <f>ROUND(_xlfn.XLOOKUP(A562,全量!A:A,全量!B:B,0)/7,1)</f>
        <v>0</v>
      </c>
      <c r="H562" s="2">
        <f>ROUND(_xlfn.XLOOKUP(A562,AE!A:A,AE!B:B,0)/7,1)</f>
        <v>0</v>
      </c>
      <c r="I562" s="2" t="str">
        <f>_xlfn.XLOOKUP(A562,SWFTX邮编覆盖!A:A,SWFTX邮编覆盖!B:B,"否")</f>
        <v>是</v>
      </c>
      <c r="J562" s="2" t="str">
        <f>_xlfn.XLOOKUP(A562,YW邮编覆盖!A:A,YW邮编覆盖!B:B,"否")</f>
        <v>是</v>
      </c>
    </row>
    <row r="563" spans="1:10" hidden="1">
      <c r="A563" s="3">
        <v>92518</v>
      </c>
      <c r="B563" s="1" t="s">
        <v>61</v>
      </c>
      <c r="C563" s="2" t="str">
        <f>_xlfn.XLOOKUP(B563,线路DSP对应!A:A,线路DSP对应!B:B)</f>
        <v>STA_LAX_LEWINS</v>
      </c>
      <c r="D563" s="4" t="s">
        <v>148</v>
      </c>
      <c r="E563" s="2" t="str">
        <f>_xlfn.XLOOKUP(A563,转单情况!A:A,转单情况!B:B)</f>
        <v>SW</v>
      </c>
      <c r="G563" s="28">
        <f>ROUND(_xlfn.XLOOKUP(A563,全量!A:A,全量!B:B,0)/7,1)</f>
        <v>0</v>
      </c>
      <c r="H563" s="2">
        <f>ROUND(_xlfn.XLOOKUP(A563,AE!A:A,AE!B:B,0)/7,1)</f>
        <v>0</v>
      </c>
      <c r="I563" s="2" t="str">
        <f>_xlfn.XLOOKUP(A563,SWFTX邮编覆盖!A:A,SWFTX邮编覆盖!B:B,"否")</f>
        <v>是</v>
      </c>
      <c r="J563" s="2" t="str">
        <f>_xlfn.XLOOKUP(A563,YW邮编覆盖!A:A,YW邮编覆盖!B:B,"否")</f>
        <v>否</v>
      </c>
    </row>
    <row r="564" spans="1:10" hidden="1">
      <c r="A564" s="3">
        <v>92313</v>
      </c>
      <c r="B564" s="1" t="s">
        <v>62</v>
      </c>
      <c r="C564" s="2" t="str">
        <f>_xlfn.XLOOKUP(B564,线路DSP对应!A:A,线路DSP对应!B:B)</f>
        <v>STA_LAX_SDG</v>
      </c>
      <c r="D564" s="4" t="s">
        <v>148</v>
      </c>
      <c r="E564" s="2" t="str">
        <f>_xlfn.XLOOKUP(A564,转单情况!A:A,转单情况!B:B)</f>
        <v>SW</v>
      </c>
      <c r="G564" s="28">
        <f>ROUND(_xlfn.XLOOKUP(A564,全量!A:A,全量!B:B,0)/7,1)</f>
        <v>0</v>
      </c>
      <c r="H564" s="2">
        <f>ROUND(_xlfn.XLOOKUP(A564,AE!A:A,AE!B:B,0)/7,1)</f>
        <v>0</v>
      </c>
      <c r="I564" s="2" t="str">
        <f>_xlfn.XLOOKUP(A564,SWFTX邮编覆盖!A:A,SWFTX邮编覆盖!B:B,"否")</f>
        <v>是</v>
      </c>
      <c r="J564" s="2" t="str">
        <f>_xlfn.XLOOKUP(A564,YW邮编覆盖!A:A,YW邮编覆盖!B:B,"否")</f>
        <v>是</v>
      </c>
    </row>
    <row r="565" spans="1:10" hidden="1">
      <c r="A565" s="3">
        <v>92324</v>
      </c>
      <c r="B565" s="1" t="s">
        <v>62</v>
      </c>
      <c r="C565" s="2" t="str">
        <f>_xlfn.XLOOKUP(B565,线路DSP对应!A:A,线路DSP对应!B:B)</f>
        <v>STA_LAX_SDG</v>
      </c>
      <c r="D565" s="4" t="s">
        <v>148</v>
      </c>
      <c r="E565" s="2" t="str">
        <f>_xlfn.XLOOKUP(A565,转单情况!A:A,转单情况!B:B)</f>
        <v>SW</v>
      </c>
      <c r="G565" s="28">
        <f>ROUND(_xlfn.XLOOKUP(A565,全量!A:A,全量!B:B,0)/7,1)</f>
        <v>0.4</v>
      </c>
      <c r="H565" s="2">
        <f>ROUND(_xlfn.XLOOKUP(A565,AE!A:A,AE!B:B,0)/7,1)</f>
        <v>0</v>
      </c>
      <c r="I565" s="2" t="str">
        <f>_xlfn.XLOOKUP(A565,SWFTX邮编覆盖!A:A,SWFTX邮编覆盖!B:B,"否")</f>
        <v>是</v>
      </c>
      <c r="J565" s="2" t="str">
        <f>_xlfn.XLOOKUP(A565,YW邮编覆盖!A:A,YW邮编覆盖!B:B,"否")</f>
        <v>是</v>
      </c>
    </row>
    <row r="566" spans="1:10" hidden="1">
      <c r="A566" s="3">
        <v>92373</v>
      </c>
      <c r="B566" s="1" t="s">
        <v>62</v>
      </c>
      <c r="C566" s="2" t="str">
        <f>_xlfn.XLOOKUP(B566,线路DSP对应!A:A,线路DSP对应!B:B)</f>
        <v>STA_LAX_SDG</v>
      </c>
      <c r="D566" s="4" t="s">
        <v>148</v>
      </c>
      <c r="E566" s="2" t="str">
        <f>_xlfn.XLOOKUP(A566,转单情况!A:A,转单情况!B:B)</f>
        <v>否</v>
      </c>
      <c r="G566" s="28">
        <f>ROUND(_xlfn.XLOOKUP(A566,全量!A:A,全量!B:B,0)/7,1)</f>
        <v>3.7</v>
      </c>
      <c r="H566" s="2">
        <f>ROUND(_xlfn.XLOOKUP(A566,AE!A:A,AE!B:B,0)/7,1)</f>
        <v>0</v>
      </c>
      <c r="I566" s="2" t="str">
        <f>_xlfn.XLOOKUP(A566,SWFTX邮编覆盖!A:A,SWFTX邮编覆盖!B:B,"否")</f>
        <v>否</v>
      </c>
      <c r="J566" s="2" t="str">
        <f>_xlfn.XLOOKUP(A566,YW邮编覆盖!A:A,YW邮编覆盖!B:B,"否")</f>
        <v>否</v>
      </c>
    </row>
    <row r="567" spans="1:10" hidden="1">
      <c r="A567" s="3">
        <v>92318</v>
      </c>
      <c r="B567" s="1" t="s">
        <v>62</v>
      </c>
      <c r="C567" s="2" t="str">
        <f>_xlfn.XLOOKUP(B567,线路DSP对应!A:A,线路DSP对应!B:B)</f>
        <v>STA_LAX_SDG</v>
      </c>
      <c r="D567" s="4" t="s">
        <v>148</v>
      </c>
      <c r="E567" s="2" t="str">
        <f>_xlfn.XLOOKUP(A567,转单情况!A:A,转单情况!B:B)</f>
        <v>否</v>
      </c>
      <c r="G567" s="28">
        <f>ROUND(_xlfn.XLOOKUP(A567,全量!A:A,全量!B:B,0)/7,1)</f>
        <v>0</v>
      </c>
      <c r="H567" s="2">
        <f>ROUND(_xlfn.XLOOKUP(A567,AE!A:A,AE!B:B,0)/7,1)</f>
        <v>0</v>
      </c>
      <c r="I567" s="2" t="str">
        <f>_xlfn.XLOOKUP(A567,SWFTX邮编覆盖!A:A,SWFTX邮编覆盖!B:B,"否")</f>
        <v>否</v>
      </c>
      <c r="J567" s="2" t="str">
        <f>_xlfn.XLOOKUP(A567,YW邮编覆盖!A:A,YW邮编覆盖!B:B,"否")</f>
        <v>否</v>
      </c>
    </row>
    <row r="568" spans="1:10" hidden="1">
      <c r="A568" s="3">
        <v>92374</v>
      </c>
      <c r="B568" s="1" t="s">
        <v>62</v>
      </c>
      <c r="C568" s="2" t="str">
        <f>_xlfn.XLOOKUP(B568,线路DSP对应!A:A,线路DSP对应!B:B)</f>
        <v>STA_LAX_SDG</v>
      </c>
      <c r="D568" s="4" t="s">
        <v>148</v>
      </c>
      <c r="E568" s="2" t="str">
        <f>_xlfn.XLOOKUP(A568,转单情况!A:A,转单情况!B:B)</f>
        <v>SW</v>
      </c>
      <c r="G568" s="28">
        <f>ROUND(_xlfn.XLOOKUP(A568,全量!A:A,全量!B:B,0)/7,1)</f>
        <v>0.4</v>
      </c>
      <c r="H568" s="2">
        <f>ROUND(_xlfn.XLOOKUP(A568,AE!A:A,AE!B:B,0)/7,1)</f>
        <v>0</v>
      </c>
      <c r="I568" s="2" t="str">
        <f>_xlfn.XLOOKUP(A568,SWFTX邮编覆盖!A:A,SWFTX邮编覆盖!B:B,"否")</f>
        <v>是</v>
      </c>
      <c r="J568" s="2" t="str">
        <f>_xlfn.XLOOKUP(A568,YW邮编覆盖!A:A,YW邮编覆盖!B:B,"否")</f>
        <v>是</v>
      </c>
    </row>
    <row r="569" spans="1:10" hidden="1">
      <c r="A569" s="3">
        <v>92359</v>
      </c>
      <c r="B569" s="1" t="s">
        <v>62</v>
      </c>
      <c r="C569" s="2" t="str">
        <f>_xlfn.XLOOKUP(B569,线路DSP对应!A:A,线路DSP对应!B:B)</f>
        <v>STA_LAX_SDG</v>
      </c>
      <c r="D569" s="4" t="s">
        <v>148</v>
      </c>
      <c r="E569" s="2" t="str">
        <f>_xlfn.XLOOKUP(A569,转单情况!A:A,转单情况!B:B)</f>
        <v>否</v>
      </c>
      <c r="G569" s="28">
        <f>ROUND(_xlfn.XLOOKUP(A569,全量!A:A,全量!B:B,0)/7,1)</f>
        <v>1.4</v>
      </c>
      <c r="H569" s="2">
        <f>ROUND(_xlfn.XLOOKUP(A569,AE!A:A,AE!B:B,0)/7,1)</f>
        <v>0</v>
      </c>
      <c r="I569" s="2" t="str">
        <f>_xlfn.XLOOKUP(A569,SWFTX邮编覆盖!A:A,SWFTX邮编覆盖!B:B,"否")</f>
        <v>否</v>
      </c>
      <c r="J569" s="2" t="str">
        <f>_xlfn.XLOOKUP(A569,YW邮编覆盖!A:A,YW邮编覆盖!B:B,"否")</f>
        <v>否</v>
      </c>
    </row>
    <row r="570" spans="1:10" hidden="1">
      <c r="A570" s="3">
        <v>92350</v>
      </c>
      <c r="B570" s="1" t="s">
        <v>62</v>
      </c>
      <c r="C570" s="2" t="str">
        <f>_xlfn.XLOOKUP(B570,线路DSP对应!A:A,线路DSP对应!B:B)</f>
        <v>STA_LAX_SDG</v>
      </c>
      <c r="D570" s="4" t="s">
        <v>148</v>
      </c>
      <c r="E570" s="2" t="str">
        <f>_xlfn.XLOOKUP(A570,转单情况!A:A,转单情况!B:B)</f>
        <v>否</v>
      </c>
      <c r="F570" s="2" t="s">
        <v>202</v>
      </c>
      <c r="G570" s="28">
        <f>ROUND(_xlfn.XLOOKUP(A570,全量!A:A,全量!B:B,0)/7,1)</f>
        <v>0.1</v>
      </c>
      <c r="H570" s="2">
        <f>ROUND(_xlfn.XLOOKUP(A570,AE!A:A,AE!B:B,0)/7,1)</f>
        <v>0</v>
      </c>
      <c r="I570" s="2" t="str">
        <f>_xlfn.XLOOKUP(A570,SWFTX邮编覆盖!A:A,SWFTX邮编覆盖!B:B,"否")</f>
        <v>否</v>
      </c>
      <c r="J570" s="2" t="str">
        <f>_xlfn.XLOOKUP(A570,YW邮编覆盖!A:A,YW邮编覆盖!B:B,"否")</f>
        <v>否</v>
      </c>
    </row>
    <row r="571" spans="1:10" hidden="1">
      <c r="A571" s="3">
        <v>92354</v>
      </c>
      <c r="B571" s="1" t="s">
        <v>62</v>
      </c>
      <c r="C571" s="2" t="str">
        <f>_xlfn.XLOOKUP(B571,线路DSP对应!A:A,线路DSP对应!B:B)</f>
        <v>STA_LAX_SDG</v>
      </c>
      <c r="D571" s="4" t="s">
        <v>148</v>
      </c>
      <c r="E571" s="2" t="str">
        <f>_xlfn.XLOOKUP(A571,转单情况!A:A,转单情况!B:B)</f>
        <v>SW</v>
      </c>
      <c r="G571" s="28">
        <f>ROUND(_xlfn.XLOOKUP(A571,全量!A:A,全量!B:B,0)/7,1)</f>
        <v>0.3</v>
      </c>
      <c r="H571" s="2">
        <f>ROUND(_xlfn.XLOOKUP(A571,AE!A:A,AE!B:B,0)/7,1)</f>
        <v>0</v>
      </c>
      <c r="I571" s="2" t="str">
        <f>_xlfn.XLOOKUP(A571,SWFTX邮编覆盖!A:A,SWFTX邮编覆盖!B:B,"否")</f>
        <v>是</v>
      </c>
      <c r="J571" s="2" t="str">
        <f>_xlfn.XLOOKUP(A571,YW邮编覆盖!A:A,YW邮编覆盖!B:B,"否")</f>
        <v>是</v>
      </c>
    </row>
    <row r="572" spans="1:10" hidden="1">
      <c r="A572" s="3">
        <v>92357</v>
      </c>
      <c r="B572" s="1" t="s">
        <v>62</v>
      </c>
      <c r="C572" s="2" t="str">
        <f>_xlfn.XLOOKUP(B572,线路DSP对应!A:A,线路DSP对应!B:B)</f>
        <v>STA_LAX_SDG</v>
      </c>
      <c r="D572" s="4" t="s">
        <v>148</v>
      </c>
      <c r="E572" s="2" t="str">
        <f>_xlfn.XLOOKUP(A572,转单情况!A:A,转单情况!B:B)</f>
        <v>否</v>
      </c>
      <c r="G572" s="28">
        <f>ROUND(_xlfn.XLOOKUP(A572,全量!A:A,全量!B:B,0)/7,1)</f>
        <v>0</v>
      </c>
      <c r="H572" s="2">
        <f>ROUND(_xlfn.XLOOKUP(A572,AE!A:A,AE!B:B,0)/7,1)</f>
        <v>0</v>
      </c>
      <c r="I572" s="2" t="str">
        <f>_xlfn.XLOOKUP(A572,SWFTX邮编覆盖!A:A,SWFTX邮编覆盖!B:B,"否")</f>
        <v>否</v>
      </c>
      <c r="J572" s="2" t="str">
        <f>_xlfn.XLOOKUP(A572,YW邮编覆盖!A:A,YW邮编覆盖!B:B,"否")</f>
        <v>否</v>
      </c>
    </row>
    <row r="573" spans="1:10" hidden="1">
      <c r="A573" s="3">
        <v>92403</v>
      </c>
      <c r="B573" s="1" t="s">
        <v>62</v>
      </c>
      <c r="C573" s="2" t="str">
        <f>_xlfn.XLOOKUP(B573,线路DSP对应!A:A,线路DSP对应!B:B)</f>
        <v>STA_LAX_SDG</v>
      </c>
      <c r="D573" s="4" t="s">
        <v>148</v>
      </c>
      <c r="E573" s="2" t="str">
        <f>_xlfn.XLOOKUP(A573,转单情况!A:A,转单情况!B:B)</f>
        <v>否</v>
      </c>
      <c r="G573" s="28">
        <f>ROUND(_xlfn.XLOOKUP(A573,全量!A:A,全量!B:B,0)/7,1)</f>
        <v>0</v>
      </c>
      <c r="H573" s="2">
        <f>ROUND(_xlfn.XLOOKUP(A573,AE!A:A,AE!B:B,0)/7,1)</f>
        <v>0</v>
      </c>
      <c r="I573" s="2" t="str">
        <f>_xlfn.XLOOKUP(A573,SWFTX邮编覆盖!A:A,SWFTX邮编覆盖!B:B,"否")</f>
        <v>否</v>
      </c>
      <c r="J573" s="2" t="str">
        <f>_xlfn.XLOOKUP(A573,YW邮编覆盖!A:A,YW邮编覆盖!B:B,"否")</f>
        <v>否</v>
      </c>
    </row>
    <row r="574" spans="1:10" hidden="1">
      <c r="A574" s="3">
        <v>92404</v>
      </c>
      <c r="B574" s="1" t="s">
        <v>63</v>
      </c>
      <c r="C574" s="2" t="str">
        <f>_xlfn.XLOOKUP(B574,线路DSP对应!A:A,线路DSP对应!B:B)</f>
        <v>STA_LAX_ChinaOcean</v>
      </c>
      <c r="D574" s="4" t="s">
        <v>148</v>
      </c>
      <c r="E574" s="2" t="str">
        <f>_xlfn.XLOOKUP(A574,转单情况!A:A,转单情况!B:B)</f>
        <v>SW</v>
      </c>
      <c r="G574" s="28">
        <f>ROUND(_xlfn.XLOOKUP(A574,全量!A:A,全量!B:B,0)/7,1)</f>
        <v>0.4</v>
      </c>
      <c r="H574" s="2">
        <f>ROUND(_xlfn.XLOOKUP(A574,AE!A:A,AE!B:B,0)/7,1)</f>
        <v>0</v>
      </c>
      <c r="I574" s="2" t="str">
        <f>_xlfn.XLOOKUP(A574,SWFTX邮编覆盖!A:A,SWFTX邮编覆盖!B:B,"否")</f>
        <v>是</v>
      </c>
      <c r="J574" s="2" t="str">
        <f>_xlfn.XLOOKUP(A574,YW邮编覆盖!A:A,YW邮编覆盖!B:B,"否")</f>
        <v>是</v>
      </c>
    </row>
    <row r="575" spans="1:10" hidden="1">
      <c r="A575" s="3">
        <v>92405</v>
      </c>
      <c r="B575" s="1" t="s">
        <v>63</v>
      </c>
      <c r="C575" s="2" t="str">
        <f>_xlfn.XLOOKUP(B575,线路DSP对应!A:A,线路DSP对应!B:B)</f>
        <v>STA_LAX_ChinaOcean</v>
      </c>
      <c r="D575" s="4" t="s">
        <v>148</v>
      </c>
      <c r="E575" s="2" t="str">
        <f>_xlfn.XLOOKUP(A575,转单情况!A:A,转单情况!B:B)</f>
        <v>SW</v>
      </c>
      <c r="G575" s="28">
        <f>ROUND(_xlfn.XLOOKUP(A575,全量!A:A,全量!B:B,0)/7,1)</f>
        <v>0.1</v>
      </c>
      <c r="H575" s="2">
        <f>ROUND(_xlfn.XLOOKUP(A575,AE!A:A,AE!B:B,0)/7,1)</f>
        <v>0</v>
      </c>
      <c r="I575" s="2" t="str">
        <f>_xlfn.XLOOKUP(A575,SWFTX邮编覆盖!A:A,SWFTX邮编覆盖!B:B,"否")</f>
        <v>是</v>
      </c>
      <c r="J575" s="2" t="str">
        <f>_xlfn.XLOOKUP(A575,YW邮编覆盖!A:A,YW邮编覆盖!B:B,"否")</f>
        <v>是</v>
      </c>
    </row>
    <row r="576" spans="1:10" hidden="1">
      <c r="A576" s="3">
        <v>92415</v>
      </c>
      <c r="B576" s="1" t="s">
        <v>63</v>
      </c>
      <c r="C576" s="2" t="str">
        <f>_xlfn.XLOOKUP(B576,线路DSP对应!A:A,线路DSP对应!B:B)</f>
        <v>STA_LAX_ChinaOcean</v>
      </c>
      <c r="D576" s="4" t="s">
        <v>148</v>
      </c>
      <c r="E576" s="2" t="str">
        <f>_xlfn.XLOOKUP(A576,转单情况!A:A,转单情况!B:B)</f>
        <v>否</v>
      </c>
      <c r="G576" s="28">
        <f>ROUND(_xlfn.XLOOKUP(A576,全量!A:A,全量!B:B,0)/7,1)</f>
        <v>0.4</v>
      </c>
      <c r="H576" s="2">
        <f>ROUND(_xlfn.XLOOKUP(A576,AE!A:A,AE!B:B,0)/7,1)</f>
        <v>0</v>
      </c>
      <c r="I576" s="2" t="str">
        <f>_xlfn.XLOOKUP(A576,SWFTX邮编覆盖!A:A,SWFTX邮编覆盖!B:B,"否")</f>
        <v>否</v>
      </c>
      <c r="J576" s="2" t="str">
        <f>_xlfn.XLOOKUP(A576,YW邮编覆盖!A:A,YW邮编覆盖!B:B,"否")</f>
        <v>否</v>
      </c>
    </row>
    <row r="577" spans="1:10" hidden="1">
      <c r="A577" s="3">
        <v>92346</v>
      </c>
      <c r="B577" s="1" t="s">
        <v>63</v>
      </c>
      <c r="C577" s="2" t="str">
        <f>_xlfn.XLOOKUP(B577,线路DSP对应!A:A,线路DSP对应!B:B)</f>
        <v>STA_LAX_ChinaOcean</v>
      </c>
      <c r="D577" s="4" t="s">
        <v>148</v>
      </c>
      <c r="E577" s="2" t="str">
        <f>_xlfn.XLOOKUP(A577,转单情况!A:A,转单情况!B:B)</f>
        <v>SW</v>
      </c>
      <c r="G577" s="28">
        <f>ROUND(_xlfn.XLOOKUP(A577,全量!A:A,全量!B:B,0)/7,1)</f>
        <v>0.1</v>
      </c>
      <c r="H577" s="2">
        <f>ROUND(_xlfn.XLOOKUP(A577,AE!A:A,AE!B:B,0)/7,1)</f>
        <v>0</v>
      </c>
      <c r="I577" s="2" t="str">
        <f>_xlfn.XLOOKUP(A577,SWFTX邮编覆盖!A:A,SWFTX邮编覆盖!B:B,"否")</f>
        <v>是</v>
      </c>
      <c r="J577" s="2" t="str">
        <f>_xlfn.XLOOKUP(A577,YW邮编覆盖!A:A,YW邮编覆盖!B:B,"否")</f>
        <v>是</v>
      </c>
    </row>
    <row r="578" spans="1:10" hidden="1">
      <c r="A578" s="3">
        <v>92401</v>
      </c>
      <c r="B578" s="1" t="s">
        <v>63</v>
      </c>
      <c r="C578" s="2" t="str">
        <f>_xlfn.XLOOKUP(B578,线路DSP对应!A:A,线路DSP对应!B:B)</f>
        <v>STA_LAX_ChinaOcean</v>
      </c>
      <c r="D578" s="4" t="s">
        <v>148</v>
      </c>
      <c r="E578" s="2" t="str">
        <f>_xlfn.XLOOKUP(A578,转单情况!A:A,转单情况!B:B)</f>
        <v>否</v>
      </c>
      <c r="F578" s="2" t="s">
        <v>202</v>
      </c>
      <c r="G578" s="28">
        <f>ROUND(_xlfn.XLOOKUP(A578,全量!A:A,全量!B:B,0)/7,1)</f>
        <v>0.4</v>
      </c>
      <c r="H578" s="2">
        <f>ROUND(_xlfn.XLOOKUP(A578,AE!A:A,AE!B:B,0)/7,1)</f>
        <v>0</v>
      </c>
      <c r="I578" s="2" t="str">
        <f>_xlfn.XLOOKUP(A578,SWFTX邮编覆盖!A:A,SWFTX邮编覆盖!B:B,"否")</f>
        <v>否</v>
      </c>
      <c r="J578" s="2" t="str">
        <f>_xlfn.XLOOKUP(A578,YW邮编覆盖!A:A,YW邮编覆盖!B:B,"否")</f>
        <v>否</v>
      </c>
    </row>
    <row r="579" spans="1:10">
      <c r="A579" s="3">
        <v>92407</v>
      </c>
      <c r="B579" s="1" t="s">
        <v>63</v>
      </c>
      <c r="C579" s="2" t="str">
        <f>_xlfn.XLOOKUP(B579,线路DSP对应!A:A,线路DSP对应!B:B)</f>
        <v>STA_LAX_ChinaOcean</v>
      </c>
      <c r="D579" s="4" t="s">
        <v>148</v>
      </c>
      <c r="E579" s="2" t="str">
        <f>_xlfn.XLOOKUP(A579,转单情况!A:A,转单情况!B:B)</f>
        <v>YW</v>
      </c>
      <c r="G579" s="28">
        <f>ROUND(_xlfn.XLOOKUP(A579,全量!A:A,全量!B:B,0)/7,1)</f>
        <v>19.600000000000001</v>
      </c>
      <c r="H579" s="2">
        <f>ROUND(_xlfn.XLOOKUP(A579,AE!A:A,AE!B:B,0)/7,1)</f>
        <v>0</v>
      </c>
      <c r="I579" s="2" t="str">
        <f>_xlfn.XLOOKUP(A579,SWFTX邮编覆盖!A:A,SWFTX邮编覆盖!B:B,"否")</f>
        <v>否</v>
      </c>
      <c r="J579" s="2" t="str">
        <f>_xlfn.XLOOKUP(A579,YW邮编覆盖!A:A,YW邮编覆盖!B:B,"否")</f>
        <v>是</v>
      </c>
    </row>
    <row r="580" spans="1:10" hidden="1">
      <c r="A580" s="3">
        <v>92408</v>
      </c>
      <c r="B580" s="1" t="s">
        <v>63</v>
      </c>
      <c r="C580" s="2" t="str">
        <f>_xlfn.XLOOKUP(B580,线路DSP对应!A:A,线路DSP对应!B:B)</f>
        <v>STA_LAX_ChinaOcean</v>
      </c>
      <c r="D580" s="4" t="s">
        <v>148</v>
      </c>
      <c r="E580" s="2" t="str">
        <f>_xlfn.XLOOKUP(A580,转单情况!A:A,转单情况!B:B)</f>
        <v>SW</v>
      </c>
      <c r="G580" s="28">
        <f>ROUND(_xlfn.XLOOKUP(A580,全量!A:A,全量!B:B,0)/7,1)</f>
        <v>0</v>
      </c>
      <c r="H580" s="2">
        <f>ROUND(_xlfn.XLOOKUP(A580,AE!A:A,AE!B:B,0)/7,1)</f>
        <v>0</v>
      </c>
      <c r="I580" s="2" t="str">
        <f>_xlfn.XLOOKUP(A580,SWFTX邮编覆盖!A:A,SWFTX邮编覆盖!B:B,"否")</f>
        <v>是</v>
      </c>
      <c r="J580" s="2" t="str">
        <f>_xlfn.XLOOKUP(A580,YW邮编覆盖!A:A,YW邮编覆盖!B:B,"否")</f>
        <v>是</v>
      </c>
    </row>
    <row r="581" spans="1:10" hidden="1">
      <c r="A581" s="3">
        <v>92410</v>
      </c>
      <c r="B581" s="1" t="s">
        <v>63</v>
      </c>
      <c r="C581" s="2" t="str">
        <f>_xlfn.XLOOKUP(B581,线路DSP对应!A:A,线路DSP对应!B:B)</f>
        <v>STA_LAX_ChinaOcean</v>
      </c>
      <c r="D581" s="4" t="s">
        <v>148</v>
      </c>
      <c r="E581" s="2" t="str">
        <f>_xlfn.XLOOKUP(A581,转单情况!A:A,转单情况!B:B)</f>
        <v>SW</v>
      </c>
      <c r="G581" s="28">
        <f>ROUND(_xlfn.XLOOKUP(A581,全量!A:A,全量!B:B,0)/7,1)</f>
        <v>0.3</v>
      </c>
      <c r="H581" s="2">
        <f>ROUND(_xlfn.XLOOKUP(A581,AE!A:A,AE!B:B,0)/7,1)</f>
        <v>0.1</v>
      </c>
      <c r="I581" s="2" t="str">
        <f>_xlfn.XLOOKUP(A581,SWFTX邮编覆盖!A:A,SWFTX邮编覆盖!B:B,"否")</f>
        <v>是</v>
      </c>
      <c r="J581" s="2" t="str">
        <f>_xlfn.XLOOKUP(A581,YW邮编覆盖!A:A,YW邮编覆盖!B:B,"否")</f>
        <v>是</v>
      </c>
    </row>
    <row r="582" spans="1:10" hidden="1">
      <c r="A582" s="3">
        <v>92411</v>
      </c>
      <c r="B582" s="1" t="s">
        <v>63</v>
      </c>
      <c r="C582" s="2" t="str">
        <f>_xlfn.XLOOKUP(B582,线路DSP对应!A:A,线路DSP对应!B:B)</f>
        <v>STA_LAX_ChinaOcean</v>
      </c>
      <c r="D582" s="4" t="s">
        <v>148</v>
      </c>
      <c r="E582" s="2" t="str">
        <f>_xlfn.XLOOKUP(A582,转单情况!A:A,转单情况!B:B)</f>
        <v>SW</v>
      </c>
      <c r="G582" s="28">
        <f>ROUND(_xlfn.XLOOKUP(A582,全量!A:A,全量!B:B,0)/7,1)</f>
        <v>0.3</v>
      </c>
      <c r="H582" s="2">
        <f>ROUND(_xlfn.XLOOKUP(A582,AE!A:A,AE!B:B,0)/7,1)</f>
        <v>0</v>
      </c>
      <c r="I582" s="2" t="str">
        <f>_xlfn.XLOOKUP(A582,SWFTX邮编覆盖!A:A,SWFTX邮编覆盖!B:B,"否")</f>
        <v>是</v>
      </c>
      <c r="J582" s="2" t="str">
        <f>_xlfn.XLOOKUP(A582,YW邮编覆盖!A:A,YW邮编覆盖!B:B,"否")</f>
        <v>是</v>
      </c>
    </row>
    <row r="583" spans="1:10" hidden="1">
      <c r="A583" s="3">
        <v>92418</v>
      </c>
      <c r="B583" s="1" t="s">
        <v>63</v>
      </c>
      <c r="C583" s="2" t="str">
        <f>_xlfn.XLOOKUP(B583,线路DSP对应!A:A,线路DSP对应!B:B)</f>
        <v>STA_LAX_ChinaOcean</v>
      </c>
      <c r="D583" s="4" t="s">
        <v>148</v>
      </c>
      <c r="E583" s="2" t="str">
        <f>_xlfn.XLOOKUP(A583,转单情况!A:A,转单情况!B:B)</f>
        <v>否</v>
      </c>
      <c r="G583" s="28">
        <f>ROUND(_xlfn.XLOOKUP(A583,全量!A:A,全量!B:B,0)/7,1)</f>
        <v>0</v>
      </c>
      <c r="H583" s="2">
        <f>ROUND(_xlfn.XLOOKUP(A583,AE!A:A,AE!B:B,0)/7,1)</f>
        <v>0</v>
      </c>
      <c r="I583" s="2" t="str">
        <f>_xlfn.XLOOKUP(A583,SWFTX邮编覆盖!A:A,SWFTX邮编覆盖!B:B,"否")</f>
        <v>否</v>
      </c>
      <c r="J583" s="2" t="str">
        <f>_xlfn.XLOOKUP(A583,YW邮编覆盖!A:A,YW邮编覆盖!B:B,"否")</f>
        <v>否</v>
      </c>
    </row>
    <row r="584" spans="1:10" hidden="1">
      <c r="A584" s="3">
        <v>92344</v>
      </c>
      <c r="B584" s="1" t="s">
        <v>64</v>
      </c>
      <c r="C584" s="2" t="str">
        <f>_xlfn.XLOOKUP(B584,线路DSP对应!A:A,线路DSP对应!B:B)</f>
        <v>STA_LAX_SDG</v>
      </c>
      <c r="D584" s="4" t="s">
        <v>148</v>
      </c>
      <c r="E584" s="2" t="str">
        <f>_xlfn.XLOOKUP(A584,转单情况!A:A,转单情况!B:B)</f>
        <v>否</v>
      </c>
      <c r="G584" s="28">
        <f>ROUND(_xlfn.XLOOKUP(A584,全量!A:A,全量!B:B,0)/7,1)</f>
        <v>0</v>
      </c>
      <c r="H584" s="2">
        <f>ROUND(_xlfn.XLOOKUP(A584,AE!A:A,AE!B:B,0)/7,1)</f>
        <v>0</v>
      </c>
      <c r="I584" s="2" t="str">
        <f>_xlfn.XLOOKUP(A584,SWFTX邮编覆盖!A:A,SWFTX邮编覆盖!B:B,"否")</f>
        <v>否</v>
      </c>
      <c r="J584" s="2" t="str">
        <f>_xlfn.XLOOKUP(A584,YW邮编覆盖!A:A,YW邮编覆盖!B:B,"否")</f>
        <v>否</v>
      </c>
    </row>
    <row r="585" spans="1:10" hidden="1">
      <c r="A585" s="3">
        <v>92345</v>
      </c>
      <c r="B585" s="1" t="s">
        <v>64</v>
      </c>
      <c r="C585" s="2" t="str">
        <f>_xlfn.XLOOKUP(B585,线路DSP对应!A:A,线路DSP对应!B:B)</f>
        <v>STA_LAX_SDG</v>
      </c>
      <c r="D585" s="4" t="s">
        <v>148</v>
      </c>
      <c r="E585" s="2" t="str">
        <f>_xlfn.XLOOKUP(A585,转单情况!A:A,转单情况!B:B)</f>
        <v>否</v>
      </c>
      <c r="G585" s="28">
        <f>ROUND(_xlfn.XLOOKUP(A585,全量!A:A,全量!B:B,0)/7,1)</f>
        <v>31.9</v>
      </c>
      <c r="H585" s="2">
        <f>ROUND(_xlfn.XLOOKUP(A585,AE!A:A,AE!B:B,0)/7,1)</f>
        <v>0</v>
      </c>
      <c r="I585" s="2" t="str">
        <f>_xlfn.XLOOKUP(A585,SWFTX邮编覆盖!A:A,SWFTX邮编覆盖!B:B,"否")</f>
        <v>否</v>
      </c>
      <c r="J585" s="2" t="str">
        <f>_xlfn.XLOOKUP(A585,YW邮编覆盖!A:A,YW邮编覆盖!B:B,"否")</f>
        <v>否</v>
      </c>
    </row>
    <row r="586" spans="1:10" hidden="1">
      <c r="A586" s="3">
        <v>92392</v>
      </c>
      <c r="B586" s="1" t="s">
        <v>64</v>
      </c>
      <c r="C586" s="2" t="str">
        <f>_xlfn.XLOOKUP(B586,线路DSP对应!A:A,线路DSP对应!B:B)</f>
        <v>STA_LAX_SDG</v>
      </c>
      <c r="D586" s="4" t="s">
        <v>148</v>
      </c>
      <c r="E586" s="2" t="str">
        <f>_xlfn.XLOOKUP(A586,转单情况!A:A,转单情况!B:B)</f>
        <v>否</v>
      </c>
      <c r="G586" s="28">
        <f>ROUND(_xlfn.XLOOKUP(A586,全量!A:A,全量!B:B,0)/7,1)</f>
        <v>16.7</v>
      </c>
      <c r="H586" s="2">
        <f>ROUND(_xlfn.XLOOKUP(A586,AE!A:A,AE!B:B,0)/7,1)</f>
        <v>0</v>
      </c>
      <c r="I586" s="2" t="str">
        <f>_xlfn.XLOOKUP(A586,SWFTX邮编覆盖!A:A,SWFTX邮编覆盖!B:B,"否")</f>
        <v>否</v>
      </c>
      <c r="J586" s="2" t="str">
        <f>_xlfn.XLOOKUP(A586,YW邮编覆盖!A:A,YW邮编覆盖!B:B,"否")</f>
        <v>否</v>
      </c>
    </row>
    <row r="587" spans="1:10" hidden="1">
      <c r="A587" s="3">
        <v>92395</v>
      </c>
      <c r="B587" s="1" t="s">
        <v>64</v>
      </c>
      <c r="C587" s="2" t="str">
        <f>_xlfn.XLOOKUP(B587,线路DSP对应!A:A,线路DSP对应!B:B)</f>
        <v>STA_LAX_SDG</v>
      </c>
      <c r="D587" s="4" t="s">
        <v>148</v>
      </c>
      <c r="E587" s="2" t="str">
        <f>_xlfn.XLOOKUP(A587,转单情况!A:A,转单情况!B:B)</f>
        <v>否</v>
      </c>
      <c r="G587" s="28">
        <f>ROUND(_xlfn.XLOOKUP(A587,全量!A:A,全量!B:B,0)/7,1)</f>
        <v>0</v>
      </c>
      <c r="H587" s="2">
        <f>ROUND(_xlfn.XLOOKUP(A587,AE!A:A,AE!B:B,0)/7,1)</f>
        <v>0</v>
      </c>
      <c r="I587" s="2" t="str">
        <f>_xlfn.XLOOKUP(A587,SWFTX邮编覆盖!A:A,SWFTX邮编覆盖!B:B,"否")</f>
        <v>否</v>
      </c>
      <c r="J587" s="2" t="str">
        <f>_xlfn.XLOOKUP(A587,YW邮编覆盖!A:A,YW邮编覆盖!B:B,"否")</f>
        <v>否</v>
      </c>
    </row>
    <row r="588" spans="1:10" hidden="1">
      <c r="A588" s="3">
        <v>92394</v>
      </c>
      <c r="B588" s="1" t="s">
        <v>64</v>
      </c>
      <c r="C588" s="2" t="str">
        <f>_xlfn.XLOOKUP(B588,线路DSP对应!A:A,线路DSP对应!B:B)</f>
        <v>STA_LAX_SDG</v>
      </c>
      <c r="D588" s="4" t="s">
        <v>148</v>
      </c>
      <c r="E588" s="2" t="str">
        <f>_xlfn.XLOOKUP(A588,转单情况!A:A,转单情况!B:B)</f>
        <v>否</v>
      </c>
      <c r="G588" s="28">
        <f>ROUND(_xlfn.XLOOKUP(A588,全量!A:A,全量!B:B,0)/7,1)</f>
        <v>0</v>
      </c>
      <c r="H588" s="2">
        <f>ROUND(_xlfn.XLOOKUP(A588,AE!A:A,AE!B:B,0)/7,1)</f>
        <v>0</v>
      </c>
      <c r="I588" s="2" t="str">
        <f>_xlfn.XLOOKUP(A588,SWFTX邮编覆盖!A:A,SWFTX邮编覆盖!B:B,"否")</f>
        <v>否</v>
      </c>
      <c r="J588" s="2" t="str">
        <f>_xlfn.XLOOKUP(A588,YW邮编覆盖!A:A,YW邮编覆盖!B:B,"否")</f>
        <v>否</v>
      </c>
    </row>
    <row r="589" spans="1:10" hidden="1">
      <c r="A589" s="3">
        <v>92307</v>
      </c>
      <c r="B589" s="1" t="s">
        <v>64</v>
      </c>
      <c r="C589" s="2" t="str">
        <f>_xlfn.XLOOKUP(B589,线路DSP对应!A:A,线路DSP对应!B:B)</f>
        <v>STA_LAX_SDG</v>
      </c>
      <c r="D589" s="4" t="s">
        <v>148</v>
      </c>
      <c r="E589" s="2" t="str">
        <f>_xlfn.XLOOKUP(A589,转单情况!A:A,转单情况!B:B)</f>
        <v>否</v>
      </c>
      <c r="G589" s="28">
        <f>ROUND(_xlfn.XLOOKUP(A589,全量!A:A,全量!B:B,0)/7,1)</f>
        <v>0</v>
      </c>
      <c r="H589" s="2">
        <f>ROUND(_xlfn.XLOOKUP(A589,AE!A:A,AE!B:B,0)/7,1)</f>
        <v>0</v>
      </c>
      <c r="I589" s="2" t="str">
        <f>_xlfn.XLOOKUP(A589,SWFTX邮编覆盖!A:A,SWFTX邮编覆盖!B:B,"否")</f>
        <v>否</v>
      </c>
      <c r="J589" s="2" t="str">
        <f>_xlfn.XLOOKUP(A589,YW邮编覆盖!A:A,YW邮编覆盖!B:B,"否")</f>
        <v>否</v>
      </c>
    </row>
    <row r="590" spans="1:10" hidden="1">
      <c r="A590" s="3">
        <v>92308</v>
      </c>
      <c r="B590" s="1" t="s">
        <v>64</v>
      </c>
      <c r="C590" s="2" t="str">
        <f>_xlfn.XLOOKUP(B590,线路DSP对应!A:A,线路DSP对应!B:B)</f>
        <v>STA_LAX_SDG</v>
      </c>
      <c r="D590" s="4" t="s">
        <v>148</v>
      </c>
      <c r="E590" s="2" t="str">
        <f>_xlfn.XLOOKUP(A590,转单情况!A:A,转单情况!B:B)</f>
        <v>否</v>
      </c>
      <c r="G590" s="28">
        <f>ROUND(_xlfn.XLOOKUP(A590,全量!A:A,全量!B:B,0)/7,1)</f>
        <v>0</v>
      </c>
      <c r="H590" s="2">
        <f>ROUND(_xlfn.XLOOKUP(A590,AE!A:A,AE!B:B,0)/7,1)</f>
        <v>0</v>
      </c>
      <c r="I590" s="2" t="str">
        <f>_xlfn.XLOOKUP(A590,SWFTX邮编覆盖!A:A,SWFTX邮编覆盖!B:B,"否")</f>
        <v>否</v>
      </c>
      <c r="J590" s="2" t="str">
        <f>_xlfn.XLOOKUP(A590,YW邮编覆盖!A:A,YW邮编覆盖!B:B,"否")</f>
        <v>否</v>
      </c>
    </row>
    <row r="591" spans="1:10" hidden="1">
      <c r="A591" s="3">
        <v>92647</v>
      </c>
      <c r="B591" s="1" t="s">
        <v>41</v>
      </c>
      <c r="C591" s="2" t="str">
        <f>_xlfn.XLOOKUP(B591,线路DSP对应!A:A,线路DSP对应!B:B)</f>
        <v>STA_LAX_ChinaOcean</v>
      </c>
      <c r="D591" s="4" t="s">
        <v>150</v>
      </c>
      <c r="E591" s="2" t="str">
        <f>_xlfn.XLOOKUP(A591,转单情况!A:A,转单情况!B:B)</f>
        <v>SW</v>
      </c>
      <c r="F591" s="29"/>
      <c r="G591" s="28">
        <f>ROUND(_xlfn.XLOOKUP(A591,全量!A:A,全量!B:B,0)/7,1)</f>
        <v>0.3</v>
      </c>
      <c r="H591" s="2">
        <f>ROUND(_xlfn.XLOOKUP(A591,AE!A:A,AE!B:B,0)/7,1)</f>
        <v>0</v>
      </c>
      <c r="I591" s="2" t="str">
        <f>_xlfn.XLOOKUP(A591,SWFTX邮编覆盖!A:A,SWFTX邮编覆盖!B:B,"否")</f>
        <v>是</v>
      </c>
      <c r="J591" s="2" t="str">
        <f>_xlfn.XLOOKUP(A591,YW邮编覆盖!A:A,YW邮编覆盖!B:B,"否")</f>
        <v>是</v>
      </c>
    </row>
    <row r="592" spans="1:10" hidden="1">
      <c r="A592" s="3">
        <v>92649</v>
      </c>
      <c r="B592" s="1" t="s">
        <v>41</v>
      </c>
      <c r="C592" s="2" t="str">
        <f>_xlfn.XLOOKUP(B592,线路DSP对应!A:A,线路DSP对应!B:B)</f>
        <v>STA_LAX_ChinaOcean</v>
      </c>
      <c r="D592" s="4" t="s">
        <v>150</v>
      </c>
      <c r="E592" s="2" t="str">
        <f>_xlfn.XLOOKUP(A592,转单情况!A:A,转单情况!B:B)</f>
        <v>SW</v>
      </c>
      <c r="F592" s="29"/>
      <c r="G592" s="28">
        <f>ROUND(_xlfn.XLOOKUP(A592,全量!A:A,全量!B:B,0)/7,1)</f>
        <v>0.4</v>
      </c>
      <c r="H592" s="2">
        <f>ROUND(_xlfn.XLOOKUP(A592,AE!A:A,AE!B:B,0)/7,1)</f>
        <v>0</v>
      </c>
      <c r="I592" s="2" t="str">
        <f>_xlfn.XLOOKUP(A592,SWFTX邮编覆盖!A:A,SWFTX邮编覆盖!B:B,"否")</f>
        <v>是</v>
      </c>
      <c r="J592" s="2" t="str">
        <f>_xlfn.XLOOKUP(A592,YW邮编覆盖!A:A,YW邮编覆盖!B:B,"否")</f>
        <v>是</v>
      </c>
    </row>
    <row r="593" spans="1:10" hidden="1">
      <c r="A593" s="3">
        <v>90740</v>
      </c>
      <c r="B593" s="1" t="s">
        <v>41</v>
      </c>
      <c r="C593" s="2" t="str">
        <f>_xlfn.XLOOKUP(B593,线路DSP对应!A:A,线路DSP对应!B:B)</f>
        <v>STA_LAX_ChinaOcean</v>
      </c>
      <c r="D593" s="4" t="s">
        <v>150</v>
      </c>
      <c r="E593" s="2" t="str">
        <f>_xlfn.XLOOKUP(A593,转单情况!A:A,转单情况!B:B)</f>
        <v>SW</v>
      </c>
      <c r="G593" s="28">
        <f>ROUND(_xlfn.XLOOKUP(A593,全量!A:A,全量!B:B,0)/7,1)</f>
        <v>5</v>
      </c>
      <c r="H593" s="2">
        <f>ROUND(_xlfn.XLOOKUP(A593,AE!A:A,AE!B:B,0)/7,1)</f>
        <v>5</v>
      </c>
      <c r="I593" s="2" t="str">
        <f>_xlfn.XLOOKUP(A593,SWFTX邮编覆盖!A:A,SWFTX邮编覆盖!B:B,"否")</f>
        <v>是</v>
      </c>
      <c r="J593" s="2" t="str">
        <f>_xlfn.XLOOKUP(A593,YW邮编覆盖!A:A,YW邮编覆盖!B:B,"否")</f>
        <v>是</v>
      </c>
    </row>
    <row r="594" spans="1:10" hidden="1">
      <c r="A594" s="3">
        <v>92683</v>
      </c>
      <c r="B594" s="1" t="s">
        <v>41</v>
      </c>
      <c r="C594" s="2" t="str">
        <f>_xlfn.XLOOKUP(B594,线路DSP对应!A:A,线路DSP对应!B:B)</f>
        <v>STA_LAX_ChinaOcean</v>
      </c>
      <c r="D594" s="4" t="s">
        <v>150</v>
      </c>
      <c r="E594" s="2" t="str">
        <f>_xlfn.XLOOKUP(A594,转单情况!A:A,转单情况!B:B)</f>
        <v>SW</v>
      </c>
      <c r="F594" s="29"/>
      <c r="G594" s="28">
        <f>ROUND(_xlfn.XLOOKUP(A594,全量!A:A,全量!B:B,0)/7,1)</f>
        <v>0.3</v>
      </c>
      <c r="H594" s="2">
        <f>ROUND(_xlfn.XLOOKUP(A594,AE!A:A,AE!B:B,0)/7,1)</f>
        <v>0</v>
      </c>
      <c r="I594" s="2" t="str">
        <f>_xlfn.XLOOKUP(A594,SWFTX邮编覆盖!A:A,SWFTX邮编覆盖!B:B,"否")</f>
        <v>是</v>
      </c>
      <c r="J594" s="2" t="str">
        <f>_xlfn.XLOOKUP(A594,YW邮编覆盖!A:A,YW邮编覆盖!B:B,"否")</f>
        <v>是</v>
      </c>
    </row>
    <row r="595" spans="1:10" hidden="1">
      <c r="A595" s="3">
        <v>92844</v>
      </c>
      <c r="B595" s="1" t="s">
        <v>41</v>
      </c>
      <c r="C595" s="2" t="str">
        <f>_xlfn.XLOOKUP(B595,线路DSP对应!A:A,线路DSP对应!B:B)</f>
        <v>STA_LAX_ChinaOcean</v>
      </c>
      <c r="D595" s="4" t="s">
        <v>150</v>
      </c>
      <c r="E595" s="2" t="str">
        <f>_xlfn.XLOOKUP(A595,转单情况!A:A,转单情况!B:B)</f>
        <v>SW</v>
      </c>
      <c r="F595" s="29"/>
      <c r="G595" s="28">
        <f>ROUND(_xlfn.XLOOKUP(A595,全量!A:A,全量!B:B,0)/7,1)</f>
        <v>0.3</v>
      </c>
      <c r="H595" s="2">
        <f>ROUND(_xlfn.XLOOKUP(A595,AE!A:A,AE!B:B,0)/7,1)</f>
        <v>0</v>
      </c>
      <c r="I595" s="2" t="str">
        <f>_xlfn.XLOOKUP(A595,SWFTX邮编覆盖!A:A,SWFTX邮编覆盖!B:B,"否")</f>
        <v>是</v>
      </c>
      <c r="J595" s="2" t="str">
        <f>_xlfn.XLOOKUP(A595,YW邮编覆盖!A:A,YW邮编覆盖!B:B,"否")</f>
        <v>是</v>
      </c>
    </row>
    <row r="596" spans="1:10" hidden="1">
      <c r="A596" s="3">
        <v>92843</v>
      </c>
      <c r="B596" s="1" t="s">
        <v>41</v>
      </c>
      <c r="C596" s="2" t="str">
        <f>_xlfn.XLOOKUP(B596,线路DSP对应!A:A,线路DSP对应!B:B)</f>
        <v>STA_LAX_ChinaOcean</v>
      </c>
      <c r="D596" s="4" t="s">
        <v>150</v>
      </c>
      <c r="E596" s="2" t="str">
        <f>_xlfn.XLOOKUP(A596,转单情况!A:A,转单情况!B:B)</f>
        <v>SW</v>
      </c>
      <c r="F596" s="29"/>
      <c r="G596" s="28">
        <f>ROUND(_xlfn.XLOOKUP(A596,全量!A:A,全量!B:B,0)/7,1)</f>
        <v>0.1</v>
      </c>
      <c r="H596" s="2">
        <f>ROUND(_xlfn.XLOOKUP(A596,AE!A:A,AE!B:B,0)/7,1)</f>
        <v>0</v>
      </c>
      <c r="I596" s="2" t="str">
        <f>_xlfn.XLOOKUP(A596,SWFTX邮编覆盖!A:A,SWFTX邮编覆盖!B:B,"否")</f>
        <v>是</v>
      </c>
      <c r="J596" s="2" t="str">
        <f>_xlfn.XLOOKUP(A596,YW邮编覆盖!A:A,YW邮编覆盖!B:B,"否")</f>
        <v>是</v>
      </c>
    </row>
    <row r="597" spans="1:10" hidden="1">
      <c r="A597" s="3">
        <v>92655</v>
      </c>
      <c r="B597" s="1" t="s">
        <v>41</v>
      </c>
      <c r="C597" s="2" t="str">
        <f>_xlfn.XLOOKUP(B597,线路DSP对应!A:A,线路DSP对应!B:B)</f>
        <v>STA_LAX_ChinaOcean</v>
      </c>
      <c r="D597" s="4" t="s">
        <v>150</v>
      </c>
      <c r="E597" s="2" t="str">
        <f>_xlfn.XLOOKUP(A597,转单情况!A:A,转单情况!B:B)</f>
        <v>SW</v>
      </c>
      <c r="F597" s="29"/>
      <c r="G597" s="28">
        <f>ROUND(_xlfn.XLOOKUP(A597,全量!A:A,全量!B:B,0)/7,1)</f>
        <v>5.6</v>
      </c>
      <c r="H597" s="2">
        <f>ROUND(_xlfn.XLOOKUP(A597,AE!A:A,AE!B:B,0)/7,1)</f>
        <v>5.4</v>
      </c>
      <c r="I597" s="2" t="str">
        <f>_xlfn.XLOOKUP(A597,SWFTX邮编覆盖!A:A,SWFTX邮编覆盖!B:B,"否")</f>
        <v>是</v>
      </c>
      <c r="J597" s="2" t="str">
        <f>_xlfn.XLOOKUP(A597,YW邮编覆盖!A:A,YW邮编覆盖!B:B,"否")</f>
        <v>是</v>
      </c>
    </row>
    <row r="598" spans="1:10" hidden="1">
      <c r="A598" s="3">
        <v>92805</v>
      </c>
      <c r="B598" s="1" t="s">
        <v>42</v>
      </c>
      <c r="C598" s="2" t="str">
        <f>_xlfn.XLOOKUP(B598,线路DSP对应!A:A,线路DSP对应!B:B)</f>
        <v>STA_LAX_ChinaOcean</v>
      </c>
      <c r="D598" s="4" t="s">
        <v>150</v>
      </c>
      <c r="E598" s="2" t="str">
        <f>_xlfn.XLOOKUP(A598,转单情况!A:A,转单情况!B:B)</f>
        <v>SW</v>
      </c>
      <c r="G598" s="28">
        <f>ROUND(_xlfn.XLOOKUP(A598,全量!A:A,全量!B:B,0)/7,1)</f>
        <v>0.6</v>
      </c>
      <c r="H598" s="2">
        <f>ROUND(_xlfn.XLOOKUP(A598,AE!A:A,AE!B:B,0)/7,1)</f>
        <v>0</v>
      </c>
      <c r="I598" s="2" t="str">
        <f>_xlfn.XLOOKUP(A598,SWFTX邮编覆盖!A:A,SWFTX邮编覆盖!B:B,"否")</f>
        <v>是</v>
      </c>
      <c r="J598" s="2" t="str">
        <f>_xlfn.XLOOKUP(A598,YW邮编覆盖!A:A,YW邮编覆盖!B:B,"否")</f>
        <v>是</v>
      </c>
    </row>
    <row r="599" spans="1:10" hidden="1">
      <c r="A599" s="3">
        <v>92806</v>
      </c>
      <c r="B599" s="1" t="s">
        <v>42</v>
      </c>
      <c r="C599" s="2" t="str">
        <f>_xlfn.XLOOKUP(B599,线路DSP对应!A:A,线路DSP对应!B:B)</f>
        <v>STA_LAX_ChinaOcean</v>
      </c>
      <c r="D599" s="4" t="s">
        <v>150</v>
      </c>
      <c r="E599" s="2" t="str">
        <f>_xlfn.XLOOKUP(A599,转单情况!A:A,转单情况!B:B)</f>
        <v>SW</v>
      </c>
      <c r="G599" s="28">
        <f>ROUND(_xlfn.XLOOKUP(A599,全量!A:A,全量!B:B,0)/7,1)</f>
        <v>0.3</v>
      </c>
      <c r="H599" s="2">
        <f>ROUND(_xlfn.XLOOKUP(A599,AE!A:A,AE!B:B,0)/7,1)</f>
        <v>0</v>
      </c>
      <c r="I599" s="2" t="str">
        <f>_xlfn.XLOOKUP(A599,SWFTX邮编覆盖!A:A,SWFTX邮编覆盖!B:B,"否")</f>
        <v>是</v>
      </c>
      <c r="J599" s="2" t="str">
        <f>_xlfn.XLOOKUP(A599,YW邮编覆盖!A:A,YW邮编覆盖!B:B,"否")</f>
        <v>是</v>
      </c>
    </row>
    <row r="600" spans="1:10" hidden="1">
      <c r="A600" s="3">
        <v>92868</v>
      </c>
      <c r="B600" s="1" t="s">
        <v>42</v>
      </c>
      <c r="C600" s="2" t="str">
        <f>_xlfn.XLOOKUP(B600,线路DSP对应!A:A,线路DSP对应!B:B)</f>
        <v>STA_LAX_ChinaOcean</v>
      </c>
      <c r="D600" s="4" t="s">
        <v>150</v>
      </c>
      <c r="E600" s="2" t="str">
        <f>_xlfn.XLOOKUP(A600,转单情况!A:A,转单情况!B:B)</f>
        <v>SW</v>
      </c>
      <c r="G600" s="28">
        <f>ROUND(_xlfn.XLOOKUP(A600,全量!A:A,全量!B:B,0)/7,1)</f>
        <v>0.3</v>
      </c>
      <c r="H600" s="2">
        <f>ROUND(_xlfn.XLOOKUP(A600,AE!A:A,AE!B:B,0)/7,1)</f>
        <v>0</v>
      </c>
      <c r="I600" s="2" t="str">
        <f>_xlfn.XLOOKUP(A600,SWFTX邮编覆盖!A:A,SWFTX邮编覆盖!B:B,"否")</f>
        <v>是</v>
      </c>
      <c r="J600" s="2" t="str">
        <f>_xlfn.XLOOKUP(A600,YW邮编覆盖!A:A,YW邮编覆盖!B:B,"否")</f>
        <v>是</v>
      </c>
    </row>
    <row r="601" spans="1:10" hidden="1">
      <c r="A601" s="3">
        <v>92869</v>
      </c>
      <c r="B601" s="1" t="s">
        <v>42</v>
      </c>
      <c r="C601" s="2" t="str">
        <f>_xlfn.XLOOKUP(B601,线路DSP对应!A:A,线路DSP对应!B:B)</f>
        <v>STA_LAX_ChinaOcean</v>
      </c>
      <c r="D601" s="4" t="s">
        <v>150</v>
      </c>
      <c r="E601" s="2" t="str">
        <f>_xlfn.XLOOKUP(A601,转单情况!A:A,转单情况!B:B)</f>
        <v>SW</v>
      </c>
      <c r="G601" s="28">
        <f>ROUND(_xlfn.XLOOKUP(A601,全量!A:A,全量!B:B,0)/7,1)</f>
        <v>0.4</v>
      </c>
      <c r="H601" s="2">
        <f>ROUND(_xlfn.XLOOKUP(A601,AE!A:A,AE!B:B,0)/7,1)</f>
        <v>0</v>
      </c>
      <c r="I601" s="2" t="str">
        <f>_xlfn.XLOOKUP(A601,SWFTX邮编覆盖!A:A,SWFTX邮编覆盖!B:B,"否")</f>
        <v>是</v>
      </c>
      <c r="J601" s="2" t="str">
        <f>_xlfn.XLOOKUP(A601,YW邮编覆盖!A:A,YW邮编覆盖!B:B,"否")</f>
        <v>是</v>
      </c>
    </row>
    <row r="602" spans="1:10" hidden="1">
      <c r="A602" s="3">
        <v>92865</v>
      </c>
      <c r="B602" s="1" t="s">
        <v>42</v>
      </c>
      <c r="C602" s="2" t="str">
        <f>_xlfn.XLOOKUP(B602,线路DSP对应!A:A,线路DSP对应!B:B)</f>
        <v>STA_LAX_ChinaOcean</v>
      </c>
      <c r="D602" s="4" t="s">
        <v>150</v>
      </c>
      <c r="E602" s="2" t="str">
        <f>_xlfn.XLOOKUP(A602,转单情况!A:A,转单情况!B:B)</f>
        <v>SW</v>
      </c>
      <c r="G602" s="28">
        <f>ROUND(_xlfn.XLOOKUP(A602,全量!A:A,全量!B:B,0)/7,1)</f>
        <v>0.1</v>
      </c>
      <c r="H602" s="2">
        <f>ROUND(_xlfn.XLOOKUP(A602,AE!A:A,AE!B:B,0)/7,1)</f>
        <v>0</v>
      </c>
      <c r="I602" s="2" t="str">
        <f>_xlfn.XLOOKUP(A602,SWFTX邮编覆盖!A:A,SWFTX邮编覆盖!B:B,"否")</f>
        <v>是</v>
      </c>
      <c r="J602" s="2" t="str">
        <f>_xlfn.XLOOKUP(A602,YW邮编覆盖!A:A,YW邮编覆盖!B:B,"否")</f>
        <v>是</v>
      </c>
    </row>
    <row r="603" spans="1:10" hidden="1">
      <c r="A603" s="3">
        <v>92866</v>
      </c>
      <c r="B603" s="1" t="s">
        <v>42</v>
      </c>
      <c r="C603" s="2" t="str">
        <f>_xlfn.XLOOKUP(B603,线路DSP对应!A:A,线路DSP对应!B:B)</f>
        <v>STA_LAX_ChinaOcean</v>
      </c>
      <c r="D603" s="4" t="s">
        <v>150</v>
      </c>
      <c r="E603" s="2" t="str">
        <f>_xlfn.XLOOKUP(A603,转单情况!A:A,转单情况!B:B)</f>
        <v>SW</v>
      </c>
      <c r="G603" s="28">
        <f>ROUND(_xlfn.XLOOKUP(A603,全量!A:A,全量!B:B,0)/7,1)</f>
        <v>3.4</v>
      </c>
      <c r="H603" s="2">
        <f>ROUND(_xlfn.XLOOKUP(A603,AE!A:A,AE!B:B,0)/7,1)</f>
        <v>3.3</v>
      </c>
      <c r="I603" s="2" t="str">
        <f>_xlfn.XLOOKUP(A603,SWFTX邮编覆盖!A:A,SWFTX邮编覆盖!B:B,"否")</f>
        <v>是</v>
      </c>
      <c r="J603" s="2" t="str">
        <f>_xlfn.XLOOKUP(A603,YW邮编覆盖!A:A,YW邮编覆盖!B:B,"否")</f>
        <v>是</v>
      </c>
    </row>
    <row r="604" spans="1:10" hidden="1">
      <c r="A604" s="3">
        <v>90621</v>
      </c>
      <c r="B604" s="1" t="s">
        <v>43</v>
      </c>
      <c r="C604" s="2" t="str">
        <f>_xlfn.XLOOKUP(B604,线路DSP对应!A:A,线路DSP对应!B:B)</f>
        <v>STA_LAX_ChinaOcean</v>
      </c>
      <c r="D604" s="4" t="s">
        <v>150</v>
      </c>
      <c r="E604" s="2" t="str">
        <f>_xlfn.XLOOKUP(A604,转单情况!A:A,转单情况!B:B)</f>
        <v>SW</v>
      </c>
      <c r="F604" s="29"/>
      <c r="G604" s="28">
        <f>ROUND(_xlfn.XLOOKUP(A604,全量!A:A,全量!B:B,0)/7,1)</f>
        <v>0</v>
      </c>
      <c r="H604" s="2">
        <f>ROUND(_xlfn.XLOOKUP(A604,AE!A:A,AE!B:B,0)/7,1)</f>
        <v>0</v>
      </c>
      <c r="I604" s="2" t="str">
        <f>_xlfn.XLOOKUP(A604,SWFTX邮编覆盖!A:A,SWFTX邮编覆盖!B:B,"否")</f>
        <v>是</v>
      </c>
      <c r="J604" s="2" t="str">
        <f>_xlfn.XLOOKUP(A604,YW邮编覆盖!A:A,YW邮编覆盖!B:B,"否")</f>
        <v>是</v>
      </c>
    </row>
    <row r="605" spans="1:10" hidden="1">
      <c r="A605" s="3">
        <v>90620</v>
      </c>
      <c r="B605" s="1" t="s">
        <v>43</v>
      </c>
      <c r="C605" s="2" t="str">
        <f>_xlfn.XLOOKUP(B605,线路DSP对应!A:A,线路DSP对应!B:B)</f>
        <v>STA_LAX_ChinaOcean</v>
      </c>
      <c r="D605" s="4" t="s">
        <v>150</v>
      </c>
      <c r="E605" s="2" t="str">
        <f>_xlfn.XLOOKUP(A605,转单情况!A:A,转单情况!B:B)</f>
        <v>SW</v>
      </c>
      <c r="F605" s="29"/>
      <c r="G605" s="28">
        <f>ROUND(_xlfn.XLOOKUP(A605,全量!A:A,全量!B:B,0)/7,1)</f>
        <v>0.1</v>
      </c>
      <c r="H605" s="2">
        <f>ROUND(_xlfn.XLOOKUP(A605,AE!A:A,AE!B:B,0)/7,1)</f>
        <v>0</v>
      </c>
      <c r="I605" s="2" t="str">
        <f>_xlfn.XLOOKUP(A605,SWFTX邮编覆盖!A:A,SWFTX邮编覆盖!B:B,"否")</f>
        <v>是</v>
      </c>
      <c r="J605" s="2" t="str">
        <f>_xlfn.XLOOKUP(A605,YW邮编覆盖!A:A,YW邮编覆盖!B:B,"否")</f>
        <v>是</v>
      </c>
    </row>
    <row r="606" spans="1:10" hidden="1">
      <c r="A606" s="3">
        <v>90623</v>
      </c>
      <c r="B606" s="1" t="s">
        <v>43</v>
      </c>
      <c r="C606" s="2" t="str">
        <f>_xlfn.XLOOKUP(B606,线路DSP对应!A:A,线路DSP对应!B:B)</f>
        <v>STA_LAX_ChinaOcean</v>
      </c>
      <c r="D606" s="4" t="s">
        <v>150</v>
      </c>
      <c r="E606" s="2" t="str">
        <f>_xlfn.XLOOKUP(A606,转单情况!A:A,转单情况!B:B)</f>
        <v>SW</v>
      </c>
      <c r="F606" s="29"/>
      <c r="G606" s="28">
        <f>ROUND(_xlfn.XLOOKUP(A606,全量!A:A,全量!B:B,0)/7,1)</f>
        <v>0.1</v>
      </c>
      <c r="H606" s="2">
        <f>ROUND(_xlfn.XLOOKUP(A606,AE!A:A,AE!B:B,0)/7,1)</f>
        <v>0</v>
      </c>
      <c r="I606" s="2" t="str">
        <f>_xlfn.XLOOKUP(A606,SWFTX邮编覆盖!A:A,SWFTX邮编覆盖!B:B,"否")</f>
        <v>是</v>
      </c>
      <c r="J606" s="2" t="str">
        <f>_xlfn.XLOOKUP(A606,YW邮编覆盖!A:A,YW邮编覆盖!B:B,"否")</f>
        <v>是</v>
      </c>
    </row>
    <row r="607" spans="1:10" hidden="1">
      <c r="A607" s="3">
        <v>92620</v>
      </c>
      <c r="B607" s="1" t="s">
        <v>44</v>
      </c>
      <c r="C607" s="2" t="str">
        <f>_xlfn.XLOOKUP(B607,线路DSP对应!A:A,线路DSP对应!B:B)</f>
        <v>STA_LAX_ChinaOcean</v>
      </c>
      <c r="D607" s="4" t="s">
        <v>150</v>
      </c>
      <c r="E607" s="2" t="str">
        <f>_xlfn.XLOOKUP(A607,转单情况!A:A,转单情况!B:B)</f>
        <v>SW</v>
      </c>
      <c r="G607" s="28">
        <f>ROUND(_xlfn.XLOOKUP(A607,全量!A:A,全量!B:B,0)/7,1)</f>
        <v>0</v>
      </c>
      <c r="H607" s="2">
        <f>ROUND(_xlfn.XLOOKUP(A607,AE!A:A,AE!B:B,0)/7,1)</f>
        <v>0</v>
      </c>
      <c r="I607" s="2" t="str">
        <f>_xlfn.XLOOKUP(A607,SWFTX邮编覆盖!A:A,SWFTX邮编覆盖!B:B,"否")</f>
        <v>是</v>
      </c>
      <c r="J607" s="2" t="str">
        <f>_xlfn.XLOOKUP(A607,YW邮编覆盖!A:A,YW邮编覆盖!B:B,"否")</f>
        <v>是</v>
      </c>
    </row>
    <row r="608" spans="1:10" hidden="1">
      <c r="A608" s="3">
        <v>92618</v>
      </c>
      <c r="B608" s="1" t="s">
        <v>44</v>
      </c>
      <c r="C608" s="2" t="str">
        <f>_xlfn.XLOOKUP(B608,线路DSP对应!A:A,线路DSP对应!B:B)</f>
        <v>STA_LAX_ChinaOcean</v>
      </c>
      <c r="D608" s="4" t="s">
        <v>150</v>
      </c>
      <c r="E608" s="2" t="str">
        <f>_xlfn.XLOOKUP(A608,转单情况!A:A,转单情况!B:B)</f>
        <v>SW</v>
      </c>
      <c r="G608" s="28">
        <f>ROUND(_xlfn.XLOOKUP(A608,全量!A:A,全量!B:B,0)/7,1)</f>
        <v>0.1</v>
      </c>
      <c r="H608" s="2">
        <f>ROUND(_xlfn.XLOOKUP(A608,AE!A:A,AE!B:B,0)/7,1)</f>
        <v>0</v>
      </c>
      <c r="I608" s="2" t="str">
        <f>_xlfn.XLOOKUP(A608,SWFTX邮编覆盖!A:A,SWFTX邮编覆盖!B:B,"否")</f>
        <v>是</v>
      </c>
      <c r="J608" s="2" t="str">
        <f>_xlfn.XLOOKUP(A608,YW邮编覆盖!A:A,YW邮编覆盖!B:B,"否")</f>
        <v>是</v>
      </c>
    </row>
    <row r="609" spans="1:10" hidden="1">
      <c r="A609" s="3">
        <v>92604</v>
      </c>
      <c r="B609" s="1" t="s">
        <v>45</v>
      </c>
      <c r="C609" s="2" t="str">
        <f>_xlfn.XLOOKUP(B609,线路DSP对应!A:A,线路DSP对应!B:B)</f>
        <v>STA_LAX_YXY</v>
      </c>
      <c r="D609" s="4" t="s">
        <v>150</v>
      </c>
      <c r="E609" s="2" t="str">
        <f>_xlfn.XLOOKUP(A609,转单情况!A:A,转单情况!B:B)</f>
        <v>SW</v>
      </c>
      <c r="G609" s="28">
        <f>ROUND(_xlfn.XLOOKUP(A609,全量!A:A,全量!B:B,0)/7,1)</f>
        <v>0.1</v>
      </c>
      <c r="H609" s="2">
        <f>ROUND(_xlfn.XLOOKUP(A609,AE!A:A,AE!B:B,0)/7,1)</f>
        <v>0</v>
      </c>
      <c r="I609" s="2" t="str">
        <f>_xlfn.XLOOKUP(A609,SWFTX邮编覆盖!A:A,SWFTX邮编覆盖!B:B,"否")</f>
        <v>是</v>
      </c>
      <c r="J609" s="2" t="str">
        <f>_xlfn.XLOOKUP(A609,YW邮编覆盖!A:A,YW邮编覆盖!B:B,"否")</f>
        <v>是</v>
      </c>
    </row>
    <row r="610" spans="1:10" hidden="1">
      <c r="A610" s="3">
        <v>92612</v>
      </c>
      <c r="B610" s="1" t="s">
        <v>45</v>
      </c>
      <c r="C610" s="2" t="str">
        <f>_xlfn.XLOOKUP(B610,线路DSP对应!A:A,线路DSP对应!B:B)</f>
        <v>STA_LAX_YXY</v>
      </c>
      <c r="D610" s="4" t="s">
        <v>150</v>
      </c>
      <c r="E610" s="2" t="str">
        <f>_xlfn.XLOOKUP(A610,转单情况!A:A,转单情况!B:B)</f>
        <v>SW</v>
      </c>
      <c r="G610" s="28">
        <f>ROUND(_xlfn.XLOOKUP(A610,全量!A:A,全量!B:B,0)/7,1)</f>
        <v>0.1</v>
      </c>
      <c r="H610" s="2">
        <f>ROUND(_xlfn.XLOOKUP(A610,AE!A:A,AE!B:B,0)/7,1)</f>
        <v>0</v>
      </c>
      <c r="I610" s="2" t="str">
        <f>_xlfn.XLOOKUP(A610,SWFTX邮编覆盖!A:A,SWFTX邮编覆盖!B:B,"否")</f>
        <v>是</v>
      </c>
      <c r="J610" s="2" t="str">
        <f>_xlfn.XLOOKUP(A610,YW邮编覆盖!A:A,YW邮编覆盖!B:B,"否")</f>
        <v>是</v>
      </c>
    </row>
    <row r="611" spans="1:10">
      <c r="A611" s="3">
        <v>92614</v>
      </c>
      <c r="B611" s="1" t="s">
        <v>45</v>
      </c>
      <c r="C611" s="2" t="str">
        <f>_xlfn.XLOOKUP(B611,线路DSP对应!A:A,线路DSP对应!B:B)</f>
        <v>STA_LAX_YXY</v>
      </c>
      <c r="D611" s="4" t="s">
        <v>150</v>
      </c>
      <c r="E611" s="2" t="str">
        <f>_xlfn.XLOOKUP(A611,转单情况!A:A,转单情况!B:B)</f>
        <v>YW</v>
      </c>
      <c r="G611" s="28">
        <f>ROUND(_xlfn.XLOOKUP(A611,全量!A:A,全量!B:B,0)/7,1)</f>
        <v>2.6</v>
      </c>
      <c r="H611" s="2">
        <f>ROUND(_xlfn.XLOOKUP(A611,AE!A:A,AE!B:B,0)/7,1)</f>
        <v>0</v>
      </c>
      <c r="I611" s="2" t="str">
        <f>_xlfn.XLOOKUP(A611,SWFTX邮编覆盖!A:A,SWFTX邮编覆盖!B:B,"否")</f>
        <v>否</v>
      </c>
      <c r="J611" s="2" t="str">
        <f>_xlfn.XLOOKUP(A611,YW邮编覆盖!A:A,YW邮编覆盖!B:B,"否")</f>
        <v>是</v>
      </c>
    </row>
    <row r="612" spans="1:10">
      <c r="A612" s="3">
        <v>92603</v>
      </c>
      <c r="B612" s="1" t="s">
        <v>45</v>
      </c>
      <c r="C612" s="2" t="str">
        <f>_xlfn.XLOOKUP(B612,线路DSP对应!A:A,线路DSP对应!B:B)</f>
        <v>STA_LAX_YXY</v>
      </c>
      <c r="D612" s="4" t="s">
        <v>150</v>
      </c>
      <c r="E612" s="2" t="str">
        <f>_xlfn.XLOOKUP(A612,转单情况!A:A,转单情况!B:B)</f>
        <v>YW</v>
      </c>
      <c r="G612" s="28">
        <f>ROUND(_xlfn.XLOOKUP(A612,全量!A:A,全量!B:B,0)/7,1)</f>
        <v>0.7</v>
      </c>
      <c r="H612" s="2">
        <f>ROUND(_xlfn.XLOOKUP(A612,AE!A:A,AE!B:B,0)/7,1)</f>
        <v>0</v>
      </c>
      <c r="I612" s="2" t="str">
        <f>_xlfn.XLOOKUP(A612,SWFTX邮编覆盖!A:A,SWFTX邮编覆盖!B:B,"否")</f>
        <v>否</v>
      </c>
      <c r="J612" s="2" t="str">
        <f>_xlfn.XLOOKUP(A612,YW邮编覆盖!A:A,YW邮编覆盖!B:B,"否")</f>
        <v>是</v>
      </c>
    </row>
    <row r="613" spans="1:10" hidden="1">
      <c r="A613" s="3">
        <v>92606</v>
      </c>
      <c r="B613" s="1" t="s">
        <v>45</v>
      </c>
      <c r="C613" s="2" t="str">
        <f>_xlfn.XLOOKUP(B613,线路DSP对应!A:A,线路DSP对应!B:B)</f>
        <v>STA_LAX_YXY</v>
      </c>
      <c r="D613" s="4" t="s">
        <v>150</v>
      </c>
      <c r="E613" s="2" t="str">
        <f>_xlfn.XLOOKUP(A613,转单情况!A:A,转单情况!B:B)</f>
        <v>SW</v>
      </c>
      <c r="G613" s="28">
        <f>ROUND(_xlfn.XLOOKUP(A613,全量!A:A,全量!B:B,0)/7,1)</f>
        <v>0.3</v>
      </c>
      <c r="H613" s="2">
        <f>ROUND(_xlfn.XLOOKUP(A613,AE!A:A,AE!B:B,0)/7,1)</f>
        <v>0</v>
      </c>
      <c r="I613" s="2" t="str">
        <f>_xlfn.XLOOKUP(A613,SWFTX邮编覆盖!A:A,SWFTX邮编覆盖!B:B,"否")</f>
        <v>是</v>
      </c>
      <c r="J613" s="2" t="str">
        <f>_xlfn.XLOOKUP(A613,YW邮编覆盖!A:A,YW邮编覆盖!B:B,"否")</f>
        <v>是</v>
      </c>
    </row>
    <row r="614" spans="1:10" hidden="1">
      <c r="A614" s="3">
        <v>92617</v>
      </c>
      <c r="B614" s="1" t="s">
        <v>45</v>
      </c>
      <c r="C614" s="2" t="str">
        <f>_xlfn.XLOOKUP(B614,线路DSP对应!A:A,线路DSP对应!B:B)</f>
        <v>STA_LAX_YXY</v>
      </c>
      <c r="D614" s="4" t="s">
        <v>150</v>
      </c>
      <c r="E614" s="2" t="str">
        <f>_xlfn.XLOOKUP(A614,转单情况!A:A,转单情况!B:B)</f>
        <v>SW</v>
      </c>
      <c r="G614" s="28">
        <f>ROUND(_xlfn.XLOOKUP(A614,全量!A:A,全量!B:B,0)/7,1)</f>
        <v>0.1</v>
      </c>
      <c r="H614" s="2">
        <f>ROUND(_xlfn.XLOOKUP(A614,AE!A:A,AE!B:B,0)/7,1)</f>
        <v>0</v>
      </c>
      <c r="I614" s="2" t="str">
        <f>_xlfn.XLOOKUP(A614,SWFTX邮编覆盖!A:A,SWFTX邮编覆盖!B:B,"否")</f>
        <v>是</v>
      </c>
      <c r="J614" s="2" t="str">
        <f>_xlfn.XLOOKUP(A614,YW邮编覆盖!A:A,YW邮编覆盖!B:B,"否")</f>
        <v>是</v>
      </c>
    </row>
    <row r="615" spans="1:10" hidden="1">
      <c r="A615" s="3">
        <v>92697</v>
      </c>
      <c r="B615" s="1" t="s">
        <v>45</v>
      </c>
      <c r="C615" s="2" t="str">
        <f>_xlfn.XLOOKUP(B615,线路DSP对应!A:A,线路DSP对应!B:B)</f>
        <v>STA_LAX_YXY</v>
      </c>
      <c r="D615" s="4" t="s">
        <v>150</v>
      </c>
      <c r="E615" s="2" t="str">
        <f>_xlfn.XLOOKUP(A615,转单情况!A:A,转单情况!B:B)</f>
        <v>否</v>
      </c>
      <c r="G615" s="28">
        <f>ROUND(_xlfn.XLOOKUP(A615,全量!A:A,全量!B:B,0)/7,1)</f>
        <v>0.1</v>
      </c>
      <c r="H615" s="2">
        <f>ROUND(_xlfn.XLOOKUP(A615,AE!A:A,AE!B:B,0)/7,1)</f>
        <v>0</v>
      </c>
      <c r="I615" s="2" t="str">
        <f>_xlfn.XLOOKUP(A615,SWFTX邮编覆盖!A:A,SWFTX邮编覆盖!B:B,"否")</f>
        <v>否</v>
      </c>
      <c r="J615" s="2" t="str">
        <f>_xlfn.XLOOKUP(A615,YW邮编覆盖!A:A,YW邮编覆盖!B:B,"否")</f>
        <v>否</v>
      </c>
    </row>
    <row r="616" spans="1:10" hidden="1">
      <c r="A616" s="3">
        <v>92657</v>
      </c>
      <c r="B616" s="1" t="s">
        <v>45</v>
      </c>
      <c r="C616" s="2" t="str">
        <f>_xlfn.XLOOKUP(B616,线路DSP对应!A:A,线路DSP对应!B:B)</f>
        <v>STA_LAX_YXY</v>
      </c>
      <c r="D616" s="4" t="s">
        <v>150</v>
      </c>
      <c r="E616" s="2" t="str">
        <f>_xlfn.XLOOKUP(A616,转单情况!A:A,转单情况!B:B)</f>
        <v>否</v>
      </c>
      <c r="G616" s="28">
        <f>ROUND(_xlfn.XLOOKUP(A616,全量!A:A,全量!B:B,0)/7,1)</f>
        <v>1.4</v>
      </c>
      <c r="H616" s="2">
        <f>ROUND(_xlfn.XLOOKUP(A616,AE!A:A,AE!B:B,0)/7,1)</f>
        <v>0</v>
      </c>
      <c r="I616" s="2" t="str">
        <f>_xlfn.XLOOKUP(A616,SWFTX邮编覆盖!A:A,SWFTX邮编覆盖!B:B,"否")</f>
        <v>否</v>
      </c>
      <c r="J616" s="2" t="str">
        <f>_xlfn.XLOOKUP(A616,YW邮编覆盖!A:A,YW邮编覆盖!B:B,"否")</f>
        <v>否</v>
      </c>
    </row>
    <row r="617" spans="1:10" hidden="1">
      <c r="A617" s="3">
        <v>92625</v>
      </c>
      <c r="B617" s="1" t="s">
        <v>45</v>
      </c>
      <c r="C617" s="2" t="str">
        <f>_xlfn.XLOOKUP(B617,线路DSP对应!A:A,线路DSP对应!B:B)</f>
        <v>STA_LAX_YXY</v>
      </c>
      <c r="D617" s="4" t="s">
        <v>150</v>
      </c>
      <c r="E617" s="2" t="str">
        <f>_xlfn.XLOOKUP(A617,转单情况!A:A,转单情况!B:B)</f>
        <v>SW</v>
      </c>
      <c r="G617" s="28">
        <f>ROUND(_xlfn.XLOOKUP(A617,全量!A:A,全量!B:B,0)/7,1)</f>
        <v>0.9</v>
      </c>
      <c r="H617" s="2">
        <f>ROUND(_xlfn.XLOOKUP(A617,AE!A:A,AE!B:B,0)/7,1)</f>
        <v>0</v>
      </c>
      <c r="I617" s="2" t="str">
        <f>_xlfn.XLOOKUP(A617,SWFTX邮编覆盖!A:A,SWFTX邮编覆盖!B:B,"否")</f>
        <v>是</v>
      </c>
      <c r="J617" s="2" t="str">
        <f>_xlfn.XLOOKUP(A617,YW邮编覆盖!A:A,YW邮编覆盖!B:B,"否")</f>
        <v>是</v>
      </c>
    </row>
    <row r="618" spans="1:10" hidden="1">
      <c r="A618" s="3">
        <v>92660</v>
      </c>
      <c r="B618" s="1" t="s">
        <v>45</v>
      </c>
      <c r="C618" s="2" t="str">
        <f>_xlfn.XLOOKUP(B618,线路DSP对应!A:A,线路DSP对应!B:B)</f>
        <v>STA_LAX_YXY</v>
      </c>
      <c r="D618" s="4" t="s">
        <v>150</v>
      </c>
      <c r="E618" s="2" t="str">
        <f>_xlfn.XLOOKUP(A618,转单情况!A:A,转单情况!B:B)</f>
        <v>SW</v>
      </c>
      <c r="G618" s="28">
        <f>ROUND(_xlfn.XLOOKUP(A618,全量!A:A,全量!B:B,0)/7,1)</f>
        <v>0.1</v>
      </c>
      <c r="H618" s="2">
        <f>ROUND(_xlfn.XLOOKUP(A618,AE!A:A,AE!B:B,0)/7,1)</f>
        <v>0</v>
      </c>
      <c r="I618" s="2" t="str">
        <f>_xlfn.XLOOKUP(A618,SWFTX邮编覆盖!A:A,SWFTX邮编覆盖!B:B,"否")</f>
        <v>是</v>
      </c>
      <c r="J618" s="2" t="str">
        <f>_xlfn.XLOOKUP(A618,YW邮编覆盖!A:A,YW邮编覆盖!B:B,"否")</f>
        <v>是</v>
      </c>
    </row>
    <row r="619" spans="1:10" hidden="1">
      <c r="A619" s="3">
        <v>92662</v>
      </c>
      <c r="B619" s="1" t="s">
        <v>45</v>
      </c>
      <c r="C619" s="2" t="str">
        <f>_xlfn.XLOOKUP(B619,线路DSP对应!A:A,线路DSP对应!B:B)</f>
        <v>STA_LAX_YXY</v>
      </c>
      <c r="D619" s="4" t="s">
        <v>150</v>
      </c>
      <c r="E619" s="2" t="str">
        <f>_xlfn.XLOOKUP(A619,转单情况!A:A,转单情况!B:B)</f>
        <v>否</v>
      </c>
      <c r="G619" s="28">
        <f>ROUND(_xlfn.XLOOKUP(A619,全量!A:A,全量!B:B,0)/7,1)</f>
        <v>0</v>
      </c>
      <c r="H619" s="2">
        <f>ROUND(_xlfn.XLOOKUP(A619,AE!A:A,AE!B:B,0)/7,1)</f>
        <v>0</v>
      </c>
      <c r="I619" s="2" t="str">
        <f>_xlfn.XLOOKUP(A619,SWFTX邮编覆盖!A:A,SWFTX邮编覆盖!B:B,"否")</f>
        <v>否</v>
      </c>
      <c r="J619" s="2" t="str">
        <f>_xlfn.XLOOKUP(A619,YW邮编覆盖!A:A,YW邮编覆盖!B:B,"否")</f>
        <v>否</v>
      </c>
    </row>
    <row r="620" spans="1:10" hidden="1">
      <c r="A620" s="3">
        <v>92651</v>
      </c>
      <c r="B620" s="1" t="s">
        <v>46</v>
      </c>
      <c r="C620" s="2" t="str">
        <f>_xlfn.XLOOKUP(B620,线路DSP对应!A:A,线路DSP对应!B:B)</f>
        <v>STA_LAX_YXY</v>
      </c>
      <c r="D620" s="4" t="s">
        <v>150</v>
      </c>
      <c r="E620" s="2" t="str">
        <f>_xlfn.XLOOKUP(A620,转单情况!A:A,转单情况!B:B)</f>
        <v>否</v>
      </c>
      <c r="G620" s="28">
        <f>ROUND(_xlfn.XLOOKUP(A620,全量!A:A,全量!B:B,0)/7,1)</f>
        <v>1.4</v>
      </c>
      <c r="H620" s="2">
        <f>ROUND(_xlfn.XLOOKUP(A620,AE!A:A,AE!B:B,0)/7,1)</f>
        <v>0</v>
      </c>
      <c r="I620" s="2" t="str">
        <f>_xlfn.XLOOKUP(A620,SWFTX邮编覆盖!A:A,SWFTX邮编覆盖!B:B,"否")</f>
        <v>否</v>
      </c>
      <c r="J620" s="2" t="str">
        <f>_xlfn.XLOOKUP(A620,YW邮编覆盖!A:A,YW邮编覆盖!B:B,"否")</f>
        <v>否</v>
      </c>
    </row>
    <row r="621" spans="1:10" hidden="1">
      <c r="A621" s="3">
        <v>92630</v>
      </c>
      <c r="B621" s="1" t="s">
        <v>46</v>
      </c>
      <c r="C621" s="2" t="str">
        <f>_xlfn.XLOOKUP(B621,线路DSP对应!A:A,线路DSP对应!B:B)</f>
        <v>STA_LAX_YXY</v>
      </c>
      <c r="D621" s="4" t="s">
        <v>150</v>
      </c>
      <c r="E621" s="2" t="str">
        <f>_xlfn.XLOOKUP(A621,转单情况!A:A,转单情况!B:B)</f>
        <v>SW</v>
      </c>
      <c r="G621" s="28">
        <f>ROUND(_xlfn.XLOOKUP(A621,全量!A:A,全量!B:B,0)/7,1)</f>
        <v>0.1</v>
      </c>
      <c r="H621" s="2">
        <f>ROUND(_xlfn.XLOOKUP(A621,AE!A:A,AE!B:B,0)/7,1)</f>
        <v>0</v>
      </c>
      <c r="I621" s="2" t="str">
        <f>_xlfn.XLOOKUP(A621,SWFTX邮编覆盖!A:A,SWFTX邮编覆盖!B:B,"否")</f>
        <v>是</v>
      </c>
      <c r="J621" s="2" t="str">
        <f>_xlfn.XLOOKUP(A621,YW邮编覆盖!A:A,YW邮编覆盖!B:B,"否")</f>
        <v>是</v>
      </c>
    </row>
    <row r="622" spans="1:10" hidden="1">
      <c r="A622" s="3">
        <v>92691</v>
      </c>
      <c r="B622" s="1" t="s">
        <v>46</v>
      </c>
      <c r="C622" s="2" t="str">
        <f>_xlfn.XLOOKUP(B622,线路DSP对应!A:A,线路DSP对应!B:B)</f>
        <v>STA_LAX_YXY</v>
      </c>
      <c r="D622" s="4" t="s">
        <v>150</v>
      </c>
      <c r="E622" s="2" t="str">
        <f>_xlfn.XLOOKUP(A622,转单情况!A:A,转单情况!B:B)</f>
        <v>SW</v>
      </c>
      <c r="G622" s="28">
        <f>ROUND(_xlfn.XLOOKUP(A622,全量!A:A,全量!B:B,0)/7,1)</f>
        <v>12</v>
      </c>
      <c r="H622" s="2">
        <f>ROUND(_xlfn.XLOOKUP(A622,AE!A:A,AE!B:B,0)/7,1)</f>
        <v>11.6</v>
      </c>
      <c r="I622" s="2" t="str">
        <f>_xlfn.XLOOKUP(A622,SWFTX邮编覆盖!A:A,SWFTX邮编覆盖!B:B,"否")</f>
        <v>是</v>
      </c>
      <c r="J622" s="2" t="str">
        <f>_xlfn.XLOOKUP(A622,YW邮编覆盖!A:A,YW邮编覆盖!B:B,"否")</f>
        <v>是</v>
      </c>
    </row>
    <row r="623" spans="1:10" hidden="1">
      <c r="A623" s="3">
        <v>92692</v>
      </c>
      <c r="B623" s="1" t="s">
        <v>46</v>
      </c>
      <c r="C623" s="2" t="str">
        <f>_xlfn.XLOOKUP(B623,线路DSP对应!A:A,线路DSP对应!B:B)</f>
        <v>STA_LAX_YXY</v>
      </c>
      <c r="D623" s="4" t="s">
        <v>150</v>
      </c>
      <c r="E623" s="2" t="str">
        <f>_xlfn.XLOOKUP(A623,转单情况!A:A,转单情况!B:B)</f>
        <v>SW</v>
      </c>
      <c r="G623" s="28">
        <f>ROUND(_xlfn.XLOOKUP(A623,全量!A:A,全量!B:B,0)/7,1)</f>
        <v>0.3</v>
      </c>
      <c r="H623" s="2">
        <f>ROUND(_xlfn.XLOOKUP(A623,AE!A:A,AE!B:B,0)/7,1)</f>
        <v>0</v>
      </c>
      <c r="I623" s="2" t="str">
        <f>_xlfn.XLOOKUP(A623,SWFTX邮编覆盖!A:A,SWFTX邮编覆盖!B:B,"否")</f>
        <v>是</v>
      </c>
      <c r="J623" s="2" t="str">
        <f>_xlfn.XLOOKUP(A623,YW邮编覆盖!A:A,YW邮编覆盖!B:B,"否")</f>
        <v>是</v>
      </c>
    </row>
    <row r="624" spans="1:10" hidden="1">
      <c r="A624" s="3">
        <v>92610</v>
      </c>
      <c r="B624" s="1" t="s">
        <v>46</v>
      </c>
      <c r="C624" s="2" t="str">
        <f>_xlfn.XLOOKUP(B624,线路DSP对应!A:A,线路DSP对应!B:B)</f>
        <v>STA_LAX_YXY</v>
      </c>
      <c r="D624" s="4" t="s">
        <v>150</v>
      </c>
      <c r="E624" s="2" t="str">
        <f>_xlfn.XLOOKUP(A624,转单情况!A:A,转单情况!B:B)</f>
        <v>SW</v>
      </c>
      <c r="G624" s="28">
        <f>ROUND(_xlfn.XLOOKUP(A624,全量!A:A,全量!B:B,0)/7,1)</f>
        <v>0.4</v>
      </c>
      <c r="H624" s="2">
        <f>ROUND(_xlfn.XLOOKUP(A624,AE!A:A,AE!B:B,0)/7,1)</f>
        <v>0</v>
      </c>
      <c r="I624" s="2" t="str">
        <f>_xlfn.XLOOKUP(A624,SWFTX邮编覆盖!A:A,SWFTX邮编覆盖!B:B,"否")</f>
        <v>是</v>
      </c>
      <c r="J624" s="2" t="str">
        <f>_xlfn.XLOOKUP(A624,YW邮编覆盖!A:A,YW邮编覆盖!B:B,"否")</f>
        <v>是</v>
      </c>
    </row>
    <row r="625" spans="1:10" hidden="1">
      <c r="A625" s="3">
        <v>92637</v>
      </c>
      <c r="B625" s="1" t="s">
        <v>46</v>
      </c>
      <c r="C625" s="2" t="str">
        <f>_xlfn.XLOOKUP(B625,线路DSP对应!A:A,线路DSP对应!B:B)</f>
        <v>STA_LAX_YXY</v>
      </c>
      <c r="D625" s="4" t="s">
        <v>150</v>
      </c>
      <c r="E625" s="2" t="str">
        <f>_xlfn.XLOOKUP(A625,转单情况!A:A,转单情况!B:B)</f>
        <v>SW</v>
      </c>
      <c r="G625" s="28">
        <f>ROUND(_xlfn.XLOOKUP(A625,全量!A:A,全量!B:B,0)/7,1)</f>
        <v>0</v>
      </c>
      <c r="H625" s="2">
        <f>ROUND(_xlfn.XLOOKUP(A625,AE!A:A,AE!B:B,0)/7,1)</f>
        <v>0</v>
      </c>
      <c r="I625" s="2" t="str">
        <f>_xlfn.XLOOKUP(A625,SWFTX邮编覆盖!A:A,SWFTX邮编覆盖!B:B,"否")</f>
        <v>是</v>
      </c>
      <c r="J625" s="2" t="str">
        <f>_xlfn.XLOOKUP(A625,YW邮编覆盖!A:A,YW邮编覆盖!B:B,"否")</f>
        <v>是</v>
      </c>
    </row>
    <row r="626" spans="1:10" hidden="1">
      <c r="A626" s="3">
        <v>92653</v>
      </c>
      <c r="B626" s="1" t="s">
        <v>46</v>
      </c>
      <c r="C626" s="2" t="str">
        <f>_xlfn.XLOOKUP(B626,线路DSP对应!A:A,线路DSP对应!B:B)</f>
        <v>STA_LAX_YXY</v>
      </c>
      <c r="D626" s="4" t="s">
        <v>150</v>
      </c>
      <c r="E626" s="2" t="str">
        <f>_xlfn.XLOOKUP(A626,转单情况!A:A,转单情况!B:B)</f>
        <v>SW</v>
      </c>
      <c r="G626" s="28">
        <f>ROUND(_xlfn.XLOOKUP(A626,全量!A:A,全量!B:B,0)/7,1)</f>
        <v>0.1</v>
      </c>
      <c r="H626" s="2">
        <f>ROUND(_xlfn.XLOOKUP(A626,AE!A:A,AE!B:B,0)/7,1)</f>
        <v>0</v>
      </c>
      <c r="I626" s="2" t="str">
        <f>_xlfn.XLOOKUP(A626,SWFTX邮编覆盖!A:A,SWFTX邮编覆盖!B:B,"否")</f>
        <v>是</v>
      </c>
      <c r="J626" s="2" t="str">
        <f>_xlfn.XLOOKUP(A626,YW邮编覆盖!A:A,YW邮编覆盖!B:B,"否")</f>
        <v>是</v>
      </c>
    </row>
    <row r="627" spans="1:10" hidden="1">
      <c r="A627" s="3">
        <v>92656</v>
      </c>
      <c r="B627" s="1" t="s">
        <v>46</v>
      </c>
      <c r="C627" s="2" t="str">
        <f>_xlfn.XLOOKUP(B627,线路DSP对应!A:A,线路DSP对应!B:B)</f>
        <v>STA_LAX_YXY</v>
      </c>
      <c r="D627" s="4" t="s">
        <v>150</v>
      </c>
      <c r="E627" s="2" t="str">
        <f>_xlfn.XLOOKUP(A627,转单情况!A:A,转单情况!B:B)</f>
        <v>SW</v>
      </c>
      <c r="G627" s="28">
        <f>ROUND(_xlfn.XLOOKUP(A627,全量!A:A,全量!B:B,0)/7,1)</f>
        <v>0.3</v>
      </c>
      <c r="H627" s="2">
        <f>ROUND(_xlfn.XLOOKUP(A627,AE!A:A,AE!B:B,0)/7,1)</f>
        <v>0</v>
      </c>
      <c r="I627" s="2" t="str">
        <f>_xlfn.XLOOKUP(A627,SWFTX邮编覆盖!A:A,SWFTX邮编覆盖!B:B,"否")</f>
        <v>是</v>
      </c>
      <c r="J627" s="2" t="str">
        <f>_xlfn.XLOOKUP(A627,YW邮编覆盖!A:A,YW邮编覆盖!B:B,"否")</f>
        <v>是</v>
      </c>
    </row>
    <row r="628" spans="1:10" hidden="1">
      <c r="A628" s="3">
        <v>90631</v>
      </c>
      <c r="B628" s="1" t="s">
        <v>47</v>
      </c>
      <c r="C628" s="2" t="str">
        <f>_xlfn.XLOOKUP(B628,线路DSP对应!A:A,线路DSP对应!B:B)</f>
        <v>STA_LAX_ChinaOcean</v>
      </c>
      <c r="D628" s="4" t="s">
        <v>150</v>
      </c>
      <c r="E628" s="2" t="str">
        <f>_xlfn.XLOOKUP(A628,转单情况!A:A,转单情况!B:B)</f>
        <v>SW</v>
      </c>
      <c r="G628" s="28">
        <f>ROUND(_xlfn.XLOOKUP(A628,全量!A:A,全量!B:B,0)/7,1)</f>
        <v>0.3</v>
      </c>
      <c r="H628" s="2">
        <f>ROUND(_xlfn.XLOOKUP(A628,AE!A:A,AE!B:B,0)/7,1)</f>
        <v>0</v>
      </c>
      <c r="I628" s="2" t="str">
        <f>_xlfn.XLOOKUP(A628,SWFTX邮编覆盖!A:A,SWFTX邮编覆盖!B:B,"否")</f>
        <v>是</v>
      </c>
      <c r="J628" s="2" t="str">
        <f>_xlfn.XLOOKUP(A628,YW邮编覆盖!A:A,YW邮编覆盖!B:B,"否")</f>
        <v>是</v>
      </c>
    </row>
    <row r="629" spans="1:10" hidden="1">
      <c r="A629" s="3">
        <v>92821</v>
      </c>
      <c r="B629" s="1" t="s">
        <v>47</v>
      </c>
      <c r="C629" s="2" t="str">
        <f>_xlfn.XLOOKUP(B629,线路DSP对应!A:A,线路DSP对应!B:B)</f>
        <v>STA_LAX_ChinaOcean</v>
      </c>
      <c r="D629" s="4" t="s">
        <v>150</v>
      </c>
      <c r="E629" s="2" t="str">
        <f>_xlfn.XLOOKUP(A629,转单情况!A:A,转单情况!B:B)</f>
        <v>SW</v>
      </c>
      <c r="G629" s="28">
        <f>ROUND(_xlfn.XLOOKUP(A629,全量!A:A,全量!B:B,0)/7,1)</f>
        <v>16.600000000000001</v>
      </c>
      <c r="H629" s="2">
        <f>ROUND(_xlfn.XLOOKUP(A629,AE!A:A,AE!B:B,0)/7,1)</f>
        <v>16.399999999999999</v>
      </c>
      <c r="I629" s="2" t="str">
        <f>_xlfn.XLOOKUP(A629,SWFTX邮编覆盖!A:A,SWFTX邮编覆盖!B:B,"否")</f>
        <v>是</v>
      </c>
      <c r="J629" s="2" t="str">
        <f>_xlfn.XLOOKUP(A629,YW邮编覆盖!A:A,YW邮编覆盖!B:B,"否")</f>
        <v>是</v>
      </c>
    </row>
    <row r="630" spans="1:10" hidden="1">
      <c r="A630" s="3">
        <v>92823</v>
      </c>
      <c r="B630" s="1" t="s">
        <v>47</v>
      </c>
      <c r="C630" s="2" t="str">
        <f>_xlfn.XLOOKUP(B630,线路DSP对应!A:A,线路DSP对应!B:B)</f>
        <v>STA_LAX_ChinaOcean</v>
      </c>
      <c r="D630" s="4" t="s">
        <v>150</v>
      </c>
      <c r="E630" s="2" t="str">
        <f>_xlfn.XLOOKUP(A630,转单情况!A:A,转单情况!B:B)</f>
        <v>SW</v>
      </c>
      <c r="G630" s="28">
        <f>ROUND(_xlfn.XLOOKUP(A630,全量!A:A,全量!B:B,0)/7,1)</f>
        <v>0</v>
      </c>
      <c r="H630" s="2">
        <f>ROUND(_xlfn.XLOOKUP(A630,AE!A:A,AE!B:B,0)/7,1)</f>
        <v>0</v>
      </c>
      <c r="I630" s="2" t="str">
        <f>_xlfn.XLOOKUP(A630,SWFTX邮编覆盖!A:A,SWFTX邮编覆盖!B:B,"否")</f>
        <v>是</v>
      </c>
      <c r="J630" s="2" t="str">
        <f>_xlfn.XLOOKUP(A630,YW邮编覆盖!A:A,YW邮编覆盖!B:B,"否")</f>
        <v>否</v>
      </c>
    </row>
    <row r="631" spans="1:10" hidden="1">
      <c r="A631" s="3">
        <v>92831</v>
      </c>
      <c r="B631" s="1" t="s">
        <v>47</v>
      </c>
      <c r="C631" s="2" t="str">
        <f>_xlfn.XLOOKUP(B631,线路DSP对应!A:A,线路DSP对应!B:B)</f>
        <v>STA_LAX_ChinaOcean</v>
      </c>
      <c r="D631" s="4" t="s">
        <v>150</v>
      </c>
      <c r="E631" s="2" t="str">
        <f>_xlfn.XLOOKUP(A631,转单情况!A:A,转单情况!B:B)</f>
        <v>SW</v>
      </c>
      <c r="G631" s="28">
        <f>ROUND(_xlfn.XLOOKUP(A631,全量!A:A,全量!B:B,0)/7,1)</f>
        <v>0.1</v>
      </c>
      <c r="H631" s="2">
        <f>ROUND(_xlfn.XLOOKUP(A631,AE!A:A,AE!B:B,0)/7,1)</f>
        <v>0</v>
      </c>
      <c r="I631" s="2" t="str">
        <f>_xlfn.XLOOKUP(A631,SWFTX邮编覆盖!A:A,SWFTX邮编覆盖!B:B,"否")</f>
        <v>是</v>
      </c>
      <c r="J631" s="2" t="str">
        <f>_xlfn.XLOOKUP(A631,YW邮编覆盖!A:A,YW邮编覆盖!B:B,"否")</f>
        <v>是</v>
      </c>
    </row>
    <row r="632" spans="1:10" hidden="1">
      <c r="A632" s="3">
        <v>92832</v>
      </c>
      <c r="B632" s="1" t="s">
        <v>47</v>
      </c>
      <c r="C632" s="2" t="str">
        <f>_xlfn.XLOOKUP(B632,线路DSP对应!A:A,线路DSP对应!B:B)</f>
        <v>STA_LAX_ChinaOcean</v>
      </c>
      <c r="D632" s="4" t="s">
        <v>150</v>
      </c>
      <c r="E632" s="2" t="str">
        <f>_xlfn.XLOOKUP(A632,转单情况!A:A,转单情况!B:B)</f>
        <v>SW</v>
      </c>
      <c r="G632" s="28">
        <f>ROUND(_xlfn.XLOOKUP(A632,全量!A:A,全量!B:B,0)/7,1)</f>
        <v>0.3</v>
      </c>
      <c r="H632" s="2">
        <f>ROUND(_xlfn.XLOOKUP(A632,AE!A:A,AE!B:B,0)/7,1)</f>
        <v>0</v>
      </c>
      <c r="I632" s="2" t="str">
        <f>_xlfn.XLOOKUP(A632,SWFTX邮编覆盖!A:A,SWFTX邮编覆盖!B:B,"否")</f>
        <v>是</v>
      </c>
      <c r="J632" s="2" t="str">
        <f>_xlfn.XLOOKUP(A632,YW邮编覆盖!A:A,YW邮编覆盖!B:B,"否")</f>
        <v>是</v>
      </c>
    </row>
    <row r="633" spans="1:10" hidden="1">
      <c r="A633" s="3">
        <v>92833</v>
      </c>
      <c r="B633" s="1" t="s">
        <v>47</v>
      </c>
      <c r="C633" s="2" t="str">
        <f>_xlfn.XLOOKUP(B633,线路DSP对应!A:A,线路DSP对应!B:B)</f>
        <v>STA_LAX_ChinaOcean</v>
      </c>
      <c r="D633" s="4" t="s">
        <v>150</v>
      </c>
      <c r="E633" s="2" t="str">
        <f>_xlfn.XLOOKUP(A633,转单情况!A:A,转单情况!B:B)</f>
        <v>SW</v>
      </c>
      <c r="G633" s="28">
        <f>ROUND(_xlfn.XLOOKUP(A633,全量!A:A,全量!B:B,0)/7,1)</f>
        <v>0.3</v>
      </c>
      <c r="H633" s="2">
        <f>ROUND(_xlfn.XLOOKUP(A633,AE!A:A,AE!B:B,0)/7,1)</f>
        <v>0</v>
      </c>
      <c r="I633" s="2" t="str">
        <f>_xlfn.XLOOKUP(A633,SWFTX邮编覆盖!A:A,SWFTX邮编覆盖!B:B,"否")</f>
        <v>是</v>
      </c>
      <c r="J633" s="2" t="str">
        <f>_xlfn.XLOOKUP(A633,YW邮编覆盖!A:A,YW邮编覆盖!B:B,"否")</f>
        <v>是</v>
      </c>
    </row>
    <row r="634" spans="1:10" hidden="1">
      <c r="A634" s="3">
        <v>92835</v>
      </c>
      <c r="B634" s="1" t="s">
        <v>47</v>
      </c>
      <c r="C634" s="2" t="str">
        <f>_xlfn.XLOOKUP(B634,线路DSP对应!A:A,线路DSP对应!B:B)</f>
        <v>STA_LAX_ChinaOcean</v>
      </c>
      <c r="D634" s="4" t="s">
        <v>150</v>
      </c>
      <c r="E634" s="2" t="str">
        <f>_xlfn.XLOOKUP(A634,转单情况!A:A,转单情况!B:B)</f>
        <v>SW</v>
      </c>
      <c r="G634" s="28">
        <f>ROUND(_xlfn.XLOOKUP(A634,全量!A:A,全量!B:B,0)/7,1)</f>
        <v>0.1</v>
      </c>
      <c r="H634" s="2">
        <f>ROUND(_xlfn.XLOOKUP(A634,AE!A:A,AE!B:B,0)/7,1)</f>
        <v>0</v>
      </c>
      <c r="I634" s="2" t="str">
        <f>_xlfn.XLOOKUP(A634,SWFTX邮编覆盖!A:A,SWFTX邮编覆盖!B:B,"否")</f>
        <v>是</v>
      </c>
      <c r="J634" s="2" t="str">
        <f>_xlfn.XLOOKUP(A634,YW邮编覆盖!A:A,YW邮编覆盖!B:B,"否")</f>
        <v>是</v>
      </c>
    </row>
    <row r="635" spans="1:10" hidden="1">
      <c r="A635" s="3">
        <v>92870</v>
      </c>
      <c r="B635" s="1" t="s">
        <v>47</v>
      </c>
      <c r="C635" s="2" t="str">
        <f>_xlfn.XLOOKUP(B635,线路DSP对应!A:A,线路DSP对应!B:B)</f>
        <v>STA_LAX_ChinaOcean</v>
      </c>
      <c r="D635" s="4" t="s">
        <v>150</v>
      </c>
      <c r="E635" s="2" t="str">
        <f>_xlfn.XLOOKUP(A635,转单情况!A:A,转单情况!B:B)</f>
        <v>SW</v>
      </c>
      <c r="G635" s="28">
        <f>ROUND(_xlfn.XLOOKUP(A635,全量!A:A,全量!B:B,0)/7,1)</f>
        <v>0.6</v>
      </c>
      <c r="H635" s="2">
        <f>ROUND(_xlfn.XLOOKUP(A635,AE!A:A,AE!B:B,0)/7,1)</f>
        <v>0</v>
      </c>
      <c r="I635" s="2" t="str">
        <f>_xlfn.XLOOKUP(A635,SWFTX邮编覆盖!A:A,SWFTX邮编覆盖!B:B,"否")</f>
        <v>是</v>
      </c>
      <c r="J635" s="2" t="str">
        <f>_xlfn.XLOOKUP(A635,YW邮编覆盖!A:A,YW邮编覆盖!B:B,"否")</f>
        <v>是</v>
      </c>
    </row>
    <row r="636" spans="1:10" hidden="1">
      <c r="A636" s="3">
        <v>90630</v>
      </c>
      <c r="B636" s="1" t="s">
        <v>48</v>
      </c>
      <c r="C636" s="2" t="str">
        <f>_xlfn.XLOOKUP(B636,线路DSP对应!A:A,线路DSP对应!B:B)</f>
        <v>STA_LAX_ChinaOcean</v>
      </c>
      <c r="D636" s="4" t="s">
        <v>150</v>
      </c>
      <c r="E636" s="2" t="str">
        <f>_xlfn.XLOOKUP(A636,转单情况!A:A,转单情况!B:B)</f>
        <v>SW</v>
      </c>
      <c r="G636" s="28">
        <f>ROUND(_xlfn.XLOOKUP(A636,全量!A:A,全量!B:B,0)/7,1)</f>
        <v>0.1</v>
      </c>
      <c r="H636" s="2">
        <f>ROUND(_xlfn.XLOOKUP(A636,AE!A:A,AE!B:B,0)/7,1)</f>
        <v>0</v>
      </c>
      <c r="I636" s="2" t="str">
        <f>_xlfn.XLOOKUP(A636,SWFTX邮编覆盖!A:A,SWFTX邮编覆盖!B:B,"否")</f>
        <v>是</v>
      </c>
      <c r="J636" s="2" t="str">
        <f>_xlfn.XLOOKUP(A636,YW邮编覆盖!A:A,YW邮编覆盖!B:B,"否")</f>
        <v>是</v>
      </c>
    </row>
    <row r="637" spans="1:10" hidden="1">
      <c r="A637" s="3">
        <v>90680</v>
      </c>
      <c r="B637" s="1" t="s">
        <v>48</v>
      </c>
      <c r="C637" s="2" t="str">
        <f>_xlfn.XLOOKUP(B637,线路DSP对应!A:A,线路DSP对应!B:B)</f>
        <v>STA_LAX_ChinaOcean</v>
      </c>
      <c r="D637" s="4" t="s">
        <v>150</v>
      </c>
      <c r="E637" s="2" t="str">
        <f>_xlfn.XLOOKUP(A637,转单情况!A:A,转单情况!B:B)</f>
        <v>SW</v>
      </c>
      <c r="G637" s="28">
        <f>ROUND(_xlfn.XLOOKUP(A637,全量!A:A,全量!B:B,0)/7,1)</f>
        <v>0.4</v>
      </c>
      <c r="H637" s="2">
        <f>ROUND(_xlfn.XLOOKUP(A637,AE!A:A,AE!B:B,0)/7,1)</f>
        <v>0.1</v>
      </c>
      <c r="I637" s="2" t="str">
        <f>_xlfn.XLOOKUP(A637,SWFTX邮编覆盖!A:A,SWFTX邮编覆盖!B:B,"否")</f>
        <v>是</v>
      </c>
      <c r="J637" s="2" t="str">
        <f>_xlfn.XLOOKUP(A637,YW邮编覆盖!A:A,YW邮编覆盖!B:B,"否")</f>
        <v>是</v>
      </c>
    </row>
    <row r="638" spans="1:10" hidden="1">
      <c r="A638" s="3">
        <v>92845</v>
      </c>
      <c r="B638" s="1" t="s">
        <v>48</v>
      </c>
      <c r="C638" s="2" t="str">
        <f>_xlfn.XLOOKUP(B638,线路DSP对应!A:A,线路DSP对应!B:B)</f>
        <v>STA_LAX_ChinaOcean</v>
      </c>
      <c r="D638" s="4" t="s">
        <v>150</v>
      </c>
      <c r="E638" s="2" t="str">
        <f>_xlfn.XLOOKUP(A638,转单情况!A:A,转单情况!B:B)</f>
        <v>SW</v>
      </c>
      <c r="G638" s="28">
        <f>ROUND(_xlfn.XLOOKUP(A638,全量!A:A,全量!B:B,0)/7,1)</f>
        <v>0</v>
      </c>
      <c r="H638" s="2">
        <f>ROUND(_xlfn.XLOOKUP(A638,AE!A:A,AE!B:B,0)/7,1)</f>
        <v>0</v>
      </c>
      <c r="I638" s="2" t="str">
        <f>_xlfn.XLOOKUP(A638,SWFTX邮编覆盖!A:A,SWFTX邮编覆盖!B:B,"否")</f>
        <v>是</v>
      </c>
      <c r="J638" s="2" t="str">
        <f>_xlfn.XLOOKUP(A638,YW邮编覆盖!A:A,YW邮编覆盖!B:B,"否")</f>
        <v>是</v>
      </c>
    </row>
    <row r="639" spans="1:10" hidden="1">
      <c r="A639" s="3">
        <v>92841</v>
      </c>
      <c r="B639" s="1" t="s">
        <v>48</v>
      </c>
      <c r="C639" s="2" t="str">
        <f>_xlfn.XLOOKUP(B639,线路DSP对应!A:A,线路DSP对应!B:B)</f>
        <v>STA_LAX_ChinaOcean</v>
      </c>
      <c r="D639" s="4" t="s">
        <v>150</v>
      </c>
      <c r="E639" s="2" t="str">
        <f>_xlfn.XLOOKUP(A639,转单情况!A:A,转单情况!B:B)</f>
        <v>SW</v>
      </c>
      <c r="G639" s="28">
        <f>ROUND(_xlfn.XLOOKUP(A639,全量!A:A,全量!B:B,0)/7,1)</f>
        <v>0.3</v>
      </c>
      <c r="H639" s="2">
        <f>ROUND(_xlfn.XLOOKUP(A639,AE!A:A,AE!B:B,0)/7,1)</f>
        <v>0</v>
      </c>
      <c r="I639" s="2" t="str">
        <f>_xlfn.XLOOKUP(A639,SWFTX邮编覆盖!A:A,SWFTX邮编覆盖!B:B,"否")</f>
        <v>是</v>
      </c>
      <c r="J639" s="2" t="str">
        <f>_xlfn.XLOOKUP(A639,YW邮编覆盖!A:A,YW邮编覆盖!B:B,"否")</f>
        <v>是</v>
      </c>
    </row>
    <row r="640" spans="1:10" hidden="1">
      <c r="A640" s="3">
        <v>90720</v>
      </c>
      <c r="B640" s="1" t="s">
        <v>48</v>
      </c>
      <c r="C640" s="2" t="str">
        <f>_xlfn.XLOOKUP(B640,线路DSP对应!A:A,线路DSP对应!B:B)</f>
        <v>STA_LAX_ChinaOcean</v>
      </c>
      <c r="D640" s="4" t="s">
        <v>150</v>
      </c>
      <c r="E640" s="2" t="str">
        <f>_xlfn.XLOOKUP(A640,转单情况!A:A,转单情况!B:B)</f>
        <v>SW</v>
      </c>
      <c r="G640" s="28">
        <f>ROUND(_xlfn.XLOOKUP(A640,全量!A:A,全量!B:B,0)/7,1)</f>
        <v>0.6</v>
      </c>
      <c r="H640" s="2">
        <f>ROUND(_xlfn.XLOOKUP(A640,AE!A:A,AE!B:B,0)/7,1)</f>
        <v>0</v>
      </c>
      <c r="I640" s="2" t="str">
        <f>_xlfn.XLOOKUP(A640,SWFTX邮编覆盖!A:A,SWFTX邮编覆盖!B:B,"否")</f>
        <v>是</v>
      </c>
      <c r="J640" s="2" t="str">
        <f>_xlfn.XLOOKUP(A640,YW邮编覆盖!A:A,YW邮编覆盖!B:B,"否")</f>
        <v>是</v>
      </c>
    </row>
    <row r="641" spans="1:10" hidden="1">
      <c r="A641" s="3">
        <v>92886</v>
      </c>
      <c r="B641" s="1" t="s">
        <v>49</v>
      </c>
      <c r="C641" s="2" t="str">
        <f>_xlfn.XLOOKUP(B641,线路DSP对应!A:A,线路DSP对应!B:B)</f>
        <v>STA_LAX_ChinaOcean</v>
      </c>
      <c r="D641" s="4" t="s">
        <v>150</v>
      </c>
      <c r="E641" s="2" t="str">
        <f>_xlfn.XLOOKUP(A641,转单情况!A:A,转单情况!B:B)</f>
        <v>SW</v>
      </c>
      <c r="G641" s="28">
        <f>ROUND(_xlfn.XLOOKUP(A641,全量!A:A,全量!B:B,0)/7,1)</f>
        <v>0.1</v>
      </c>
      <c r="H641" s="2">
        <f>ROUND(_xlfn.XLOOKUP(A641,AE!A:A,AE!B:B,0)/7,1)</f>
        <v>0</v>
      </c>
      <c r="I641" s="2" t="str">
        <f>_xlfn.XLOOKUP(A641,SWFTX邮编覆盖!A:A,SWFTX邮编覆盖!B:B,"否")</f>
        <v>是</v>
      </c>
      <c r="J641" s="2" t="str">
        <f>_xlfn.XLOOKUP(A641,YW邮编覆盖!A:A,YW邮编覆盖!B:B,"否")</f>
        <v>是</v>
      </c>
    </row>
    <row r="642" spans="1:10" hidden="1">
      <c r="A642" s="3">
        <v>92887</v>
      </c>
      <c r="B642" s="1" t="s">
        <v>49</v>
      </c>
      <c r="C642" s="2" t="str">
        <f>_xlfn.XLOOKUP(B642,线路DSP对应!A:A,线路DSP对应!B:B)</f>
        <v>STA_LAX_ChinaOcean</v>
      </c>
      <c r="D642" s="4" t="s">
        <v>150</v>
      </c>
      <c r="E642" s="2" t="str">
        <f>_xlfn.XLOOKUP(A642,转单情况!A:A,转单情况!B:B)</f>
        <v>SW</v>
      </c>
      <c r="G642" s="28">
        <f>ROUND(_xlfn.XLOOKUP(A642,全量!A:A,全量!B:B,0)/7,1)</f>
        <v>0.1</v>
      </c>
      <c r="H642" s="2">
        <f>ROUND(_xlfn.XLOOKUP(A642,AE!A:A,AE!B:B,0)/7,1)</f>
        <v>0</v>
      </c>
      <c r="I642" s="2" t="str">
        <f>_xlfn.XLOOKUP(A642,SWFTX邮编覆盖!A:A,SWFTX邮编覆盖!B:B,"否")</f>
        <v>是</v>
      </c>
      <c r="J642" s="2" t="str">
        <f>_xlfn.XLOOKUP(A642,YW邮编覆盖!A:A,YW邮编覆盖!B:B,"否")</f>
        <v>是</v>
      </c>
    </row>
    <row r="643" spans="1:10" hidden="1">
      <c r="A643" s="3">
        <v>92807</v>
      </c>
      <c r="B643" s="1" t="s">
        <v>49</v>
      </c>
      <c r="C643" s="2" t="str">
        <f>_xlfn.XLOOKUP(B643,线路DSP对应!A:A,线路DSP对应!B:B)</f>
        <v>STA_LAX_ChinaOcean</v>
      </c>
      <c r="D643" s="4" t="s">
        <v>150</v>
      </c>
      <c r="E643" s="2" t="str">
        <f>_xlfn.XLOOKUP(A643,转单情况!A:A,转单情况!B:B)</f>
        <v>SW</v>
      </c>
      <c r="G643" s="28">
        <f>ROUND(_xlfn.XLOOKUP(A643,全量!A:A,全量!B:B,0)/7,1)</f>
        <v>10.1</v>
      </c>
      <c r="H643" s="2">
        <f>ROUND(_xlfn.XLOOKUP(A643,AE!A:A,AE!B:B,0)/7,1)</f>
        <v>9.4</v>
      </c>
      <c r="I643" s="2" t="str">
        <f>_xlfn.XLOOKUP(A643,SWFTX邮编覆盖!A:A,SWFTX邮编覆盖!B:B,"否")</f>
        <v>是</v>
      </c>
      <c r="J643" s="2" t="str">
        <f>_xlfn.XLOOKUP(A643,YW邮编覆盖!A:A,YW邮编覆盖!B:B,"否")</f>
        <v>是</v>
      </c>
    </row>
    <row r="644" spans="1:10" hidden="1">
      <c r="A644" s="3">
        <v>92808</v>
      </c>
      <c r="B644" s="1" t="s">
        <v>49</v>
      </c>
      <c r="C644" s="2" t="str">
        <f>_xlfn.XLOOKUP(B644,线路DSP对应!A:A,线路DSP对应!B:B)</f>
        <v>STA_LAX_ChinaOcean</v>
      </c>
      <c r="D644" s="4" t="s">
        <v>150</v>
      </c>
      <c r="E644" s="2" t="str">
        <f>_xlfn.XLOOKUP(A644,转单情况!A:A,转单情况!B:B)</f>
        <v>SW</v>
      </c>
      <c r="G644" s="28">
        <f>ROUND(_xlfn.XLOOKUP(A644,全量!A:A,全量!B:B,0)/7,1)</f>
        <v>0</v>
      </c>
      <c r="H644" s="2">
        <f>ROUND(_xlfn.XLOOKUP(A644,AE!A:A,AE!B:B,0)/7,1)</f>
        <v>0</v>
      </c>
      <c r="I644" s="2" t="str">
        <f>_xlfn.XLOOKUP(A644,SWFTX邮编覆盖!A:A,SWFTX邮编覆盖!B:B,"否")</f>
        <v>是</v>
      </c>
      <c r="J644" s="2" t="str">
        <f>_xlfn.XLOOKUP(A644,YW邮编覆盖!A:A,YW邮编覆盖!B:B,"否")</f>
        <v>是</v>
      </c>
    </row>
    <row r="645" spans="1:10" hidden="1">
      <c r="A645" s="3">
        <v>92861</v>
      </c>
      <c r="B645" s="1" t="s">
        <v>49</v>
      </c>
      <c r="C645" s="2" t="str">
        <f>_xlfn.XLOOKUP(B645,线路DSP对应!A:A,线路DSP对应!B:B)</f>
        <v>STA_LAX_ChinaOcean</v>
      </c>
      <c r="D645" s="4" t="s">
        <v>150</v>
      </c>
      <c r="E645" s="2" t="str">
        <f>_xlfn.XLOOKUP(A645,转单情况!A:A,转单情况!B:B)</f>
        <v>SW</v>
      </c>
      <c r="G645" s="28">
        <f>ROUND(_xlfn.XLOOKUP(A645,全量!A:A,全量!B:B,0)/7,1)</f>
        <v>0.1</v>
      </c>
      <c r="H645" s="2">
        <f>ROUND(_xlfn.XLOOKUP(A645,AE!A:A,AE!B:B,0)/7,1)</f>
        <v>0</v>
      </c>
      <c r="I645" s="2" t="str">
        <f>_xlfn.XLOOKUP(A645,SWFTX邮编覆盖!A:A,SWFTX邮编覆盖!B:B,"否")</f>
        <v>是</v>
      </c>
      <c r="J645" s="2" t="str">
        <f>_xlfn.XLOOKUP(A645,YW邮编覆盖!A:A,YW邮编覆盖!B:B,"否")</f>
        <v>是</v>
      </c>
    </row>
    <row r="646" spans="1:10" hidden="1">
      <c r="A646" s="3">
        <v>92867</v>
      </c>
      <c r="B646" s="1" t="s">
        <v>49</v>
      </c>
      <c r="C646" s="2" t="str">
        <f>_xlfn.XLOOKUP(B646,线路DSP对应!A:A,线路DSP对应!B:B)</f>
        <v>STA_LAX_ChinaOcean</v>
      </c>
      <c r="D646" s="4" t="s">
        <v>150</v>
      </c>
      <c r="E646" s="2" t="str">
        <f>_xlfn.XLOOKUP(A646,转单情况!A:A,转单情况!B:B)</f>
        <v>SW</v>
      </c>
      <c r="G646" s="28">
        <f>ROUND(_xlfn.XLOOKUP(A646,全量!A:A,全量!B:B,0)/7,1)</f>
        <v>0.3</v>
      </c>
      <c r="H646" s="2">
        <f>ROUND(_xlfn.XLOOKUP(A646,AE!A:A,AE!B:B,0)/7,1)</f>
        <v>0</v>
      </c>
      <c r="I646" s="2" t="str">
        <f>_xlfn.XLOOKUP(A646,SWFTX邮编覆盖!A:A,SWFTX邮编覆盖!B:B,"否")</f>
        <v>是</v>
      </c>
      <c r="J646" s="2" t="str">
        <f>_xlfn.XLOOKUP(A646,YW邮编覆盖!A:A,YW邮编覆盖!B:B,"否")</f>
        <v>是</v>
      </c>
    </row>
    <row r="647" spans="1:10" hidden="1">
      <c r="A647" s="3">
        <v>92840</v>
      </c>
      <c r="B647" s="1" t="s">
        <v>50</v>
      </c>
      <c r="C647" s="2" t="str">
        <f>_xlfn.XLOOKUP(B647,线路DSP对应!A:A,线路DSP对应!B:B)</f>
        <v>STA_LAX_ChinaOcean</v>
      </c>
      <c r="D647" s="4" t="s">
        <v>150</v>
      </c>
      <c r="E647" s="2" t="str">
        <f>_xlfn.XLOOKUP(A647,转单情况!A:A,转单情况!B:B)</f>
        <v>SW</v>
      </c>
      <c r="G647" s="28">
        <f>ROUND(_xlfn.XLOOKUP(A647,全量!A:A,全量!B:B,0)/7,1)</f>
        <v>0.3</v>
      </c>
      <c r="H647" s="2">
        <f>ROUND(_xlfn.XLOOKUP(A647,AE!A:A,AE!B:B,0)/7,1)</f>
        <v>0</v>
      </c>
      <c r="I647" s="2" t="str">
        <f>_xlfn.XLOOKUP(A647,SWFTX邮编覆盖!A:A,SWFTX邮编覆盖!B:B,"否")</f>
        <v>是</v>
      </c>
      <c r="J647" s="2" t="str">
        <f>_xlfn.XLOOKUP(A647,YW邮编覆盖!A:A,YW邮编覆盖!B:B,"否")</f>
        <v>是</v>
      </c>
    </row>
    <row r="648" spans="1:10" hidden="1">
      <c r="A648" s="3">
        <v>92802</v>
      </c>
      <c r="B648" s="1" t="s">
        <v>50</v>
      </c>
      <c r="C648" s="2" t="str">
        <f>_xlfn.XLOOKUP(B648,线路DSP对应!A:A,线路DSP对应!B:B)</f>
        <v>STA_LAX_ChinaOcean</v>
      </c>
      <c r="D648" s="4" t="s">
        <v>150</v>
      </c>
      <c r="E648" s="2" t="str">
        <f>_xlfn.XLOOKUP(A648,转单情况!A:A,转单情况!B:B)</f>
        <v>SW</v>
      </c>
      <c r="G648" s="28">
        <f>ROUND(_xlfn.XLOOKUP(A648,全量!A:A,全量!B:B,0)/7,1)</f>
        <v>0</v>
      </c>
      <c r="H648" s="2">
        <f>ROUND(_xlfn.XLOOKUP(A648,AE!A:A,AE!B:B,0)/7,1)</f>
        <v>0</v>
      </c>
      <c r="I648" s="2" t="str">
        <f>_xlfn.XLOOKUP(A648,SWFTX邮编覆盖!A:A,SWFTX邮编覆盖!B:B,"否")</f>
        <v>是</v>
      </c>
      <c r="J648" s="2" t="str">
        <f>_xlfn.XLOOKUP(A648,YW邮编覆盖!A:A,YW邮编覆盖!B:B,"否")</f>
        <v>是</v>
      </c>
    </row>
    <row r="649" spans="1:10" hidden="1">
      <c r="A649" s="3">
        <v>92804</v>
      </c>
      <c r="B649" s="1" t="s">
        <v>50</v>
      </c>
      <c r="C649" s="2" t="str">
        <f>_xlfn.XLOOKUP(B649,线路DSP对应!A:A,线路DSP对应!B:B)</f>
        <v>STA_LAX_ChinaOcean</v>
      </c>
      <c r="D649" s="4" t="s">
        <v>150</v>
      </c>
      <c r="E649" s="2" t="str">
        <f>_xlfn.XLOOKUP(A649,转单情况!A:A,转单情况!B:B)</f>
        <v>SW</v>
      </c>
      <c r="G649" s="28">
        <f>ROUND(_xlfn.XLOOKUP(A649,全量!A:A,全量!B:B,0)/7,1)</f>
        <v>0.3</v>
      </c>
      <c r="H649" s="2">
        <f>ROUND(_xlfn.XLOOKUP(A649,AE!A:A,AE!B:B,0)/7,1)</f>
        <v>0</v>
      </c>
      <c r="I649" s="2" t="str">
        <f>_xlfn.XLOOKUP(A649,SWFTX邮编覆盖!A:A,SWFTX邮编覆盖!B:B,"否")</f>
        <v>是</v>
      </c>
      <c r="J649" s="2" t="str">
        <f>_xlfn.XLOOKUP(A649,YW邮编覆盖!A:A,YW邮编覆盖!B:B,"否")</f>
        <v>是</v>
      </c>
    </row>
    <row r="650" spans="1:10" hidden="1">
      <c r="A650" s="3">
        <v>92801</v>
      </c>
      <c r="B650" s="1" t="s">
        <v>50</v>
      </c>
      <c r="C650" s="2" t="str">
        <f>_xlfn.XLOOKUP(B650,线路DSP对应!A:A,线路DSP对应!B:B)</f>
        <v>STA_LAX_ChinaOcean</v>
      </c>
      <c r="D650" s="4" t="s">
        <v>150</v>
      </c>
      <c r="E650" s="2" t="str">
        <f>_xlfn.XLOOKUP(A650,转单情况!A:A,转单情况!B:B)</f>
        <v>SW</v>
      </c>
      <c r="G650" s="28">
        <f>ROUND(_xlfn.XLOOKUP(A650,全量!A:A,全量!B:B,0)/7,1)</f>
        <v>0.6</v>
      </c>
      <c r="H650" s="2">
        <f>ROUND(_xlfn.XLOOKUP(A650,AE!A:A,AE!B:B,0)/7,1)</f>
        <v>0</v>
      </c>
      <c r="I650" s="2" t="str">
        <f>_xlfn.XLOOKUP(A650,SWFTX邮编覆盖!A:A,SWFTX邮编覆盖!B:B,"否")</f>
        <v>是</v>
      </c>
      <c r="J650" s="2" t="str">
        <f>_xlfn.XLOOKUP(A650,YW邮编覆盖!A:A,YW邮编覆盖!B:B,"否")</f>
        <v>是</v>
      </c>
    </row>
    <row r="651" spans="1:10" hidden="1">
      <c r="A651" s="3">
        <v>92677</v>
      </c>
      <c r="B651" s="1" t="s">
        <v>51</v>
      </c>
      <c r="C651" s="2" t="str">
        <f>_xlfn.XLOOKUP(B651,线路DSP对应!A:A,线路DSP对应!B:B)</f>
        <v>STA_LAX_YXY</v>
      </c>
      <c r="D651" s="4" t="s">
        <v>150</v>
      </c>
      <c r="E651" s="2" t="str">
        <f>_xlfn.XLOOKUP(A651,转单情况!A:A,转单情况!B:B)</f>
        <v>SW</v>
      </c>
      <c r="G651" s="28">
        <f>ROUND(_xlfn.XLOOKUP(A651,全量!A:A,全量!B:B,0)/7,1)</f>
        <v>0.9</v>
      </c>
      <c r="H651" s="2">
        <f>ROUND(_xlfn.XLOOKUP(A651,AE!A:A,AE!B:B,0)/7,1)</f>
        <v>0</v>
      </c>
      <c r="I651" s="2" t="str">
        <f>_xlfn.XLOOKUP(A651,SWFTX邮编覆盖!A:A,SWFTX邮编覆盖!B:B,"否")</f>
        <v>是</v>
      </c>
      <c r="J651" s="2" t="str">
        <f>_xlfn.XLOOKUP(A651,YW邮编覆盖!A:A,YW邮编覆盖!B:B,"否")</f>
        <v>是</v>
      </c>
    </row>
    <row r="652" spans="1:10" hidden="1">
      <c r="A652" s="3">
        <v>92672</v>
      </c>
      <c r="B652" s="1" t="s">
        <v>51</v>
      </c>
      <c r="C652" s="2" t="str">
        <f>_xlfn.XLOOKUP(B652,线路DSP对应!A:A,线路DSP对应!B:B)</f>
        <v>STA_LAX_YXY</v>
      </c>
      <c r="D652" s="4" t="s">
        <v>150</v>
      </c>
      <c r="E652" s="2" t="str">
        <f>_xlfn.XLOOKUP(A652,转单情况!A:A,转单情况!B:B)</f>
        <v>否</v>
      </c>
      <c r="G652" s="28">
        <f>ROUND(_xlfn.XLOOKUP(A652,全量!A:A,全量!B:B,0)/7,1)</f>
        <v>10.7</v>
      </c>
      <c r="H652" s="2">
        <f>ROUND(_xlfn.XLOOKUP(A652,AE!A:A,AE!B:B,0)/7,1)</f>
        <v>0.6</v>
      </c>
      <c r="I652" s="2" t="str">
        <f>_xlfn.XLOOKUP(A652,SWFTX邮编覆盖!A:A,SWFTX邮编覆盖!B:B,"否")</f>
        <v>否</v>
      </c>
      <c r="J652" s="2" t="str">
        <f>_xlfn.XLOOKUP(A652,YW邮编覆盖!A:A,YW邮编覆盖!B:B,"否")</f>
        <v>否</v>
      </c>
    </row>
    <row r="653" spans="1:10" hidden="1">
      <c r="A653" s="3">
        <v>92688</v>
      </c>
      <c r="B653" s="1" t="s">
        <v>51</v>
      </c>
      <c r="C653" s="2" t="str">
        <f>_xlfn.XLOOKUP(B653,线路DSP对应!A:A,线路DSP对应!B:B)</f>
        <v>STA_LAX_YXY</v>
      </c>
      <c r="D653" s="4" t="s">
        <v>150</v>
      </c>
      <c r="E653" s="2" t="str">
        <f>_xlfn.XLOOKUP(A653,转单情况!A:A,转单情况!B:B)</f>
        <v>SW</v>
      </c>
      <c r="G653" s="28">
        <f>ROUND(_xlfn.XLOOKUP(A653,全量!A:A,全量!B:B,0)/7,1)</f>
        <v>0.1</v>
      </c>
      <c r="H653" s="2">
        <f>ROUND(_xlfn.XLOOKUP(A653,AE!A:A,AE!B:B,0)/7,1)</f>
        <v>0</v>
      </c>
      <c r="I653" s="2" t="str">
        <f>_xlfn.XLOOKUP(A653,SWFTX邮编覆盖!A:A,SWFTX邮编覆盖!B:B,"否")</f>
        <v>是</v>
      </c>
      <c r="J653" s="2" t="str">
        <f>_xlfn.XLOOKUP(A653,YW邮编覆盖!A:A,YW邮编覆盖!B:B,"否")</f>
        <v>是</v>
      </c>
    </row>
    <row r="654" spans="1:10" hidden="1">
      <c r="A654" s="3">
        <v>92694</v>
      </c>
      <c r="B654" s="1" t="s">
        <v>51</v>
      </c>
      <c r="C654" s="2" t="str">
        <f>_xlfn.XLOOKUP(B654,线路DSP对应!A:A,线路DSP对应!B:B)</f>
        <v>STA_LAX_YXY</v>
      </c>
      <c r="D654" s="4" t="s">
        <v>150</v>
      </c>
      <c r="E654" s="2" t="str">
        <f>_xlfn.XLOOKUP(A654,转单情况!A:A,转单情况!B:B)</f>
        <v>SW</v>
      </c>
      <c r="G654" s="28">
        <f>ROUND(_xlfn.XLOOKUP(A654,全量!A:A,全量!B:B,0)/7,1)</f>
        <v>2.1</v>
      </c>
      <c r="H654" s="2">
        <f>ROUND(_xlfn.XLOOKUP(A654,AE!A:A,AE!B:B,0)/7,1)</f>
        <v>0</v>
      </c>
      <c r="I654" s="2" t="str">
        <f>_xlfn.XLOOKUP(A654,SWFTX邮编覆盖!A:A,SWFTX邮编覆盖!B:B,"否")</f>
        <v>是</v>
      </c>
      <c r="J654" s="2" t="str">
        <f>_xlfn.XLOOKUP(A654,YW邮编覆盖!A:A,YW邮编覆盖!B:B,"否")</f>
        <v>是</v>
      </c>
    </row>
    <row r="655" spans="1:10" hidden="1">
      <c r="A655" s="3">
        <v>92675</v>
      </c>
      <c r="B655" s="1" t="s">
        <v>51</v>
      </c>
      <c r="C655" s="2" t="str">
        <f>_xlfn.XLOOKUP(B655,线路DSP对应!A:A,线路DSP对应!B:B)</f>
        <v>STA_LAX_YXY</v>
      </c>
      <c r="D655" s="4" t="s">
        <v>150</v>
      </c>
      <c r="E655" s="2" t="str">
        <f>_xlfn.XLOOKUP(A655,转单情况!A:A,转单情况!B:B)</f>
        <v>否</v>
      </c>
      <c r="G655" s="28">
        <f>ROUND(_xlfn.XLOOKUP(A655,全量!A:A,全量!B:B,0)/7,1)</f>
        <v>4.0999999999999996</v>
      </c>
      <c r="H655" s="2">
        <f>ROUND(_xlfn.XLOOKUP(A655,AE!A:A,AE!B:B,0)/7,1)</f>
        <v>0</v>
      </c>
      <c r="I655" s="2" t="str">
        <f>_xlfn.XLOOKUP(A655,SWFTX邮编覆盖!A:A,SWFTX邮编覆盖!B:B,"否")</f>
        <v>否</v>
      </c>
      <c r="J655" s="2" t="str">
        <f>_xlfn.XLOOKUP(A655,YW邮编覆盖!A:A,YW邮编覆盖!B:B,"否")</f>
        <v>否</v>
      </c>
    </row>
    <row r="656" spans="1:10">
      <c r="A656" s="3">
        <v>92629</v>
      </c>
      <c r="B656" s="1" t="s">
        <v>51</v>
      </c>
      <c r="C656" s="2" t="str">
        <f>_xlfn.XLOOKUP(B656,线路DSP对应!A:A,线路DSP对应!B:B)</f>
        <v>STA_LAX_YXY</v>
      </c>
      <c r="D656" s="4" t="s">
        <v>150</v>
      </c>
      <c r="E656" s="2" t="str">
        <f>_xlfn.XLOOKUP(A656,转单情况!A:A,转单情况!B:B)</f>
        <v>YW</v>
      </c>
      <c r="G656" s="28">
        <f>ROUND(_xlfn.XLOOKUP(A656,全量!A:A,全量!B:B,0)/7,1)</f>
        <v>1.1000000000000001</v>
      </c>
      <c r="H656" s="2">
        <f>ROUND(_xlfn.XLOOKUP(A656,AE!A:A,AE!B:B,0)/7,1)</f>
        <v>0</v>
      </c>
      <c r="I656" s="2" t="str">
        <f>_xlfn.XLOOKUP(A656,SWFTX邮编覆盖!A:A,SWFTX邮编覆盖!B:B,"否")</f>
        <v>否</v>
      </c>
      <c r="J656" s="2" t="str">
        <f>_xlfn.XLOOKUP(A656,YW邮编覆盖!A:A,YW邮编覆盖!B:B,"否")</f>
        <v>是</v>
      </c>
    </row>
    <row r="657" spans="1:10" hidden="1">
      <c r="A657" s="3">
        <v>92673</v>
      </c>
      <c r="B657" s="1" t="s">
        <v>51</v>
      </c>
      <c r="C657" s="2" t="str">
        <f>_xlfn.XLOOKUP(B657,线路DSP对应!A:A,线路DSP对应!B:B)</f>
        <v>STA_LAX_YXY</v>
      </c>
      <c r="D657" s="4" t="s">
        <v>150</v>
      </c>
      <c r="E657" s="2" t="str">
        <f>_xlfn.XLOOKUP(A657,转单情况!A:A,转单情况!B:B)</f>
        <v>否</v>
      </c>
      <c r="G657" s="28">
        <f>ROUND(_xlfn.XLOOKUP(A657,全量!A:A,全量!B:B,0)/7,1)</f>
        <v>1.7</v>
      </c>
      <c r="H657" s="2">
        <f>ROUND(_xlfn.XLOOKUP(A657,AE!A:A,AE!B:B,0)/7,1)</f>
        <v>0</v>
      </c>
      <c r="I657" s="2" t="str">
        <f>_xlfn.XLOOKUP(A657,SWFTX邮编覆盖!A:A,SWFTX邮编覆盖!B:B,"否")</f>
        <v>否</v>
      </c>
      <c r="J657" s="2" t="str">
        <f>_xlfn.XLOOKUP(A657,YW邮编覆盖!A:A,YW邮编覆盖!B:B,"否")</f>
        <v>否</v>
      </c>
    </row>
    <row r="658" spans="1:10" hidden="1">
      <c r="A658" s="3">
        <v>92624</v>
      </c>
      <c r="B658" s="1" t="s">
        <v>51</v>
      </c>
      <c r="C658" s="2" t="str">
        <f>_xlfn.XLOOKUP(B658,线路DSP对应!A:A,线路DSP对应!B:B)</f>
        <v>STA_LAX_YXY</v>
      </c>
      <c r="D658" s="4" t="s">
        <v>150</v>
      </c>
      <c r="E658" s="2" t="str">
        <f>_xlfn.XLOOKUP(A658,转单情况!A:A,转单情况!B:B)</f>
        <v>否</v>
      </c>
      <c r="G658" s="28">
        <f>ROUND(_xlfn.XLOOKUP(A658,全量!A:A,全量!B:B,0)/7,1)</f>
        <v>0</v>
      </c>
      <c r="H658" s="2">
        <f>ROUND(_xlfn.XLOOKUP(A658,AE!A:A,AE!B:B,0)/7,1)</f>
        <v>0</v>
      </c>
      <c r="I658" s="2" t="str">
        <f>_xlfn.XLOOKUP(A658,SWFTX邮编覆盖!A:A,SWFTX邮编覆盖!B:B,"否")</f>
        <v>否</v>
      </c>
      <c r="J658" s="2" t="str">
        <f>_xlfn.XLOOKUP(A658,YW邮编覆盖!A:A,YW邮编覆盖!B:B,"否")</f>
        <v>否</v>
      </c>
    </row>
    <row r="659" spans="1:10" hidden="1">
      <c r="A659" s="3">
        <v>92679</v>
      </c>
      <c r="B659" s="1" t="s">
        <v>51</v>
      </c>
      <c r="C659" s="2" t="str">
        <f>_xlfn.XLOOKUP(B659,线路DSP对应!A:A,线路DSP对应!B:B)</f>
        <v>STA_LAX_YXY</v>
      </c>
      <c r="D659" s="4" t="s">
        <v>150</v>
      </c>
      <c r="E659" s="2" t="str">
        <f>_xlfn.XLOOKUP(A659,转单情况!A:A,转单情况!B:B)</f>
        <v>否</v>
      </c>
      <c r="G659" s="28">
        <f>ROUND(_xlfn.XLOOKUP(A659,全量!A:A,全量!B:B,0)/7,1)</f>
        <v>0.6</v>
      </c>
      <c r="H659" s="2">
        <f>ROUND(_xlfn.XLOOKUP(A659,AE!A:A,AE!B:B,0)/7,1)</f>
        <v>0</v>
      </c>
      <c r="I659" s="2" t="str">
        <f>_xlfn.XLOOKUP(A659,SWFTX邮编覆盖!A:A,SWFTX邮编覆盖!B:B,"否")</f>
        <v>否</v>
      </c>
      <c r="J659" s="2" t="str">
        <f>_xlfn.XLOOKUP(A659,YW邮编覆盖!A:A,YW邮编覆盖!B:B,"否")</f>
        <v>否</v>
      </c>
    </row>
    <row r="660" spans="1:10" hidden="1">
      <c r="A660" s="3">
        <v>92676</v>
      </c>
      <c r="B660" s="1" t="s">
        <v>51</v>
      </c>
      <c r="C660" s="2" t="str">
        <f>_xlfn.XLOOKUP(B660,线路DSP对应!A:A,线路DSP对应!B:B)</f>
        <v>STA_LAX_YXY</v>
      </c>
      <c r="D660" s="4" t="s">
        <v>150</v>
      </c>
      <c r="E660" s="2" t="str">
        <f>_xlfn.XLOOKUP(A660,转单情况!A:A,转单情况!B:B)</f>
        <v>否</v>
      </c>
      <c r="G660" s="28">
        <f>ROUND(_xlfn.XLOOKUP(A660,全量!A:A,全量!B:B,0)/7,1)</f>
        <v>1</v>
      </c>
      <c r="H660" s="2">
        <f>ROUND(_xlfn.XLOOKUP(A660,AE!A:A,AE!B:B,0)/7,1)</f>
        <v>0.9</v>
      </c>
      <c r="I660" s="2" t="str">
        <f>_xlfn.XLOOKUP(A660,SWFTX邮编覆盖!A:A,SWFTX邮编覆盖!B:B,"否")</f>
        <v>否</v>
      </c>
      <c r="J660" s="2" t="str">
        <f>_xlfn.XLOOKUP(A660,YW邮编覆盖!A:A,YW邮编覆盖!B:B,"否")</f>
        <v>否</v>
      </c>
    </row>
    <row r="661" spans="1:10" hidden="1">
      <c r="A661" s="3">
        <v>92678</v>
      </c>
      <c r="B661" s="1" t="s">
        <v>51</v>
      </c>
      <c r="C661" s="2" t="str">
        <f>_xlfn.XLOOKUP(B661,线路DSP对应!A:A,线路DSP对应!B:B)</f>
        <v>STA_LAX_YXY</v>
      </c>
      <c r="D661" s="4" t="s">
        <v>150</v>
      </c>
      <c r="E661" s="2" t="str">
        <f>_xlfn.XLOOKUP(A661,转单情况!A:A,转单情况!B:B)</f>
        <v>否</v>
      </c>
      <c r="G661" s="28">
        <f>ROUND(_xlfn.XLOOKUP(A661,全量!A:A,全量!B:B,0)/7,1)</f>
        <v>0</v>
      </c>
      <c r="H661" s="2">
        <f>ROUND(_xlfn.XLOOKUP(A661,AE!A:A,AE!B:B,0)/7,1)</f>
        <v>0</v>
      </c>
      <c r="I661" s="2" t="str">
        <f>_xlfn.XLOOKUP(A661,SWFTX邮编覆盖!A:A,SWFTX邮编覆盖!B:B,"否")</f>
        <v>否</v>
      </c>
      <c r="J661" s="2" t="str">
        <f>_xlfn.XLOOKUP(A661,YW邮编覆盖!A:A,YW邮编覆盖!B:B,"否")</f>
        <v>否</v>
      </c>
    </row>
    <row r="662" spans="1:10" hidden="1">
      <c r="A662" s="3">
        <v>92704</v>
      </c>
      <c r="B662" s="1" t="s">
        <v>52</v>
      </c>
      <c r="C662" s="2" t="str">
        <f>_xlfn.XLOOKUP(B662,线路DSP对应!A:A,线路DSP对应!B:B)</f>
        <v>STA_LAX_ChinaOcean</v>
      </c>
      <c r="D662" s="4" t="s">
        <v>150</v>
      </c>
      <c r="E662" s="2" t="str">
        <f>_xlfn.XLOOKUP(A662,转单情况!A:A,转单情况!B:B)</f>
        <v>SW</v>
      </c>
      <c r="F662" s="29"/>
      <c r="G662" s="28">
        <f>ROUND(_xlfn.XLOOKUP(A662,全量!A:A,全量!B:B,0)/7,1)</f>
        <v>0.3</v>
      </c>
      <c r="H662" s="2">
        <f>ROUND(_xlfn.XLOOKUP(A662,AE!A:A,AE!B:B,0)/7,1)</f>
        <v>0</v>
      </c>
      <c r="I662" s="2" t="str">
        <f>_xlfn.XLOOKUP(A662,SWFTX邮编覆盖!A:A,SWFTX邮编覆盖!B:B,"否")</f>
        <v>是</v>
      </c>
      <c r="J662" s="2" t="str">
        <f>_xlfn.XLOOKUP(A662,YW邮编覆盖!A:A,YW邮编覆盖!B:B,"否")</f>
        <v>是</v>
      </c>
    </row>
    <row r="663" spans="1:10" hidden="1">
      <c r="A663" s="3">
        <v>92705</v>
      </c>
      <c r="B663" s="1" t="s">
        <v>52</v>
      </c>
      <c r="C663" s="2" t="str">
        <f>_xlfn.XLOOKUP(B663,线路DSP对应!A:A,线路DSP对应!B:B)</f>
        <v>STA_LAX_ChinaOcean</v>
      </c>
      <c r="D663" s="4" t="s">
        <v>150</v>
      </c>
      <c r="E663" s="2" t="str">
        <f>_xlfn.XLOOKUP(A663,转单情况!A:A,转单情况!B:B)</f>
        <v>SW</v>
      </c>
      <c r="F663" s="29"/>
      <c r="G663" s="28">
        <f>ROUND(_xlfn.XLOOKUP(A663,全量!A:A,全量!B:B,0)/7,1)</f>
        <v>0.1</v>
      </c>
      <c r="H663" s="2">
        <f>ROUND(_xlfn.XLOOKUP(A663,AE!A:A,AE!B:B,0)/7,1)</f>
        <v>0</v>
      </c>
      <c r="I663" s="2" t="str">
        <f>_xlfn.XLOOKUP(A663,SWFTX邮编覆盖!A:A,SWFTX邮编覆盖!B:B,"否")</f>
        <v>是</v>
      </c>
      <c r="J663" s="2" t="str">
        <f>_xlfn.XLOOKUP(A663,YW邮编覆盖!A:A,YW邮编覆盖!B:B,"否")</f>
        <v>是</v>
      </c>
    </row>
    <row r="664" spans="1:10" hidden="1">
      <c r="A664" s="3">
        <v>92707</v>
      </c>
      <c r="B664" s="1" t="s">
        <v>52</v>
      </c>
      <c r="C664" s="2" t="str">
        <f>_xlfn.XLOOKUP(B664,线路DSP对应!A:A,线路DSP对应!B:B)</f>
        <v>STA_LAX_ChinaOcean</v>
      </c>
      <c r="D664" s="4" t="s">
        <v>150</v>
      </c>
      <c r="E664" s="2" t="str">
        <f>_xlfn.XLOOKUP(A664,转单情况!A:A,转单情况!B:B)</f>
        <v>SW</v>
      </c>
      <c r="F664" s="29"/>
      <c r="G664" s="28">
        <f>ROUND(_xlfn.XLOOKUP(A664,全量!A:A,全量!B:B,0)/7,1)</f>
        <v>0.3</v>
      </c>
      <c r="H664" s="2">
        <f>ROUND(_xlfn.XLOOKUP(A664,AE!A:A,AE!B:B,0)/7,1)</f>
        <v>0</v>
      </c>
      <c r="I664" s="2" t="str">
        <f>_xlfn.XLOOKUP(A664,SWFTX邮编覆盖!A:A,SWFTX邮编覆盖!B:B,"否")</f>
        <v>是</v>
      </c>
      <c r="J664" s="2" t="str">
        <f>_xlfn.XLOOKUP(A664,YW邮编覆盖!A:A,YW邮编覆盖!B:B,"否")</f>
        <v>是</v>
      </c>
    </row>
    <row r="665" spans="1:10" hidden="1">
      <c r="A665" s="3">
        <v>92703</v>
      </c>
      <c r="B665" s="1" t="s">
        <v>52</v>
      </c>
      <c r="C665" s="2" t="str">
        <f>_xlfn.XLOOKUP(B665,线路DSP对应!A:A,线路DSP对应!B:B)</f>
        <v>STA_LAX_ChinaOcean</v>
      </c>
      <c r="D665" s="4" t="s">
        <v>150</v>
      </c>
      <c r="E665" s="2" t="str">
        <f>_xlfn.XLOOKUP(A665,转单情况!A:A,转单情况!B:B)</f>
        <v>SW</v>
      </c>
      <c r="F665" s="29"/>
      <c r="G665" s="28">
        <f>ROUND(_xlfn.XLOOKUP(A665,全量!A:A,全量!B:B,0)/7,1)</f>
        <v>0</v>
      </c>
      <c r="H665" s="2">
        <f>ROUND(_xlfn.XLOOKUP(A665,AE!A:A,AE!B:B,0)/7,1)</f>
        <v>0</v>
      </c>
      <c r="I665" s="2" t="str">
        <f>_xlfn.XLOOKUP(A665,SWFTX邮编覆盖!A:A,SWFTX邮编覆盖!B:B,"否")</f>
        <v>是</v>
      </c>
      <c r="J665" s="2" t="str">
        <f>_xlfn.XLOOKUP(A665,YW邮编覆盖!A:A,YW邮编覆盖!B:B,"否")</f>
        <v>是</v>
      </c>
    </row>
    <row r="666" spans="1:10" hidden="1">
      <c r="A666" s="3">
        <v>92701</v>
      </c>
      <c r="B666" s="1" t="s">
        <v>52</v>
      </c>
      <c r="C666" s="2" t="str">
        <f>_xlfn.XLOOKUP(B666,线路DSP对应!A:A,线路DSP对应!B:B)</f>
        <v>STA_LAX_ChinaOcean</v>
      </c>
      <c r="D666" s="4" t="s">
        <v>150</v>
      </c>
      <c r="E666" s="2" t="str">
        <f>_xlfn.XLOOKUP(A666,转单情况!A:A,转单情况!B:B)</f>
        <v>SW</v>
      </c>
      <c r="F666" s="29"/>
      <c r="G666" s="28">
        <f>ROUND(_xlfn.XLOOKUP(A666,全量!A:A,全量!B:B,0)/7,1)</f>
        <v>0.4</v>
      </c>
      <c r="H666" s="2">
        <f>ROUND(_xlfn.XLOOKUP(A666,AE!A:A,AE!B:B,0)/7,1)</f>
        <v>0</v>
      </c>
      <c r="I666" s="2" t="str">
        <f>_xlfn.XLOOKUP(A666,SWFTX邮编覆盖!A:A,SWFTX邮编覆盖!B:B,"否")</f>
        <v>是</v>
      </c>
      <c r="J666" s="2" t="str">
        <f>_xlfn.XLOOKUP(A666,YW邮编覆盖!A:A,YW邮编覆盖!B:B,"否")</f>
        <v>是</v>
      </c>
    </row>
    <row r="667" spans="1:10" hidden="1">
      <c r="A667" s="3">
        <v>92706</v>
      </c>
      <c r="B667" s="1" t="s">
        <v>52</v>
      </c>
      <c r="C667" s="2" t="str">
        <f>_xlfn.XLOOKUP(B667,线路DSP对应!A:A,线路DSP对应!B:B)</f>
        <v>STA_LAX_ChinaOcean</v>
      </c>
      <c r="D667" s="4" t="s">
        <v>150</v>
      </c>
      <c r="E667" s="2" t="str">
        <f>_xlfn.XLOOKUP(A667,转单情况!A:A,转单情况!B:B)</f>
        <v>SW</v>
      </c>
      <c r="F667" s="29"/>
      <c r="G667" s="28">
        <f>ROUND(_xlfn.XLOOKUP(A667,全量!A:A,全量!B:B,0)/7,1)</f>
        <v>0.1</v>
      </c>
      <c r="H667" s="2">
        <f>ROUND(_xlfn.XLOOKUP(A667,AE!A:A,AE!B:B,0)/7,1)</f>
        <v>0</v>
      </c>
      <c r="I667" s="2" t="str">
        <f>_xlfn.XLOOKUP(A667,SWFTX邮编覆盖!A:A,SWFTX邮编覆盖!B:B,"否")</f>
        <v>是</v>
      </c>
      <c r="J667" s="2" t="str">
        <f>_xlfn.XLOOKUP(A667,YW邮编覆盖!A:A,YW邮编覆盖!B:B,"否")</f>
        <v>是</v>
      </c>
    </row>
    <row r="668" spans="1:10" hidden="1">
      <c r="A668" s="3">
        <v>92782</v>
      </c>
      <c r="B668" s="1" t="s">
        <v>52</v>
      </c>
      <c r="C668" s="2" t="str">
        <f>_xlfn.XLOOKUP(B668,线路DSP对应!A:A,线路DSP对应!B:B)</f>
        <v>STA_LAX_ChinaOcean</v>
      </c>
      <c r="D668" s="4" t="s">
        <v>150</v>
      </c>
      <c r="E668" s="2" t="str">
        <f>_xlfn.XLOOKUP(A668,转单情况!A:A,转单情况!B:B)</f>
        <v>SW</v>
      </c>
      <c r="F668" s="29"/>
      <c r="G668" s="28">
        <f>ROUND(_xlfn.XLOOKUP(A668,全量!A:A,全量!B:B,0)/7,1)</f>
        <v>0.3</v>
      </c>
      <c r="H668" s="2">
        <f>ROUND(_xlfn.XLOOKUP(A668,AE!A:A,AE!B:B,0)/7,1)</f>
        <v>0</v>
      </c>
      <c r="I668" s="2" t="str">
        <f>_xlfn.XLOOKUP(A668,SWFTX邮编覆盖!A:A,SWFTX邮编覆盖!B:B,"否")</f>
        <v>是</v>
      </c>
      <c r="J668" s="2" t="str">
        <f>_xlfn.XLOOKUP(A668,YW邮编覆盖!A:A,YW邮编覆盖!B:B,"否")</f>
        <v>是</v>
      </c>
    </row>
    <row r="669" spans="1:10" hidden="1">
      <c r="A669" s="3">
        <v>92602</v>
      </c>
      <c r="B669" s="1" t="s">
        <v>52</v>
      </c>
      <c r="C669" s="2" t="str">
        <f>_xlfn.XLOOKUP(B669,线路DSP对应!A:A,线路DSP对应!B:B)</f>
        <v>STA_LAX_ChinaOcean</v>
      </c>
      <c r="D669" s="4" t="s">
        <v>150</v>
      </c>
      <c r="E669" s="2" t="str">
        <f>_xlfn.XLOOKUP(A669,转单情况!A:A,转单情况!B:B)</f>
        <v>SW</v>
      </c>
      <c r="F669" s="29"/>
      <c r="G669" s="28">
        <f>ROUND(_xlfn.XLOOKUP(A669,全量!A:A,全量!B:B,0)/7,1)</f>
        <v>0.7</v>
      </c>
      <c r="H669" s="2">
        <f>ROUND(_xlfn.XLOOKUP(A669,AE!A:A,AE!B:B,0)/7,1)</f>
        <v>0</v>
      </c>
      <c r="I669" s="2" t="str">
        <f>_xlfn.XLOOKUP(A669,SWFTX邮编覆盖!A:A,SWFTX邮编覆盖!B:B,"否")</f>
        <v>是</v>
      </c>
      <c r="J669" s="2" t="str">
        <f>_xlfn.XLOOKUP(A669,YW邮编覆盖!A:A,YW邮编覆盖!B:B,"否")</f>
        <v>是</v>
      </c>
    </row>
    <row r="670" spans="1:10" hidden="1">
      <c r="A670" s="3">
        <v>92780</v>
      </c>
      <c r="B670" s="1" t="s">
        <v>52</v>
      </c>
      <c r="C670" s="2" t="str">
        <f>_xlfn.XLOOKUP(B670,线路DSP对应!A:A,线路DSP对应!B:B)</f>
        <v>STA_LAX_ChinaOcean</v>
      </c>
      <c r="D670" s="4" t="s">
        <v>150</v>
      </c>
      <c r="E670" s="2" t="str">
        <f>_xlfn.XLOOKUP(A670,转单情况!A:A,转单情况!B:B)</f>
        <v>SW</v>
      </c>
      <c r="F670" s="29"/>
      <c r="G670" s="28">
        <f>ROUND(_xlfn.XLOOKUP(A670,全量!A:A,全量!B:B,0)/7,1)</f>
        <v>0.1</v>
      </c>
      <c r="H670" s="2">
        <f>ROUND(_xlfn.XLOOKUP(A670,AE!A:A,AE!B:B,0)/7,1)</f>
        <v>0</v>
      </c>
      <c r="I670" s="2" t="str">
        <f>_xlfn.XLOOKUP(A670,SWFTX邮编覆盖!A:A,SWFTX邮编覆盖!B:B,"否")</f>
        <v>是</v>
      </c>
      <c r="J670" s="2" t="str">
        <f>_xlfn.XLOOKUP(A670,YW邮编覆盖!A:A,YW邮编覆盖!B:B,"否")</f>
        <v>是</v>
      </c>
    </row>
    <row r="671" spans="1:10" hidden="1">
      <c r="A671" s="3">
        <v>92648</v>
      </c>
      <c r="B671" s="1" t="s">
        <v>53</v>
      </c>
      <c r="C671" s="2" t="str">
        <f>_xlfn.XLOOKUP(B671,线路DSP对应!A:A,线路DSP对应!B:B)</f>
        <v>STA_LAX_ChinaOcean</v>
      </c>
      <c r="D671" s="4" t="s">
        <v>150</v>
      </c>
      <c r="E671" s="2" t="str">
        <f>_xlfn.XLOOKUP(A671,转单情况!A:A,转单情况!B:B)</f>
        <v>SW</v>
      </c>
      <c r="G671" s="28">
        <f>ROUND(_xlfn.XLOOKUP(A671,全量!A:A,全量!B:B,0)/7,1)</f>
        <v>0.4</v>
      </c>
      <c r="H671" s="2">
        <f>ROUND(_xlfn.XLOOKUP(A671,AE!A:A,AE!B:B,0)/7,1)</f>
        <v>0</v>
      </c>
      <c r="I671" s="2" t="str">
        <f>_xlfn.XLOOKUP(A671,SWFTX邮编覆盖!A:A,SWFTX邮编覆盖!B:B,"否")</f>
        <v>是</v>
      </c>
      <c r="J671" s="2" t="str">
        <f>_xlfn.XLOOKUP(A671,YW邮编覆盖!A:A,YW邮编覆盖!B:B,"否")</f>
        <v>是</v>
      </c>
    </row>
    <row r="672" spans="1:10" hidden="1">
      <c r="A672" s="3">
        <v>92646</v>
      </c>
      <c r="B672" s="1" t="s">
        <v>53</v>
      </c>
      <c r="C672" s="2" t="str">
        <f>_xlfn.XLOOKUP(B672,线路DSP对应!A:A,线路DSP对应!B:B)</f>
        <v>STA_LAX_ChinaOcean</v>
      </c>
      <c r="D672" s="4" t="s">
        <v>150</v>
      </c>
      <c r="E672" s="2" t="str">
        <f>_xlfn.XLOOKUP(A672,转单情况!A:A,转单情况!B:B)</f>
        <v>SW</v>
      </c>
      <c r="G672" s="28">
        <f>ROUND(_xlfn.XLOOKUP(A672,全量!A:A,全量!B:B,0)/7,1)</f>
        <v>0.3</v>
      </c>
      <c r="H672" s="2">
        <f>ROUND(_xlfn.XLOOKUP(A672,AE!A:A,AE!B:B,0)/7,1)</f>
        <v>0</v>
      </c>
      <c r="I672" s="2" t="str">
        <f>_xlfn.XLOOKUP(A672,SWFTX邮编覆盖!A:A,SWFTX邮编覆盖!B:B,"否")</f>
        <v>是</v>
      </c>
      <c r="J672" s="2" t="str">
        <f>_xlfn.XLOOKUP(A672,YW邮编覆盖!A:A,YW邮编覆盖!B:B,"否")</f>
        <v>是</v>
      </c>
    </row>
    <row r="673" spans="1:10" hidden="1">
      <c r="A673" s="3">
        <v>92708</v>
      </c>
      <c r="B673" s="1" t="s">
        <v>53</v>
      </c>
      <c r="C673" s="2" t="str">
        <f>_xlfn.XLOOKUP(B673,线路DSP对应!A:A,线路DSP对应!B:B)</f>
        <v>STA_LAX_ChinaOcean</v>
      </c>
      <c r="D673" s="4" t="s">
        <v>150</v>
      </c>
      <c r="E673" s="2" t="str">
        <f>_xlfn.XLOOKUP(A673,转单情况!A:A,转单情况!B:B)</f>
        <v>SW</v>
      </c>
      <c r="G673" s="28">
        <f>ROUND(_xlfn.XLOOKUP(A673,全量!A:A,全量!B:B,0)/7,1)</f>
        <v>0.4</v>
      </c>
      <c r="H673" s="2">
        <f>ROUND(_xlfn.XLOOKUP(A673,AE!A:A,AE!B:B,0)/7,1)</f>
        <v>0</v>
      </c>
      <c r="I673" s="2" t="str">
        <f>_xlfn.XLOOKUP(A673,SWFTX邮编覆盖!A:A,SWFTX邮编覆盖!B:B,"否")</f>
        <v>是</v>
      </c>
      <c r="J673" s="2" t="str">
        <f>_xlfn.XLOOKUP(A673,YW邮编覆盖!A:A,YW邮编覆盖!B:B,"否")</f>
        <v>是</v>
      </c>
    </row>
    <row r="674" spans="1:10" hidden="1">
      <c r="A674" s="3">
        <v>92626</v>
      </c>
      <c r="B674" s="1" t="s">
        <v>53</v>
      </c>
      <c r="C674" s="2" t="str">
        <f>_xlfn.XLOOKUP(B674,线路DSP对应!A:A,线路DSP对应!B:B)</f>
        <v>STA_LAX_ChinaOcean</v>
      </c>
      <c r="D674" s="4" t="s">
        <v>150</v>
      </c>
      <c r="E674" s="2" t="str">
        <f>_xlfn.XLOOKUP(A674,转单情况!A:A,转单情况!B:B)</f>
        <v>SW</v>
      </c>
      <c r="G674" s="28">
        <f>ROUND(_xlfn.XLOOKUP(A674,全量!A:A,全量!B:B,0)/7,1)</f>
        <v>0</v>
      </c>
      <c r="H674" s="2">
        <f>ROUND(_xlfn.XLOOKUP(A674,AE!A:A,AE!B:B,0)/7,1)</f>
        <v>0</v>
      </c>
      <c r="I674" s="2" t="str">
        <f>_xlfn.XLOOKUP(A674,SWFTX邮编覆盖!A:A,SWFTX邮编覆盖!B:B,"否")</f>
        <v>是</v>
      </c>
      <c r="J674" s="2" t="str">
        <f>_xlfn.XLOOKUP(A674,YW邮编覆盖!A:A,YW邮编覆盖!B:B,"否")</f>
        <v>是</v>
      </c>
    </row>
    <row r="675" spans="1:10" hidden="1">
      <c r="A675" s="3">
        <v>92627</v>
      </c>
      <c r="B675" s="1" t="s">
        <v>53</v>
      </c>
      <c r="C675" s="2" t="str">
        <f>_xlfn.XLOOKUP(B675,线路DSP对应!A:A,线路DSP对应!B:B)</f>
        <v>STA_LAX_ChinaOcean</v>
      </c>
      <c r="D675" s="4" t="s">
        <v>150</v>
      </c>
      <c r="E675" s="2" t="str">
        <f>_xlfn.XLOOKUP(A675,转单情况!A:A,转单情况!B:B)</f>
        <v>SW</v>
      </c>
      <c r="G675" s="28">
        <f>ROUND(_xlfn.XLOOKUP(A675,全量!A:A,全量!B:B,0)/7,1)</f>
        <v>0</v>
      </c>
      <c r="H675" s="2">
        <f>ROUND(_xlfn.XLOOKUP(A675,AE!A:A,AE!B:B,0)/7,1)</f>
        <v>0</v>
      </c>
      <c r="I675" s="2" t="str">
        <f>_xlfn.XLOOKUP(A675,SWFTX邮编覆盖!A:A,SWFTX邮编覆盖!B:B,"否")</f>
        <v>是</v>
      </c>
      <c r="J675" s="2" t="str">
        <f>_xlfn.XLOOKUP(A675,YW邮编覆盖!A:A,YW邮编覆盖!B:B,"否")</f>
        <v>是</v>
      </c>
    </row>
    <row r="676" spans="1:10" hidden="1">
      <c r="A676" s="3">
        <v>92663</v>
      </c>
      <c r="B676" s="1" t="s">
        <v>53</v>
      </c>
      <c r="C676" s="2" t="str">
        <f>_xlfn.XLOOKUP(B676,线路DSP对应!A:A,线路DSP对应!B:B)</f>
        <v>STA_LAX_ChinaOcean</v>
      </c>
      <c r="D676" s="4" t="s">
        <v>150</v>
      </c>
      <c r="E676" s="2" t="str">
        <f>_xlfn.XLOOKUP(A676,转单情况!A:A,转单情况!B:B)</f>
        <v>SW</v>
      </c>
      <c r="G676" s="28">
        <f>ROUND(_xlfn.XLOOKUP(A676,全量!A:A,全量!B:B,0)/7,1)</f>
        <v>0</v>
      </c>
      <c r="H676" s="2">
        <f>ROUND(_xlfn.XLOOKUP(A676,AE!A:A,AE!B:B,0)/7,1)</f>
        <v>0</v>
      </c>
      <c r="I676" s="2" t="str">
        <f>_xlfn.XLOOKUP(A676,SWFTX邮编覆盖!A:A,SWFTX邮编覆盖!B:B,"否")</f>
        <v>是</v>
      </c>
      <c r="J676" s="2" t="str">
        <f>_xlfn.XLOOKUP(A676,YW邮编覆盖!A:A,YW邮编覆盖!B:B,"否")</f>
        <v>是</v>
      </c>
    </row>
    <row r="677" spans="1:10">
      <c r="A677" s="3">
        <v>92661</v>
      </c>
      <c r="B677" s="1" t="s">
        <v>53</v>
      </c>
      <c r="C677" s="2" t="str">
        <f>_xlfn.XLOOKUP(B677,线路DSP对应!A:A,线路DSP对应!B:B)</f>
        <v>STA_LAX_ChinaOcean</v>
      </c>
      <c r="D677" s="4" t="s">
        <v>150</v>
      </c>
      <c r="E677" s="2" t="str">
        <f>_xlfn.XLOOKUP(A677,转单情况!A:A,转单情况!B:B)</f>
        <v>YW</v>
      </c>
      <c r="G677" s="28">
        <f>ROUND(_xlfn.XLOOKUP(A677,全量!A:A,全量!B:B,0)/7,1)</f>
        <v>0</v>
      </c>
      <c r="H677" s="2">
        <f>ROUND(_xlfn.XLOOKUP(A677,AE!A:A,AE!B:B,0)/7,1)</f>
        <v>0</v>
      </c>
      <c r="I677" s="2" t="str">
        <f>_xlfn.XLOOKUP(A677,SWFTX邮编覆盖!A:A,SWFTX邮编覆盖!B:B,"否")</f>
        <v>否</v>
      </c>
      <c r="J677" s="2" t="str">
        <f>_xlfn.XLOOKUP(A677,YW邮编覆盖!A:A,YW邮编覆盖!B:B,"否")</f>
        <v>是</v>
      </c>
    </row>
    <row r="678" spans="1:10" hidden="1">
      <c r="A678" s="3">
        <v>92684</v>
      </c>
      <c r="B678" s="1" t="s">
        <v>162</v>
      </c>
      <c r="C678" s="2" t="e">
        <f>_xlfn.XLOOKUP(B678,线路DSP对应!A:A,线路DSP对应!B:B)</f>
        <v>#N/A</v>
      </c>
      <c r="D678" s="4" t="s">
        <v>150</v>
      </c>
      <c r="E678" s="2" t="e">
        <f>_xlfn.XLOOKUP(A678,转单情况!A:A,转单情况!B:B)</f>
        <v>#N/A</v>
      </c>
      <c r="G678" s="28">
        <f>ROUND(_xlfn.XLOOKUP(A678,全量!A:A,全量!B:B,0)/7,1)</f>
        <v>0</v>
      </c>
      <c r="H678" s="2">
        <f>ROUND(_xlfn.XLOOKUP(A678,AE!A:A,AE!B:B,0)/7,1)</f>
        <v>0</v>
      </c>
      <c r="I678" s="2" t="str">
        <f>_xlfn.XLOOKUP(A678,SWFTX邮编覆盖!A:A,SWFTX邮编覆盖!B:B,"否")</f>
        <v>否</v>
      </c>
      <c r="J678" s="2" t="str">
        <f>_xlfn.XLOOKUP(A678,YW邮编覆盖!A:A,YW邮编覆盖!B:B,"否")</f>
        <v>否</v>
      </c>
    </row>
    <row r="679" spans="1:10" hidden="1">
      <c r="A679" s="3">
        <v>92685</v>
      </c>
      <c r="B679" s="1" t="s">
        <v>162</v>
      </c>
      <c r="C679" s="2" t="e">
        <f>_xlfn.XLOOKUP(B679,线路DSP对应!A:A,线路DSP对应!B:B)</f>
        <v>#N/A</v>
      </c>
      <c r="D679" s="4" t="s">
        <v>150</v>
      </c>
      <c r="E679" s="2" t="e">
        <f>_xlfn.XLOOKUP(A679,转单情况!A:A,转单情况!B:B)</f>
        <v>#N/A</v>
      </c>
      <c r="G679" s="28">
        <f>ROUND(_xlfn.XLOOKUP(A679,全量!A:A,全量!B:B,0)/7,1)</f>
        <v>0</v>
      </c>
      <c r="H679" s="2">
        <f>ROUND(_xlfn.XLOOKUP(A679,AE!A:A,AE!B:B,0)/7,1)</f>
        <v>0</v>
      </c>
      <c r="I679" s="2" t="str">
        <f>_xlfn.XLOOKUP(A679,SWFTX邮编覆盖!A:A,SWFTX邮编覆盖!B:B,"否")</f>
        <v>否</v>
      </c>
      <c r="J679" s="2" t="str">
        <f>_xlfn.XLOOKUP(A679,YW邮编覆盖!A:A,YW邮编覆盖!B:B,"否")</f>
        <v>否</v>
      </c>
    </row>
    <row r="680" spans="1:10" hidden="1">
      <c r="A680" s="3">
        <v>92862</v>
      </c>
      <c r="B680" s="1" t="s">
        <v>162</v>
      </c>
      <c r="C680" s="2" t="e">
        <f>_xlfn.XLOOKUP(B680,线路DSP对应!A:A,线路DSP对应!B:B)</f>
        <v>#N/A</v>
      </c>
      <c r="D680" s="4" t="s">
        <v>150</v>
      </c>
      <c r="E680" s="2" t="e">
        <f>_xlfn.XLOOKUP(A680,转单情况!A:A,转单情况!B:B)</f>
        <v>#N/A</v>
      </c>
      <c r="G680" s="28">
        <f>ROUND(_xlfn.XLOOKUP(A680,全量!A:A,全量!B:B,0)/7,1)</f>
        <v>0</v>
      </c>
      <c r="H680" s="2">
        <f>ROUND(_xlfn.XLOOKUP(A680,AE!A:A,AE!B:B,0)/7,1)</f>
        <v>0</v>
      </c>
      <c r="I680" s="2" t="str">
        <f>_xlfn.XLOOKUP(A680,SWFTX邮编覆盖!A:A,SWFTX邮编覆盖!B:B,"否")</f>
        <v>否</v>
      </c>
      <c r="J680" s="2" t="str">
        <f>_xlfn.XLOOKUP(A680,YW邮编覆盖!A:A,YW邮编覆盖!B:B,"否")</f>
        <v>否</v>
      </c>
    </row>
    <row r="681" spans="1:10" hidden="1">
      <c r="A681" s="3">
        <v>92863</v>
      </c>
      <c r="B681" s="1" t="s">
        <v>162</v>
      </c>
      <c r="C681" s="2" t="e">
        <f>_xlfn.XLOOKUP(B681,线路DSP对应!A:A,线路DSP对应!B:B)</f>
        <v>#N/A</v>
      </c>
      <c r="D681" s="4" t="s">
        <v>150</v>
      </c>
      <c r="E681" s="2" t="e">
        <f>_xlfn.XLOOKUP(A681,转单情况!A:A,转单情况!B:B)</f>
        <v>#N/A</v>
      </c>
      <c r="G681" s="28">
        <f>ROUND(_xlfn.XLOOKUP(A681,全量!A:A,全量!B:B,0)/7,1)</f>
        <v>0</v>
      </c>
      <c r="H681" s="2">
        <f>ROUND(_xlfn.XLOOKUP(A681,AE!A:A,AE!B:B,0)/7,1)</f>
        <v>0</v>
      </c>
      <c r="I681" s="2" t="str">
        <f>_xlfn.XLOOKUP(A681,SWFTX邮编覆盖!A:A,SWFTX邮编覆盖!B:B,"否")</f>
        <v>否</v>
      </c>
      <c r="J681" s="2" t="str">
        <f>_xlfn.XLOOKUP(A681,YW邮编覆盖!A:A,YW邮编覆盖!B:B,"否")</f>
        <v>否</v>
      </c>
    </row>
    <row r="682" spans="1:10" hidden="1">
      <c r="A682" s="3">
        <v>92857</v>
      </c>
      <c r="B682" s="1" t="s">
        <v>162</v>
      </c>
      <c r="C682" s="2" t="e">
        <f>_xlfn.XLOOKUP(B682,线路DSP对应!A:A,线路DSP对应!B:B)</f>
        <v>#N/A</v>
      </c>
      <c r="D682" s="4" t="s">
        <v>150</v>
      </c>
      <c r="E682" s="2" t="e">
        <f>_xlfn.XLOOKUP(A682,转单情况!A:A,转单情况!B:B)</f>
        <v>#N/A</v>
      </c>
      <c r="G682" s="28">
        <f>ROUND(_xlfn.XLOOKUP(A682,全量!A:A,全量!B:B,0)/7,1)</f>
        <v>0</v>
      </c>
      <c r="H682" s="2">
        <f>ROUND(_xlfn.XLOOKUP(A682,AE!A:A,AE!B:B,0)/7,1)</f>
        <v>0</v>
      </c>
      <c r="I682" s="2" t="str">
        <f>_xlfn.XLOOKUP(A682,SWFTX邮编覆盖!A:A,SWFTX邮编覆盖!B:B,"否")</f>
        <v>否</v>
      </c>
      <c r="J682" s="2" t="str">
        <f>_xlfn.XLOOKUP(A682,YW邮编覆盖!A:A,YW邮编覆盖!B:B,"否")</f>
        <v>否</v>
      </c>
    </row>
    <row r="683" spans="1:10" hidden="1">
      <c r="A683" s="3">
        <v>92856</v>
      </c>
      <c r="B683" s="1" t="s">
        <v>162</v>
      </c>
      <c r="C683" s="2" t="e">
        <f>_xlfn.XLOOKUP(B683,线路DSP对应!A:A,线路DSP对应!B:B)</f>
        <v>#N/A</v>
      </c>
      <c r="D683" s="4" t="s">
        <v>150</v>
      </c>
      <c r="E683" s="2" t="e">
        <f>_xlfn.XLOOKUP(A683,转单情况!A:A,转单情况!B:B)</f>
        <v>#N/A</v>
      </c>
      <c r="G683" s="28">
        <f>ROUND(_xlfn.XLOOKUP(A683,全量!A:A,全量!B:B,0)/7,1)</f>
        <v>0</v>
      </c>
      <c r="H683" s="2">
        <f>ROUND(_xlfn.XLOOKUP(A683,AE!A:A,AE!B:B,0)/7,1)</f>
        <v>0</v>
      </c>
      <c r="I683" s="2" t="str">
        <f>_xlfn.XLOOKUP(A683,SWFTX邮编覆盖!A:A,SWFTX邮编覆盖!B:B,"否")</f>
        <v>否</v>
      </c>
      <c r="J683" s="2" t="str">
        <f>_xlfn.XLOOKUP(A683,YW邮编覆盖!A:A,YW邮编覆盖!B:B,"否")</f>
        <v>否</v>
      </c>
    </row>
    <row r="684" spans="1:10" hidden="1">
      <c r="A684" s="3">
        <v>92859</v>
      </c>
      <c r="B684" s="1" t="s">
        <v>162</v>
      </c>
      <c r="C684" s="2" t="e">
        <f>_xlfn.XLOOKUP(B684,线路DSP对应!A:A,线路DSP对应!B:B)</f>
        <v>#N/A</v>
      </c>
      <c r="D684" s="4" t="s">
        <v>150</v>
      </c>
      <c r="E684" s="2" t="e">
        <f>_xlfn.XLOOKUP(A684,转单情况!A:A,转单情况!B:B)</f>
        <v>#N/A</v>
      </c>
      <c r="G684" s="28">
        <f>ROUND(_xlfn.XLOOKUP(A684,全量!A:A,全量!B:B,0)/7,1)</f>
        <v>0</v>
      </c>
      <c r="H684" s="2">
        <f>ROUND(_xlfn.XLOOKUP(A684,AE!A:A,AE!B:B,0)/7,1)</f>
        <v>0</v>
      </c>
      <c r="I684" s="2" t="str">
        <f>_xlfn.XLOOKUP(A684,SWFTX邮编覆盖!A:A,SWFTX邮编覆盖!B:B,"否")</f>
        <v>否</v>
      </c>
      <c r="J684" s="2" t="str">
        <f>_xlfn.XLOOKUP(A684,YW邮编覆盖!A:A,YW邮编覆盖!B:B,"否")</f>
        <v>否</v>
      </c>
    </row>
    <row r="685" spans="1:10" hidden="1">
      <c r="A685" s="3">
        <v>90622</v>
      </c>
      <c r="B685" s="1" t="s">
        <v>162</v>
      </c>
      <c r="C685" s="2" t="e">
        <f>_xlfn.XLOOKUP(B685,线路DSP对应!A:A,线路DSP对应!B:B)</f>
        <v>#N/A</v>
      </c>
      <c r="D685" s="4" t="s">
        <v>150</v>
      </c>
      <c r="E685" s="2" t="e">
        <f>_xlfn.XLOOKUP(A685,转单情况!A:A,转单情况!B:B)</f>
        <v>#N/A</v>
      </c>
      <c r="G685" s="28">
        <f>ROUND(_xlfn.XLOOKUP(A685,全量!A:A,全量!B:B,0)/7,1)</f>
        <v>0</v>
      </c>
      <c r="H685" s="2">
        <f>ROUND(_xlfn.XLOOKUP(A685,AE!A:A,AE!B:B,0)/7,1)</f>
        <v>0</v>
      </c>
      <c r="I685" s="2" t="str">
        <f>_xlfn.XLOOKUP(A685,SWFTX邮编覆盖!A:A,SWFTX邮编覆盖!B:B,"否")</f>
        <v>否</v>
      </c>
      <c r="J685" s="2" t="str">
        <f>_xlfn.XLOOKUP(A685,YW邮编覆盖!A:A,YW邮编覆盖!B:B,"否")</f>
        <v>否</v>
      </c>
    </row>
    <row r="686" spans="1:10">
      <c r="A686" s="3">
        <v>90624</v>
      </c>
      <c r="B686" s="1" t="s">
        <v>162</v>
      </c>
      <c r="C686" s="2" t="e">
        <f>_xlfn.XLOOKUP(B686,线路DSP对应!A:A,线路DSP对应!B:B)</f>
        <v>#N/A</v>
      </c>
      <c r="D686" s="4" t="s">
        <v>150</v>
      </c>
      <c r="E686" s="2" t="e">
        <f>_xlfn.XLOOKUP(A686,转单情况!A:A,转单情况!B:B)</f>
        <v>#N/A</v>
      </c>
      <c r="G686" s="28">
        <f>ROUND(_xlfn.XLOOKUP(A686,全量!A:A,全量!B:B,0)/7,1)</f>
        <v>0</v>
      </c>
      <c r="H686" s="2">
        <f>ROUND(_xlfn.XLOOKUP(A686,AE!A:A,AE!B:B,0)/7,1)</f>
        <v>0</v>
      </c>
      <c r="I686" s="2" t="str">
        <f>_xlfn.XLOOKUP(A686,SWFTX邮编覆盖!A:A,SWFTX邮编覆盖!B:B,"否")</f>
        <v>否</v>
      </c>
      <c r="J686" s="2" t="str">
        <f>_xlfn.XLOOKUP(A686,YW邮编覆盖!A:A,YW邮编覆盖!B:B,"否")</f>
        <v>是</v>
      </c>
    </row>
    <row r="687" spans="1:10" hidden="1">
      <c r="A687" s="3">
        <v>92650</v>
      </c>
      <c r="B687" s="1" t="s">
        <v>162</v>
      </c>
      <c r="C687" s="2" t="e">
        <f>_xlfn.XLOOKUP(B687,线路DSP对应!A:A,线路DSP对应!B:B)</f>
        <v>#N/A</v>
      </c>
      <c r="D687" s="4" t="s">
        <v>150</v>
      </c>
      <c r="E687" s="2" t="e">
        <f>_xlfn.XLOOKUP(A687,转单情况!A:A,转单情况!B:B)</f>
        <v>#N/A</v>
      </c>
      <c r="G687" s="28">
        <f>ROUND(_xlfn.XLOOKUP(A687,全量!A:A,全量!B:B,0)/7,1)</f>
        <v>0</v>
      </c>
      <c r="H687" s="2">
        <f>ROUND(_xlfn.XLOOKUP(A687,AE!A:A,AE!B:B,0)/7,1)</f>
        <v>0</v>
      </c>
      <c r="I687" s="2" t="str">
        <f>_xlfn.XLOOKUP(A687,SWFTX邮编覆盖!A:A,SWFTX邮编覆盖!B:B,"否")</f>
        <v>否</v>
      </c>
      <c r="J687" s="2" t="str">
        <f>_xlfn.XLOOKUP(A687,YW邮编覆盖!A:A,YW邮编覆盖!B:B,"否")</f>
        <v>否</v>
      </c>
    </row>
    <row r="688" spans="1:10" hidden="1">
      <c r="A688" s="3">
        <v>92616</v>
      </c>
      <c r="B688" s="1" t="s">
        <v>162</v>
      </c>
      <c r="C688" s="2" t="e">
        <f>_xlfn.XLOOKUP(B688,线路DSP对应!A:A,线路DSP对应!B:B)</f>
        <v>#N/A</v>
      </c>
      <c r="D688" s="4" t="s">
        <v>150</v>
      </c>
      <c r="E688" s="2" t="e">
        <f>_xlfn.XLOOKUP(A688,转单情况!A:A,转单情况!B:B)</f>
        <v>#N/A</v>
      </c>
      <c r="G688" s="28">
        <f>ROUND(_xlfn.XLOOKUP(A688,全量!A:A,全量!B:B,0)/7,1)</f>
        <v>0</v>
      </c>
      <c r="H688" s="2">
        <f>ROUND(_xlfn.XLOOKUP(A688,AE!A:A,AE!B:B,0)/7,1)</f>
        <v>0</v>
      </c>
      <c r="I688" s="2" t="str">
        <f>_xlfn.XLOOKUP(A688,SWFTX邮编覆盖!A:A,SWFTX邮编覆盖!B:B,"否")</f>
        <v>否</v>
      </c>
      <c r="J688" s="2" t="str">
        <f>_xlfn.XLOOKUP(A688,YW邮编覆盖!A:A,YW邮编覆盖!B:B,"否")</f>
        <v>否</v>
      </c>
    </row>
    <row r="689" spans="1:10" hidden="1">
      <c r="A689" s="3">
        <v>92619</v>
      </c>
      <c r="B689" s="1" t="s">
        <v>162</v>
      </c>
      <c r="C689" s="2" t="e">
        <f>_xlfn.XLOOKUP(B689,线路DSP对应!A:A,线路DSP对应!B:B)</f>
        <v>#N/A</v>
      </c>
      <c r="D689" s="4" t="s">
        <v>150</v>
      </c>
      <c r="E689" s="2" t="e">
        <f>_xlfn.XLOOKUP(A689,转单情况!A:A,转单情况!B:B)</f>
        <v>#N/A</v>
      </c>
      <c r="G689" s="28">
        <f>ROUND(_xlfn.XLOOKUP(A689,全量!A:A,全量!B:B,0)/7,1)</f>
        <v>0</v>
      </c>
      <c r="H689" s="2">
        <f>ROUND(_xlfn.XLOOKUP(A689,AE!A:A,AE!B:B,0)/7,1)</f>
        <v>0</v>
      </c>
      <c r="I689" s="2" t="str">
        <f>_xlfn.XLOOKUP(A689,SWFTX邮编覆盖!A:A,SWFTX邮编覆盖!B:B,"否")</f>
        <v>否</v>
      </c>
      <c r="J689" s="2" t="str">
        <f>_xlfn.XLOOKUP(A689,YW邮编覆盖!A:A,YW邮编覆盖!B:B,"否")</f>
        <v>否</v>
      </c>
    </row>
    <row r="690" spans="1:10" hidden="1">
      <c r="A690" s="3">
        <v>92623</v>
      </c>
      <c r="B690" s="1" t="s">
        <v>162</v>
      </c>
      <c r="C690" s="2" t="e">
        <f>_xlfn.XLOOKUP(B690,线路DSP对应!A:A,线路DSP对应!B:B)</f>
        <v>#N/A</v>
      </c>
      <c r="D690" s="4" t="s">
        <v>150</v>
      </c>
      <c r="E690" s="2" t="e">
        <f>_xlfn.XLOOKUP(A690,转单情况!A:A,转单情况!B:B)</f>
        <v>#N/A</v>
      </c>
      <c r="G690" s="28">
        <f>ROUND(_xlfn.XLOOKUP(A690,全量!A:A,全量!B:B,0)/7,1)</f>
        <v>0</v>
      </c>
      <c r="H690" s="2">
        <f>ROUND(_xlfn.XLOOKUP(A690,AE!A:A,AE!B:B,0)/7,1)</f>
        <v>0</v>
      </c>
      <c r="I690" s="2" t="str">
        <f>_xlfn.XLOOKUP(A690,SWFTX邮编覆盖!A:A,SWFTX邮编覆盖!B:B,"否")</f>
        <v>否</v>
      </c>
      <c r="J690" s="2" t="str">
        <f>_xlfn.XLOOKUP(A690,YW邮编覆盖!A:A,YW邮编覆盖!B:B,"否")</f>
        <v>否</v>
      </c>
    </row>
    <row r="691" spans="1:10" hidden="1">
      <c r="A691" s="3">
        <v>92652</v>
      </c>
      <c r="B691" s="1" t="s">
        <v>162</v>
      </c>
      <c r="C691" s="2" t="e">
        <f>_xlfn.XLOOKUP(B691,线路DSP对应!A:A,线路DSP对应!B:B)</f>
        <v>#N/A</v>
      </c>
      <c r="D691" s="4" t="s">
        <v>150</v>
      </c>
      <c r="E691" s="2" t="e">
        <f>_xlfn.XLOOKUP(A691,转单情况!A:A,转单情况!B:B)</f>
        <v>#N/A</v>
      </c>
      <c r="G691" s="28">
        <f>ROUND(_xlfn.XLOOKUP(A691,全量!A:A,全量!B:B,0)/7,1)</f>
        <v>0</v>
      </c>
      <c r="H691" s="2">
        <f>ROUND(_xlfn.XLOOKUP(A691,AE!A:A,AE!B:B,0)/7,1)</f>
        <v>0</v>
      </c>
      <c r="I691" s="2" t="str">
        <f>_xlfn.XLOOKUP(A691,SWFTX邮编覆盖!A:A,SWFTX邮编覆盖!B:B,"否")</f>
        <v>否</v>
      </c>
      <c r="J691" s="2" t="str">
        <f>_xlfn.XLOOKUP(A691,YW邮编覆盖!A:A,YW邮编覆盖!B:B,"否")</f>
        <v>否</v>
      </c>
    </row>
    <row r="692" spans="1:10" hidden="1">
      <c r="A692" s="3">
        <v>92609</v>
      </c>
      <c r="B692" s="1" t="s">
        <v>162</v>
      </c>
      <c r="C692" s="2" t="e">
        <f>_xlfn.XLOOKUP(B692,线路DSP对应!A:A,线路DSP对应!B:B)</f>
        <v>#N/A</v>
      </c>
      <c r="D692" s="4" t="s">
        <v>150</v>
      </c>
      <c r="E692" s="2" t="e">
        <f>_xlfn.XLOOKUP(A692,转单情况!A:A,转单情况!B:B)</f>
        <v>#N/A</v>
      </c>
      <c r="G692" s="28">
        <f>ROUND(_xlfn.XLOOKUP(A692,全量!A:A,全量!B:B,0)/7,1)</f>
        <v>0</v>
      </c>
      <c r="H692" s="2">
        <f>ROUND(_xlfn.XLOOKUP(A692,AE!A:A,AE!B:B,0)/7,1)</f>
        <v>0</v>
      </c>
      <c r="I692" s="2" t="str">
        <f>_xlfn.XLOOKUP(A692,SWFTX邮编覆盖!A:A,SWFTX邮编覆盖!B:B,"否")</f>
        <v>否</v>
      </c>
      <c r="J692" s="2" t="str">
        <f>_xlfn.XLOOKUP(A692,YW邮编覆盖!A:A,YW邮编覆盖!B:B,"否")</f>
        <v>否</v>
      </c>
    </row>
    <row r="693" spans="1:10" hidden="1">
      <c r="A693" s="3">
        <v>92690</v>
      </c>
      <c r="B693" s="1" t="s">
        <v>162</v>
      </c>
      <c r="C693" s="2" t="e">
        <f>_xlfn.XLOOKUP(B693,线路DSP对应!A:A,线路DSP对应!B:B)</f>
        <v>#N/A</v>
      </c>
      <c r="D693" s="4" t="s">
        <v>150</v>
      </c>
      <c r="E693" s="2" t="e">
        <f>_xlfn.XLOOKUP(A693,转单情况!A:A,转单情况!B:B)</f>
        <v>#N/A</v>
      </c>
      <c r="G693" s="28">
        <f>ROUND(_xlfn.XLOOKUP(A693,全量!A:A,全量!B:B,0)/7,1)</f>
        <v>0</v>
      </c>
      <c r="H693" s="2">
        <f>ROUND(_xlfn.XLOOKUP(A693,AE!A:A,AE!B:B,0)/7,1)</f>
        <v>0</v>
      </c>
      <c r="I693" s="2" t="str">
        <f>_xlfn.XLOOKUP(A693,SWFTX邮编覆盖!A:A,SWFTX邮编覆盖!B:B,"否")</f>
        <v>否</v>
      </c>
      <c r="J693" s="2" t="str">
        <f>_xlfn.XLOOKUP(A693,YW邮编覆盖!A:A,YW邮编覆盖!B:B,"否")</f>
        <v>否</v>
      </c>
    </row>
    <row r="694" spans="1:10" hidden="1">
      <c r="A694" s="3">
        <v>92698</v>
      </c>
      <c r="B694" s="1" t="s">
        <v>162</v>
      </c>
      <c r="C694" s="2" t="e">
        <f>_xlfn.XLOOKUP(B694,线路DSP对应!A:A,线路DSP对应!B:B)</f>
        <v>#N/A</v>
      </c>
      <c r="D694" s="4" t="s">
        <v>150</v>
      </c>
      <c r="E694" s="2" t="e">
        <f>_xlfn.XLOOKUP(A694,转单情况!A:A,转单情况!B:B)</f>
        <v>#N/A</v>
      </c>
      <c r="G694" s="28">
        <f>ROUND(_xlfn.XLOOKUP(A694,全量!A:A,全量!B:B,0)/7,1)</f>
        <v>0</v>
      </c>
      <c r="H694" s="2">
        <f>ROUND(_xlfn.XLOOKUP(A694,AE!A:A,AE!B:B,0)/7,1)</f>
        <v>0</v>
      </c>
      <c r="I694" s="2" t="str">
        <f>_xlfn.XLOOKUP(A694,SWFTX邮编覆盖!A:A,SWFTX邮编覆盖!B:B,"否")</f>
        <v>否</v>
      </c>
      <c r="J694" s="2" t="str">
        <f>_xlfn.XLOOKUP(A694,YW邮编覆盖!A:A,YW邮编覆盖!B:B,"否")</f>
        <v>否</v>
      </c>
    </row>
    <row r="695" spans="1:10" hidden="1">
      <c r="A695" s="3">
        <v>92654</v>
      </c>
      <c r="B695" s="1" t="s">
        <v>162</v>
      </c>
      <c r="C695" s="2" t="e">
        <f>_xlfn.XLOOKUP(B695,线路DSP对应!A:A,线路DSP对应!B:B)</f>
        <v>#N/A</v>
      </c>
      <c r="D695" s="4" t="s">
        <v>150</v>
      </c>
      <c r="E695" s="2" t="e">
        <f>_xlfn.XLOOKUP(A695,转单情况!A:A,转单情况!B:B)</f>
        <v>#N/A</v>
      </c>
      <c r="G695" s="28">
        <f>ROUND(_xlfn.XLOOKUP(A695,全量!A:A,全量!B:B,0)/7,1)</f>
        <v>0</v>
      </c>
      <c r="H695" s="2">
        <f>ROUND(_xlfn.XLOOKUP(A695,AE!A:A,AE!B:B,0)/7,1)</f>
        <v>0</v>
      </c>
      <c r="I695" s="2" t="str">
        <f>_xlfn.XLOOKUP(A695,SWFTX邮编覆盖!A:A,SWFTX邮编覆盖!B:B,"否")</f>
        <v>否</v>
      </c>
      <c r="J695" s="2" t="str">
        <f>_xlfn.XLOOKUP(A695,YW邮编覆盖!A:A,YW邮编覆盖!B:B,"否")</f>
        <v>否</v>
      </c>
    </row>
    <row r="696" spans="1:10" hidden="1">
      <c r="A696" s="3">
        <v>92815</v>
      </c>
      <c r="B696" s="1" t="s">
        <v>162</v>
      </c>
      <c r="C696" s="2" t="e">
        <f>_xlfn.XLOOKUP(B696,线路DSP对应!A:A,线路DSP对应!B:B)</f>
        <v>#N/A</v>
      </c>
      <c r="D696" s="4" t="s">
        <v>150</v>
      </c>
      <c r="E696" s="2" t="e">
        <f>_xlfn.XLOOKUP(A696,转单情况!A:A,转单情况!B:B)</f>
        <v>#N/A</v>
      </c>
      <c r="G696" s="28">
        <f>ROUND(_xlfn.XLOOKUP(A696,全量!A:A,全量!B:B,0)/7,1)</f>
        <v>0</v>
      </c>
      <c r="H696" s="2">
        <f>ROUND(_xlfn.XLOOKUP(A696,AE!A:A,AE!B:B,0)/7,1)</f>
        <v>0</v>
      </c>
      <c r="I696" s="2" t="str">
        <f>_xlfn.XLOOKUP(A696,SWFTX邮编覆盖!A:A,SWFTX邮编覆盖!B:B,"否")</f>
        <v>否</v>
      </c>
      <c r="J696" s="2" t="str">
        <f>_xlfn.XLOOKUP(A696,YW邮编覆盖!A:A,YW邮编覆盖!B:B,"否")</f>
        <v>否</v>
      </c>
    </row>
    <row r="697" spans="1:10" hidden="1">
      <c r="A697" s="3">
        <v>92816</v>
      </c>
      <c r="B697" s="1" t="s">
        <v>162</v>
      </c>
      <c r="C697" s="2" t="e">
        <f>_xlfn.XLOOKUP(B697,线路DSP对应!A:A,线路DSP对应!B:B)</f>
        <v>#N/A</v>
      </c>
      <c r="D697" s="4" t="s">
        <v>150</v>
      </c>
      <c r="E697" s="2" t="e">
        <f>_xlfn.XLOOKUP(A697,转单情况!A:A,转单情况!B:B)</f>
        <v>#N/A</v>
      </c>
      <c r="G697" s="28">
        <f>ROUND(_xlfn.XLOOKUP(A697,全量!A:A,全量!B:B,0)/7,1)</f>
        <v>0</v>
      </c>
      <c r="H697" s="2">
        <f>ROUND(_xlfn.XLOOKUP(A697,AE!A:A,AE!B:B,0)/7,1)</f>
        <v>0</v>
      </c>
      <c r="I697" s="2" t="str">
        <f>_xlfn.XLOOKUP(A697,SWFTX邮编覆盖!A:A,SWFTX邮编覆盖!B:B,"否")</f>
        <v>否</v>
      </c>
      <c r="J697" s="2" t="str">
        <f>_xlfn.XLOOKUP(A697,YW邮编覆盖!A:A,YW邮编覆盖!B:B,"否")</f>
        <v>否</v>
      </c>
    </row>
    <row r="698" spans="1:10" hidden="1">
      <c r="A698" s="3">
        <v>92817</v>
      </c>
      <c r="B698" s="1" t="s">
        <v>162</v>
      </c>
      <c r="C698" s="2" t="e">
        <f>_xlfn.XLOOKUP(B698,线路DSP对应!A:A,线路DSP对应!B:B)</f>
        <v>#N/A</v>
      </c>
      <c r="D698" s="4" t="s">
        <v>150</v>
      </c>
      <c r="E698" s="2" t="e">
        <f>_xlfn.XLOOKUP(A698,转单情况!A:A,转单情况!B:B)</f>
        <v>#N/A</v>
      </c>
      <c r="G698" s="28">
        <f>ROUND(_xlfn.XLOOKUP(A698,全量!A:A,全量!B:B,0)/7,1)</f>
        <v>0</v>
      </c>
      <c r="H698" s="2">
        <f>ROUND(_xlfn.XLOOKUP(A698,AE!A:A,AE!B:B,0)/7,1)</f>
        <v>0</v>
      </c>
      <c r="I698" s="2" t="str">
        <f>_xlfn.XLOOKUP(A698,SWFTX邮编覆盖!A:A,SWFTX邮编覆盖!B:B,"否")</f>
        <v>否</v>
      </c>
      <c r="J698" s="2" t="str">
        <f>_xlfn.XLOOKUP(A698,YW邮编覆盖!A:A,YW邮编覆盖!B:B,"否")</f>
        <v>否</v>
      </c>
    </row>
    <row r="699" spans="1:10" hidden="1">
      <c r="A699" s="3">
        <v>92850</v>
      </c>
      <c r="B699" s="1" t="s">
        <v>162</v>
      </c>
      <c r="C699" s="2" t="e">
        <f>_xlfn.XLOOKUP(B699,线路DSP对应!A:A,线路DSP对应!B:B)</f>
        <v>#N/A</v>
      </c>
      <c r="D699" s="4" t="s">
        <v>150</v>
      </c>
      <c r="E699" s="2" t="e">
        <f>_xlfn.XLOOKUP(A699,转单情况!A:A,转单情况!B:B)</f>
        <v>#N/A</v>
      </c>
      <c r="G699" s="28">
        <f>ROUND(_xlfn.XLOOKUP(A699,全量!A:A,全量!B:B,0)/7,1)</f>
        <v>0</v>
      </c>
      <c r="H699" s="2">
        <f>ROUND(_xlfn.XLOOKUP(A699,AE!A:A,AE!B:B,0)/7,1)</f>
        <v>0</v>
      </c>
      <c r="I699" s="2" t="str">
        <f>_xlfn.XLOOKUP(A699,SWFTX邮编覆盖!A:A,SWFTX邮编覆盖!B:B,"否")</f>
        <v>否</v>
      </c>
      <c r="J699" s="2" t="str">
        <f>_xlfn.XLOOKUP(A699,YW邮编覆盖!A:A,YW邮编覆盖!B:B,"否")</f>
        <v>否</v>
      </c>
    </row>
    <row r="700" spans="1:10" hidden="1">
      <c r="A700" s="3">
        <v>92864</v>
      </c>
      <c r="B700" s="1" t="s">
        <v>162</v>
      </c>
      <c r="C700" s="2" t="e">
        <f>_xlfn.XLOOKUP(B700,线路DSP对应!A:A,线路DSP对应!B:B)</f>
        <v>#N/A</v>
      </c>
      <c r="D700" s="4" t="s">
        <v>150</v>
      </c>
      <c r="E700" s="2" t="e">
        <f>_xlfn.XLOOKUP(A700,转单情况!A:A,转单情况!B:B)</f>
        <v>#N/A</v>
      </c>
      <c r="G700" s="28">
        <f>ROUND(_xlfn.XLOOKUP(A700,全量!A:A,全量!B:B,0)/7,1)</f>
        <v>0</v>
      </c>
      <c r="H700" s="2">
        <f>ROUND(_xlfn.XLOOKUP(A700,AE!A:A,AE!B:B,0)/7,1)</f>
        <v>0</v>
      </c>
      <c r="I700" s="2" t="str">
        <f>_xlfn.XLOOKUP(A700,SWFTX邮编覆盖!A:A,SWFTX邮编覆盖!B:B,"否")</f>
        <v>否</v>
      </c>
      <c r="J700" s="2" t="str">
        <f>_xlfn.XLOOKUP(A700,YW邮编覆盖!A:A,YW邮编覆盖!B:B,"否")</f>
        <v>否</v>
      </c>
    </row>
    <row r="701" spans="1:10" hidden="1">
      <c r="A701" s="3">
        <v>92825</v>
      </c>
      <c r="B701" s="1" t="s">
        <v>162</v>
      </c>
      <c r="C701" s="2" t="e">
        <f>_xlfn.XLOOKUP(B701,线路DSP对应!A:A,线路DSP对应!B:B)</f>
        <v>#N/A</v>
      </c>
      <c r="D701" s="4" t="s">
        <v>150</v>
      </c>
      <c r="E701" s="2" t="e">
        <f>_xlfn.XLOOKUP(A701,转单情况!A:A,转单情况!B:B)</f>
        <v>#N/A</v>
      </c>
      <c r="G701" s="28">
        <f>ROUND(_xlfn.XLOOKUP(A701,全量!A:A,全量!B:B,0)/7,1)</f>
        <v>0</v>
      </c>
      <c r="H701" s="2">
        <f>ROUND(_xlfn.XLOOKUP(A701,AE!A:A,AE!B:B,0)/7,1)</f>
        <v>0</v>
      </c>
      <c r="I701" s="2" t="str">
        <f>_xlfn.XLOOKUP(A701,SWFTX邮编覆盖!A:A,SWFTX邮编覆盖!B:B,"否")</f>
        <v>否</v>
      </c>
      <c r="J701" s="2" t="str">
        <f>_xlfn.XLOOKUP(A701,YW邮编覆盖!A:A,YW邮编覆盖!B:B,"否")</f>
        <v>否</v>
      </c>
    </row>
    <row r="702" spans="1:10" hidden="1">
      <c r="A702" s="3">
        <v>92803</v>
      </c>
      <c r="B702" s="1" t="s">
        <v>162</v>
      </c>
      <c r="C702" s="2" t="e">
        <f>_xlfn.XLOOKUP(B702,线路DSP对应!A:A,线路DSP对应!B:B)</f>
        <v>#N/A</v>
      </c>
      <c r="D702" s="4" t="s">
        <v>150</v>
      </c>
      <c r="E702" s="2" t="e">
        <f>_xlfn.XLOOKUP(A702,转单情况!A:A,转单情况!B:B)</f>
        <v>#N/A</v>
      </c>
      <c r="G702" s="28">
        <f>ROUND(_xlfn.XLOOKUP(A702,全量!A:A,全量!B:B,0)/7,1)</f>
        <v>0</v>
      </c>
      <c r="H702" s="2">
        <f>ROUND(_xlfn.XLOOKUP(A702,AE!A:A,AE!B:B,0)/7,1)</f>
        <v>0</v>
      </c>
      <c r="I702" s="2" t="str">
        <f>_xlfn.XLOOKUP(A702,SWFTX邮编覆盖!A:A,SWFTX邮编覆盖!B:B,"否")</f>
        <v>否</v>
      </c>
      <c r="J702" s="2" t="str">
        <f>_xlfn.XLOOKUP(A702,YW邮编覆盖!A:A,YW邮编覆盖!B:B,"否")</f>
        <v>否</v>
      </c>
    </row>
    <row r="703" spans="1:10" hidden="1">
      <c r="A703" s="3">
        <v>92809</v>
      </c>
      <c r="B703" s="1" t="s">
        <v>162</v>
      </c>
      <c r="C703" s="2" t="e">
        <f>_xlfn.XLOOKUP(B703,线路DSP对应!A:A,线路DSP对应!B:B)</f>
        <v>#N/A</v>
      </c>
      <c r="D703" s="4" t="s">
        <v>150</v>
      </c>
      <c r="E703" s="2" t="e">
        <f>_xlfn.XLOOKUP(A703,转单情况!A:A,转单情况!B:B)</f>
        <v>#N/A</v>
      </c>
      <c r="G703" s="28">
        <f>ROUND(_xlfn.XLOOKUP(A703,全量!A:A,全量!B:B,0)/7,1)</f>
        <v>0</v>
      </c>
      <c r="H703" s="2">
        <f>ROUND(_xlfn.XLOOKUP(A703,AE!A:A,AE!B:B,0)/7,1)</f>
        <v>0</v>
      </c>
      <c r="I703" s="2" t="str">
        <f>_xlfn.XLOOKUP(A703,SWFTX邮编覆盖!A:A,SWFTX邮编覆盖!B:B,"否")</f>
        <v>否</v>
      </c>
      <c r="J703" s="2" t="str">
        <f>_xlfn.XLOOKUP(A703,YW邮编覆盖!A:A,YW邮编覆盖!B:B,"否")</f>
        <v>否</v>
      </c>
    </row>
    <row r="704" spans="1:10" hidden="1">
      <c r="A704" s="3">
        <v>92811</v>
      </c>
      <c r="B704" s="1" t="s">
        <v>162</v>
      </c>
      <c r="C704" s="2" t="e">
        <f>_xlfn.XLOOKUP(B704,线路DSP对应!A:A,线路DSP对应!B:B)</f>
        <v>#N/A</v>
      </c>
      <c r="D704" s="4" t="s">
        <v>150</v>
      </c>
      <c r="E704" s="2" t="e">
        <f>_xlfn.XLOOKUP(A704,转单情况!A:A,转单情况!B:B)</f>
        <v>#N/A</v>
      </c>
      <c r="G704" s="28">
        <f>ROUND(_xlfn.XLOOKUP(A704,全量!A:A,全量!B:B,0)/7,1)</f>
        <v>0</v>
      </c>
      <c r="H704" s="2">
        <f>ROUND(_xlfn.XLOOKUP(A704,AE!A:A,AE!B:B,0)/7,1)</f>
        <v>0</v>
      </c>
      <c r="I704" s="2" t="str">
        <f>_xlfn.XLOOKUP(A704,SWFTX邮编覆盖!A:A,SWFTX邮编覆盖!B:B,"否")</f>
        <v>否</v>
      </c>
      <c r="J704" s="2" t="str">
        <f>_xlfn.XLOOKUP(A704,YW邮编覆盖!A:A,YW邮编覆盖!B:B,"否")</f>
        <v>否</v>
      </c>
    </row>
    <row r="705" spans="1:10" hidden="1">
      <c r="A705" s="3">
        <v>92842</v>
      </c>
      <c r="B705" s="1" t="s">
        <v>162</v>
      </c>
      <c r="C705" s="2" t="e">
        <f>_xlfn.XLOOKUP(B705,线路DSP对应!A:A,线路DSP对应!B:B)</f>
        <v>#N/A</v>
      </c>
      <c r="D705" s="4" t="s">
        <v>150</v>
      </c>
      <c r="E705" s="2" t="e">
        <f>_xlfn.XLOOKUP(A705,转单情况!A:A,转单情况!B:B)</f>
        <v>#N/A</v>
      </c>
      <c r="G705" s="28">
        <f>ROUND(_xlfn.XLOOKUP(A705,全量!A:A,全量!B:B,0)/7,1)</f>
        <v>0</v>
      </c>
      <c r="H705" s="2">
        <f>ROUND(_xlfn.XLOOKUP(A705,AE!A:A,AE!B:B,0)/7,1)</f>
        <v>0</v>
      </c>
      <c r="I705" s="2" t="str">
        <f>_xlfn.XLOOKUP(A705,SWFTX邮编覆盖!A:A,SWFTX邮编覆盖!B:B,"否")</f>
        <v>否</v>
      </c>
      <c r="J705" s="2" t="str">
        <f>_xlfn.XLOOKUP(A705,YW邮编覆盖!A:A,YW邮编覆盖!B:B,"否")</f>
        <v>否</v>
      </c>
    </row>
    <row r="706" spans="1:10" hidden="1">
      <c r="A706" s="3">
        <v>92607</v>
      </c>
      <c r="B706" s="1" t="s">
        <v>162</v>
      </c>
      <c r="C706" s="2" t="e">
        <f>_xlfn.XLOOKUP(B706,线路DSP对应!A:A,线路DSP对应!B:B)</f>
        <v>#N/A</v>
      </c>
      <c r="D706" s="4" t="s">
        <v>150</v>
      </c>
      <c r="E706" s="2" t="e">
        <f>_xlfn.XLOOKUP(A706,转单情况!A:A,转单情况!B:B)</f>
        <v>#N/A</v>
      </c>
      <c r="G706" s="28">
        <f>ROUND(_xlfn.XLOOKUP(A706,全量!A:A,全量!B:B,0)/7,1)</f>
        <v>0</v>
      </c>
      <c r="H706" s="2">
        <f>ROUND(_xlfn.XLOOKUP(A706,AE!A:A,AE!B:B,0)/7,1)</f>
        <v>0</v>
      </c>
      <c r="I706" s="2" t="str">
        <f>_xlfn.XLOOKUP(A706,SWFTX邮编覆盖!A:A,SWFTX邮编覆盖!B:B,"否")</f>
        <v>否</v>
      </c>
      <c r="J706" s="2" t="str">
        <f>_xlfn.XLOOKUP(A706,YW邮编覆盖!A:A,YW邮编覆盖!B:B,"否")</f>
        <v>否</v>
      </c>
    </row>
    <row r="707" spans="1:10" hidden="1">
      <c r="A707" s="3">
        <v>92693</v>
      </c>
      <c r="B707" s="1" t="s">
        <v>162</v>
      </c>
      <c r="C707" s="2" t="e">
        <f>_xlfn.XLOOKUP(B707,线路DSP对应!A:A,线路DSP对应!B:B)</f>
        <v>#N/A</v>
      </c>
      <c r="D707" s="4" t="s">
        <v>150</v>
      </c>
      <c r="E707" s="2" t="e">
        <f>_xlfn.XLOOKUP(A707,转单情况!A:A,转单情况!B:B)</f>
        <v>#N/A</v>
      </c>
      <c r="G707" s="28">
        <f>ROUND(_xlfn.XLOOKUP(A707,全量!A:A,全量!B:B,0)/7,1)</f>
        <v>0</v>
      </c>
      <c r="H707" s="2">
        <f>ROUND(_xlfn.XLOOKUP(A707,AE!A:A,AE!B:B,0)/7,1)</f>
        <v>0</v>
      </c>
      <c r="I707" s="2" t="str">
        <f>_xlfn.XLOOKUP(A707,SWFTX邮编覆盖!A:A,SWFTX邮编覆盖!B:B,"否")</f>
        <v>否</v>
      </c>
      <c r="J707" s="2" t="str">
        <f>_xlfn.XLOOKUP(A707,YW邮编覆盖!A:A,YW邮编覆盖!B:B,"否")</f>
        <v>否</v>
      </c>
    </row>
    <row r="708" spans="1:10" hidden="1">
      <c r="A708" s="3">
        <v>92735</v>
      </c>
      <c r="B708" s="1" t="s">
        <v>162</v>
      </c>
      <c r="C708" s="2" t="e">
        <f>_xlfn.XLOOKUP(B708,线路DSP对应!A:A,线路DSP对应!B:B)</f>
        <v>#N/A</v>
      </c>
      <c r="D708" s="4" t="s">
        <v>150</v>
      </c>
      <c r="E708" s="2" t="e">
        <f>_xlfn.XLOOKUP(A708,转单情况!A:A,转单情况!B:B)</f>
        <v>#N/A</v>
      </c>
      <c r="G708" s="28">
        <f>ROUND(_xlfn.XLOOKUP(A708,全量!A:A,全量!B:B,0)/7,1)</f>
        <v>0</v>
      </c>
      <c r="H708" s="2">
        <f>ROUND(_xlfn.XLOOKUP(A708,AE!A:A,AE!B:B,0)/7,1)</f>
        <v>0</v>
      </c>
      <c r="I708" s="2" t="str">
        <f>_xlfn.XLOOKUP(A708,SWFTX邮编覆盖!A:A,SWFTX邮编覆盖!B:B,"否")</f>
        <v>否</v>
      </c>
      <c r="J708" s="2" t="str">
        <f>_xlfn.XLOOKUP(A708,YW邮编覆盖!A:A,YW邮编覆盖!B:B,"否")</f>
        <v>否</v>
      </c>
    </row>
    <row r="709" spans="1:10" hidden="1">
      <c r="A709" s="3">
        <v>92781</v>
      </c>
      <c r="B709" s="1" t="s">
        <v>162</v>
      </c>
      <c r="C709" s="2" t="e">
        <f>_xlfn.XLOOKUP(B709,线路DSP对应!A:A,线路DSP对应!B:B)</f>
        <v>#N/A</v>
      </c>
      <c r="D709" s="4" t="s">
        <v>150</v>
      </c>
      <c r="E709" s="2" t="e">
        <f>_xlfn.XLOOKUP(A709,转单情况!A:A,转单情况!B:B)</f>
        <v>#N/A</v>
      </c>
      <c r="G709" s="28">
        <f>ROUND(_xlfn.XLOOKUP(A709,全量!A:A,全量!B:B,0)/7,1)</f>
        <v>0</v>
      </c>
      <c r="H709" s="2">
        <f>ROUND(_xlfn.XLOOKUP(A709,AE!A:A,AE!B:B,0)/7,1)</f>
        <v>0</v>
      </c>
      <c r="I709" s="2" t="str">
        <f>_xlfn.XLOOKUP(A709,SWFTX邮编覆盖!A:A,SWFTX邮编覆盖!B:B,"否")</f>
        <v>否</v>
      </c>
      <c r="J709" s="2" t="str">
        <f>_xlfn.XLOOKUP(A709,YW邮编覆盖!A:A,YW邮编覆盖!B:B,"否")</f>
        <v>否</v>
      </c>
    </row>
    <row r="710" spans="1:10" hidden="1">
      <c r="A710" s="3">
        <v>92799</v>
      </c>
      <c r="B710" s="1" t="s">
        <v>162</v>
      </c>
      <c r="C710" s="2" t="e">
        <f>_xlfn.XLOOKUP(B710,线路DSP对应!A:A,线路DSP对应!B:B)</f>
        <v>#N/A</v>
      </c>
      <c r="D710" s="4" t="s">
        <v>150</v>
      </c>
      <c r="E710" s="2" t="e">
        <f>_xlfn.XLOOKUP(A710,转单情况!A:A,转单情况!B:B)</f>
        <v>#N/A</v>
      </c>
      <c r="G710" s="28">
        <f>ROUND(_xlfn.XLOOKUP(A710,全量!A:A,全量!B:B,0)/7,1)</f>
        <v>0</v>
      </c>
      <c r="H710" s="2">
        <f>ROUND(_xlfn.XLOOKUP(A710,AE!A:A,AE!B:B,0)/7,1)</f>
        <v>0</v>
      </c>
      <c r="I710" s="2" t="str">
        <f>_xlfn.XLOOKUP(A710,SWFTX邮编覆盖!A:A,SWFTX邮编覆盖!B:B,"否")</f>
        <v>否</v>
      </c>
      <c r="J710" s="2" t="str">
        <f>_xlfn.XLOOKUP(A710,YW邮编覆盖!A:A,YW邮编覆盖!B:B,"否")</f>
        <v>否</v>
      </c>
    </row>
    <row r="711" spans="1:10" hidden="1">
      <c r="A711" s="3">
        <v>92702</v>
      </c>
      <c r="B711" s="1" t="s">
        <v>162</v>
      </c>
      <c r="C711" s="2" t="e">
        <f>_xlfn.XLOOKUP(B711,线路DSP对应!A:A,线路DSP对应!B:B)</f>
        <v>#N/A</v>
      </c>
      <c r="D711" s="4" t="s">
        <v>150</v>
      </c>
      <c r="E711" s="2" t="e">
        <f>_xlfn.XLOOKUP(A711,转单情况!A:A,转单情况!B:B)</f>
        <v>#N/A</v>
      </c>
      <c r="G711" s="28">
        <f>ROUND(_xlfn.XLOOKUP(A711,全量!A:A,全量!B:B,0)/7,1)</f>
        <v>0</v>
      </c>
      <c r="H711" s="2">
        <f>ROUND(_xlfn.XLOOKUP(A711,AE!A:A,AE!B:B,0)/7,1)</f>
        <v>0</v>
      </c>
      <c r="I711" s="2" t="str">
        <f>_xlfn.XLOOKUP(A711,SWFTX邮编覆盖!A:A,SWFTX邮编覆盖!B:B,"否")</f>
        <v>否</v>
      </c>
      <c r="J711" s="2" t="str">
        <f>_xlfn.XLOOKUP(A711,YW邮编覆盖!A:A,YW邮编覆盖!B:B,"否")</f>
        <v>否</v>
      </c>
    </row>
    <row r="712" spans="1:10" hidden="1">
      <c r="A712" s="3">
        <v>92711</v>
      </c>
      <c r="B712" s="1" t="s">
        <v>162</v>
      </c>
      <c r="C712" s="2" t="e">
        <f>_xlfn.XLOOKUP(B712,线路DSP对应!A:A,线路DSP对应!B:B)</f>
        <v>#N/A</v>
      </c>
      <c r="D712" s="4" t="s">
        <v>150</v>
      </c>
      <c r="E712" s="2" t="e">
        <f>_xlfn.XLOOKUP(A712,转单情况!A:A,转单情况!B:B)</f>
        <v>#N/A</v>
      </c>
      <c r="G712" s="28">
        <f>ROUND(_xlfn.XLOOKUP(A712,全量!A:A,全量!B:B,0)/7,1)</f>
        <v>0</v>
      </c>
      <c r="H712" s="2">
        <f>ROUND(_xlfn.XLOOKUP(A712,AE!A:A,AE!B:B,0)/7,1)</f>
        <v>0</v>
      </c>
      <c r="I712" s="2" t="str">
        <f>_xlfn.XLOOKUP(A712,SWFTX邮编覆盖!A:A,SWFTX邮编覆盖!B:B,"否")</f>
        <v>否</v>
      </c>
      <c r="J712" s="2" t="str">
        <f>_xlfn.XLOOKUP(A712,YW邮编覆盖!A:A,YW邮编覆盖!B:B,"否")</f>
        <v>否</v>
      </c>
    </row>
    <row r="713" spans="1:10" hidden="1">
      <c r="A713" s="3">
        <v>92712</v>
      </c>
      <c r="B713" s="1" t="s">
        <v>162</v>
      </c>
      <c r="C713" s="2" t="e">
        <f>_xlfn.XLOOKUP(B713,线路DSP对应!A:A,线路DSP对应!B:B)</f>
        <v>#N/A</v>
      </c>
      <c r="D713" s="4" t="s">
        <v>150</v>
      </c>
      <c r="E713" s="2" t="e">
        <f>_xlfn.XLOOKUP(A713,转单情况!A:A,转单情况!B:B)</f>
        <v>#N/A</v>
      </c>
      <c r="G713" s="28">
        <f>ROUND(_xlfn.XLOOKUP(A713,全量!A:A,全量!B:B,0)/7,1)</f>
        <v>0</v>
      </c>
      <c r="H713" s="2">
        <f>ROUND(_xlfn.XLOOKUP(A713,AE!A:A,AE!B:B,0)/7,1)</f>
        <v>0</v>
      </c>
      <c r="I713" s="2" t="str">
        <f>_xlfn.XLOOKUP(A713,SWFTX邮编覆盖!A:A,SWFTX邮编覆盖!B:B,"否")</f>
        <v>否</v>
      </c>
      <c r="J713" s="2" t="str">
        <f>_xlfn.XLOOKUP(A713,YW邮编覆盖!A:A,YW邮编覆盖!B:B,"否")</f>
        <v>否</v>
      </c>
    </row>
    <row r="714" spans="1:10" hidden="1">
      <c r="A714" s="3">
        <v>92605</v>
      </c>
      <c r="B714" s="1" t="s">
        <v>162</v>
      </c>
      <c r="C714" s="2" t="e">
        <f>_xlfn.XLOOKUP(B714,线路DSP对应!A:A,线路DSP对应!B:B)</f>
        <v>#N/A</v>
      </c>
      <c r="D714" s="4" t="s">
        <v>150</v>
      </c>
      <c r="E714" s="2" t="e">
        <f>_xlfn.XLOOKUP(A714,转单情况!A:A,转单情况!B:B)</f>
        <v>#N/A</v>
      </c>
      <c r="G714" s="28">
        <f>ROUND(_xlfn.XLOOKUP(A714,全量!A:A,全量!B:B,0)/7,1)</f>
        <v>0</v>
      </c>
      <c r="H714" s="2">
        <f>ROUND(_xlfn.XLOOKUP(A714,AE!A:A,AE!B:B,0)/7,1)</f>
        <v>0</v>
      </c>
      <c r="I714" s="2" t="str">
        <f>_xlfn.XLOOKUP(A714,SWFTX邮编覆盖!A:A,SWFTX邮编覆盖!B:B,"否")</f>
        <v>否</v>
      </c>
      <c r="J714" s="2" t="str">
        <f>_xlfn.XLOOKUP(A714,YW邮编覆盖!A:A,YW邮编覆盖!B:B,"否")</f>
        <v>否</v>
      </c>
    </row>
    <row r="715" spans="1:10" hidden="1">
      <c r="A715" s="3">
        <v>92615</v>
      </c>
      <c r="B715" s="1" t="s">
        <v>162</v>
      </c>
      <c r="C715" s="2" t="e">
        <f>_xlfn.XLOOKUP(B715,线路DSP对应!A:A,线路DSP对应!B:B)</f>
        <v>#N/A</v>
      </c>
      <c r="D715" s="4" t="s">
        <v>150</v>
      </c>
      <c r="E715" s="2" t="e">
        <f>_xlfn.XLOOKUP(A715,转单情况!A:A,转单情况!B:B)</f>
        <v>#N/A</v>
      </c>
      <c r="G715" s="28">
        <f>ROUND(_xlfn.XLOOKUP(A715,全量!A:A,全量!B:B,0)/7,1)</f>
        <v>0</v>
      </c>
      <c r="H715" s="2">
        <f>ROUND(_xlfn.XLOOKUP(A715,AE!A:A,AE!B:B,0)/7,1)</f>
        <v>0</v>
      </c>
      <c r="I715" s="2" t="str">
        <f>_xlfn.XLOOKUP(A715,SWFTX邮编覆盖!A:A,SWFTX邮编覆盖!B:B,"否")</f>
        <v>否</v>
      </c>
      <c r="J715" s="2" t="str">
        <f>_xlfn.XLOOKUP(A715,YW邮编覆盖!A:A,YW邮编覆盖!B:B,"否")</f>
        <v>否</v>
      </c>
    </row>
    <row r="716" spans="1:10" hidden="1">
      <c r="A716" s="3">
        <v>92628</v>
      </c>
      <c r="B716" s="1" t="s">
        <v>162</v>
      </c>
      <c r="C716" s="2" t="e">
        <f>_xlfn.XLOOKUP(B716,线路DSP对应!A:A,线路DSP对应!B:B)</f>
        <v>#N/A</v>
      </c>
      <c r="D716" s="4" t="s">
        <v>150</v>
      </c>
      <c r="E716" s="2" t="e">
        <f>_xlfn.XLOOKUP(A716,转单情况!A:A,转单情况!B:B)</f>
        <v>#N/A</v>
      </c>
      <c r="G716" s="28">
        <f>ROUND(_xlfn.XLOOKUP(A716,全量!A:A,全量!B:B,0)/7,1)</f>
        <v>0</v>
      </c>
      <c r="H716" s="2">
        <f>ROUND(_xlfn.XLOOKUP(A716,AE!A:A,AE!B:B,0)/7,1)</f>
        <v>0</v>
      </c>
      <c r="I716" s="2" t="str">
        <f>_xlfn.XLOOKUP(A716,SWFTX邮编覆盖!A:A,SWFTX邮编覆盖!B:B,"否")</f>
        <v>否</v>
      </c>
      <c r="J716" s="2" t="str">
        <f>_xlfn.XLOOKUP(A716,YW邮编覆盖!A:A,YW邮编覆盖!B:B,"否")</f>
        <v>否</v>
      </c>
    </row>
    <row r="717" spans="1:10" hidden="1">
      <c r="A717" s="3">
        <v>92659</v>
      </c>
      <c r="B717" s="1" t="s">
        <v>162</v>
      </c>
      <c r="C717" s="2" t="e">
        <f>_xlfn.XLOOKUP(B717,线路DSP对应!A:A,线路DSP对应!B:B)</f>
        <v>#N/A</v>
      </c>
      <c r="D717" s="4" t="s">
        <v>150</v>
      </c>
      <c r="E717" s="2" t="e">
        <f>_xlfn.XLOOKUP(A717,转单情况!A:A,转单情况!B:B)</f>
        <v>#N/A</v>
      </c>
      <c r="G717" s="28">
        <f>ROUND(_xlfn.XLOOKUP(A717,全量!A:A,全量!B:B,0)/7,1)</f>
        <v>0</v>
      </c>
      <c r="H717" s="2">
        <f>ROUND(_xlfn.XLOOKUP(A717,AE!A:A,AE!B:B,0)/7,1)</f>
        <v>0</v>
      </c>
      <c r="I717" s="2" t="str">
        <f>_xlfn.XLOOKUP(A717,SWFTX邮编覆盖!A:A,SWFTX邮编覆盖!B:B,"否")</f>
        <v>否</v>
      </c>
      <c r="J717" s="2" t="str">
        <f>_xlfn.XLOOKUP(A717,YW邮编覆盖!A:A,YW邮编覆盖!B:B,"否")</f>
        <v>否</v>
      </c>
    </row>
    <row r="718" spans="1:10" hidden="1">
      <c r="A718" s="3">
        <v>92658</v>
      </c>
      <c r="B718" s="1" t="s">
        <v>162</v>
      </c>
      <c r="C718" s="2" t="e">
        <f>_xlfn.XLOOKUP(B718,线路DSP对应!A:A,线路DSP对应!B:B)</f>
        <v>#N/A</v>
      </c>
      <c r="D718" s="4" t="s">
        <v>150</v>
      </c>
      <c r="E718" s="2" t="e">
        <f>_xlfn.XLOOKUP(A718,转单情况!A:A,转单情况!B:B)</f>
        <v>#N/A</v>
      </c>
      <c r="G718" s="28">
        <f>ROUND(_xlfn.XLOOKUP(A718,全量!A:A,全量!B:B,0)/7,1)</f>
        <v>0</v>
      </c>
      <c r="H718" s="2">
        <f>ROUND(_xlfn.XLOOKUP(A718,AE!A:A,AE!B:B,0)/7,1)</f>
        <v>0</v>
      </c>
      <c r="I718" s="2" t="str">
        <f>_xlfn.XLOOKUP(A718,SWFTX邮编覆盖!A:A,SWFTX邮编覆盖!B:B,"否")</f>
        <v>否</v>
      </c>
      <c r="J718" s="2" t="str">
        <f>_xlfn.XLOOKUP(A718,YW邮编覆盖!A:A,YW邮编覆盖!B:B,"否")</f>
        <v>否</v>
      </c>
    </row>
    <row r="719" spans="1:10" hidden="1">
      <c r="A719" s="3">
        <v>92871</v>
      </c>
      <c r="B719" s="1" t="s">
        <v>162</v>
      </c>
      <c r="C719" s="2" t="e">
        <f>_xlfn.XLOOKUP(B719,线路DSP对应!A:A,线路DSP对应!B:B)</f>
        <v>#N/A</v>
      </c>
      <c r="D719" s="4" t="s">
        <v>150</v>
      </c>
      <c r="E719" s="2" t="e">
        <f>_xlfn.XLOOKUP(A719,转单情况!A:A,转单情况!B:B)</f>
        <v>#N/A</v>
      </c>
      <c r="G719" s="28">
        <f>ROUND(_xlfn.XLOOKUP(A719,全量!A:A,全量!B:B,0)/7,1)</f>
        <v>0</v>
      </c>
      <c r="H719" s="2">
        <f>ROUND(_xlfn.XLOOKUP(A719,AE!A:A,AE!B:B,0)/7,1)</f>
        <v>0</v>
      </c>
      <c r="I719" s="2" t="str">
        <f>_xlfn.XLOOKUP(A719,SWFTX邮编覆盖!A:A,SWFTX邮编覆盖!B:B,"否")</f>
        <v>否</v>
      </c>
      <c r="J719" s="2" t="str">
        <f>_xlfn.XLOOKUP(A719,YW邮编覆盖!A:A,YW邮编覆盖!B:B,"否")</f>
        <v>否</v>
      </c>
    </row>
    <row r="720" spans="1:10" hidden="1">
      <c r="A720" s="3">
        <v>92885</v>
      </c>
      <c r="B720" s="1" t="s">
        <v>162</v>
      </c>
      <c r="C720" s="2" t="e">
        <f>_xlfn.XLOOKUP(B720,线路DSP对应!A:A,线路DSP对应!B:B)</f>
        <v>#N/A</v>
      </c>
      <c r="D720" s="4" t="s">
        <v>150</v>
      </c>
      <c r="E720" s="2" t="e">
        <f>_xlfn.XLOOKUP(A720,转单情况!A:A,转单情况!B:B)</f>
        <v>#N/A</v>
      </c>
      <c r="G720" s="28">
        <f>ROUND(_xlfn.XLOOKUP(A720,全量!A:A,全量!B:B,0)/7,1)</f>
        <v>0</v>
      </c>
      <c r="H720" s="2">
        <f>ROUND(_xlfn.XLOOKUP(A720,AE!A:A,AE!B:B,0)/7,1)</f>
        <v>0</v>
      </c>
      <c r="I720" s="2" t="str">
        <f>_xlfn.XLOOKUP(A720,SWFTX邮编覆盖!A:A,SWFTX邮编覆盖!B:B,"否")</f>
        <v>否</v>
      </c>
      <c r="J720" s="2" t="str">
        <f>_xlfn.XLOOKUP(A720,YW邮编覆盖!A:A,YW邮编覆盖!B:B,"否")</f>
        <v>否</v>
      </c>
    </row>
    <row r="721" spans="1:10" hidden="1">
      <c r="A721" s="3">
        <v>92899</v>
      </c>
      <c r="B721" s="1" t="s">
        <v>162</v>
      </c>
      <c r="C721" s="2" t="e">
        <f>_xlfn.XLOOKUP(B721,线路DSP对应!A:A,线路DSP对应!B:B)</f>
        <v>#N/A</v>
      </c>
      <c r="D721" s="4" t="s">
        <v>150</v>
      </c>
      <c r="E721" s="2" t="e">
        <f>_xlfn.XLOOKUP(A721,转单情况!A:A,转单情况!B:B)</f>
        <v>#N/A</v>
      </c>
      <c r="G721" s="28">
        <f>ROUND(_xlfn.XLOOKUP(A721,全量!A:A,全量!B:B,0)/7,1)</f>
        <v>0</v>
      </c>
      <c r="H721" s="2">
        <f>ROUND(_xlfn.XLOOKUP(A721,AE!A:A,AE!B:B,0)/7,1)</f>
        <v>0</v>
      </c>
      <c r="I721" s="2" t="str">
        <f>_xlfn.XLOOKUP(A721,SWFTX邮编覆盖!A:A,SWFTX邮编覆盖!B:B,"否")</f>
        <v>否</v>
      </c>
      <c r="J721" s="2" t="str">
        <f>_xlfn.XLOOKUP(A721,YW邮编覆盖!A:A,YW邮编覆盖!B:B,"否")</f>
        <v>否</v>
      </c>
    </row>
    <row r="722" spans="1:10" hidden="1">
      <c r="A722" s="3">
        <v>85212</v>
      </c>
      <c r="B722" s="1" t="s">
        <v>122</v>
      </c>
      <c r="C722" s="2" t="str">
        <f>_xlfn.XLOOKUP(B722,线路DSP对应!A:A,线路DSP对应!B:B)</f>
        <v>STA_LAX_ChinaOcean</v>
      </c>
      <c r="D722" s="4" t="s">
        <v>155</v>
      </c>
      <c r="E722" s="2" t="str">
        <f>_xlfn.XLOOKUP(A722,转单情况!A:A,转单情况!B:B)</f>
        <v>SW</v>
      </c>
      <c r="G722" s="28">
        <f>ROUND(_xlfn.XLOOKUP(A722,全量!A:A,全量!B:B,0)/7,1)</f>
        <v>14</v>
      </c>
      <c r="H722" s="2">
        <f>ROUND(_xlfn.XLOOKUP(A722,AE!A:A,AE!B:B,0)/7,1)</f>
        <v>12.9</v>
      </c>
      <c r="I722" s="2" t="str">
        <f>_xlfn.XLOOKUP(A722,SWFTX邮编覆盖!A:A,SWFTX邮编覆盖!B:B,"否")</f>
        <v>是</v>
      </c>
      <c r="J722" s="2" t="str">
        <f>_xlfn.XLOOKUP(A722,YW邮编覆盖!A:A,YW邮编覆盖!B:B,"否")</f>
        <v>是</v>
      </c>
    </row>
    <row r="723" spans="1:10" hidden="1">
      <c r="A723" s="3">
        <v>85224</v>
      </c>
      <c r="B723" s="1" t="s">
        <v>122</v>
      </c>
      <c r="C723" s="2" t="str">
        <f>_xlfn.XLOOKUP(B723,线路DSP对应!A:A,线路DSP对应!B:B)</f>
        <v>STA_LAX_ChinaOcean</v>
      </c>
      <c r="D723" s="4" t="s">
        <v>155</v>
      </c>
      <c r="E723" s="2" t="str">
        <f>_xlfn.XLOOKUP(A723,转单情况!A:A,转单情况!B:B)</f>
        <v>SW</v>
      </c>
      <c r="G723" s="28">
        <f>ROUND(_xlfn.XLOOKUP(A723,全量!A:A,全量!B:B,0)/7,1)</f>
        <v>9.9</v>
      </c>
      <c r="H723" s="2">
        <f>ROUND(_xlfn.XLOOKUP(A723,AE!A:A,AE!B:B,0)/7,1)</f>
        <v>9.1</v>
      </c>
      <c r="I723" s="2" t="str">
        <f>_xlfn.XLOOKUP(A723,SWFTX邮编覆盖!A:A,SWFTX邮编覆盖!B:B,"否")</f>
        <v>是</v>
      </c>
      <c r="J723" s="2" t="str">
        <f>_xlfn.XLOOKUP(A723,YW邮编覆盖!A:A,YW邮编覆盖!B:B,"否")</f>
        <v>是</v>
      </c>
    </row>
    <row r="724" spans="1:10" hidden="1">
      <c r="A724" s="3">
        <v>85225</v>
      </c>
      <c r="B724" s="1" t="s">
        <v>122</v>
      </c>
      <c r="C724" s="2" t="str">
        <f>_xlfn.XLOOKUP(B724,线路DSP对应!A:A,线路DSP对应!B:B)</f>
        <v>STA_LAX_ChinaOcean</v>
      </c>
      <c r="D724" s="4" t="s">
        <v>155</v>
      </c>
      <c r="E724" s="2" t="str">
        <f>_xlfn.XLOOKUP(A724,转单情况!A:A,转单情况!B:B)</f>
        <v>SW</v>
      </c>
      <c r="G724" s="28">
        <f>ROUND(_xlfn.XLOOKUP(A724,全量!A:A,全量!B:B,0)/7,1)</f>
        <v>18.399999999999999</v>
      </c>
      <c r="H724" s="2">
        <f>ROUND(_xlfn.XLOOKUP(A724,AE!A:A,AE!B:B,0)/7,1)</f>
        <v>17.100000000000001</v>
      </c>
      <c r="I724" s="2" t="str">
        <f>_xlfn.XLOOKUP(A724,SWFTX邮编覆盖!A:A,SWFTX邮编覆盖!B:B,"否")</f>
        <v>是</v>
      </c>
      <c r="J724" s="2" t="str">
        <f>_xlfn.XLOOKUP(A724,YW邮编覆盖!A:A,YW邮编覆盖!B:B,"否")</f>
        <v>是</v>
      </c>
    </row>
    <row r="725" spans="1:10" hidden="1">
      <c r="A725" s="3">
        <v>85286</v>
      </c>
      <c r="B725" s="1" t="s">
        <v>122</v>
      </c>
      <c r="C725" s="2" t="str">
        <f>_xlfn.XLOOKUP(B725,线路DSP对应!A:A,线路DSP对应!B:B)</f>
        <v>STA_LAX_ChinaOcean</v>
      </c>
      <c r="D725" s="4" t="s">
        <v>155</v>
      </c>
      <c r="E725" s="2" t="str">
        <f>_xlfn.XLOOKUP(A725,转单情况!A:A,转单情况!B:B)</f>
        <v>SW</v>
      </c>
      <c r="G725" s="28">
        <f>ROUND(_xlfn.XLOOKUP(A725,全量!A:A,全量!B:B,0)/7,1)</f>
        <v>14.9</v>
      </c>
      <c r="H725" s="2">
        <f>ROUND(_xlfn.XLOOKUP(A725,AE!A:A,AE!B:B,0)/7,1)</f>
        <v>14.7</v>
      </c>
      <c r="I725" s="2" t="str">
        <f>_xlfn.XLOOKUP(A725,SWFTX邮编覆盖!A:A,SWFTX邮编覆盖!B:B,"否")</f>
        <v>是</v>
      </c>
      <c r="J725" s="2" t="str">
        <f>_xlfn.XLOOKUP(A725,YW邮编覆盖!A:A,YW邮编覆盖!B:B,"否")</f>
        <v>是</v>
      </c>
    </row>
    <row r="726" spans="1:10" hidden="1">
      <c r="A726" s="3">
        <v>85249</v>
      </c>
      <c r="B726" s="1" t="s">
        <v>122</v>
      </c>
      <c r="C726" s="2" t="str">
        <f>_xlfn.XLOOKUP(B726,线路DSP对应!A:A,线路DSP对应!B:B)</f>
        <v>STA_LAX_ChinaOcean</v>
      </c>
      <c r="D726" s="4" t="s">
        <v>155</v>
      </c>
      <c r="E726" s="2" t="str">
        <f>_xlfn.XLOOKUP(A726,转单情况!A:A,转单情况!B:B)</f>
        <v>SW</v>
      </c>
      <c r="G726" s="28">
        <f>ROUND(_xlfn.XLOOKUP(A726,全量!A:A,全量!B:B,0)/7,1)</f>
        <v>10.1</v>
      </c>
      <c r="H726" s="2">
        <f>ROUND(_xlfn.XLOOKUP(A726,AE!A:A,AE!B:B,0)/7,1)</f>
        <v>9.6999999999999993</v>
      </c>
      <c r="I726" s="2" t="str">
        <f>_xlfn.XLOOKUP(A726,SWFTX邮编覆盖!A:A,SWFTX邮编覆盖!B:B,"否")</f>
        <v>是</v>
      </c>
      <c r="J726" s="2" t="str">
        <f>_xlfn.XLOOKUP(A726,YW邮编覆盖!A:A,YW邮编覆盖!B:B,"否")</f>
        <v>是</v>
      </c>
    </row>
    <row r="727" spans="1:10" hidden="1">
      <c r="A727" s="3">
        <v>85233</v>
      </c>
      <c r="B727" s="1" t="s">
        <v>122</v>
      </c>
      <c r="C727" s="2" t="str">
        <f>_xlfn.XLOOKUP(B727,线路DSP对应!A:A,线路DSP对应!B:B)</f>
        <v>STA_LAX_ChinaOcean</v>
      </c>
      <c r="D727" s="4" t="s">
        <v>155</v>
      </c>
      <c r="E727" s="2" t="str">
        <f>_xlfn.XLOOKUP(A727,转单情况!A:A,转单情况!B:B)</f>
        <v>SW</v>
      </c>
      <c r="G727" s="28">
        <f>ROUND(_xlfn.XLOOKUP(A727,全量!A:A,全量!B:B,0)/7,1)</f>
        <v>9.1</v>
      </c>
      <c r="H727" s="2">
        <f>ROUND(_xlfn.XLOOKUP(A727,AE!A:A,AE!B:B,0)/7,1)</f>
        <v>8.6999999999999993</v>
      </c>
      <c r="I727" s="2" t="str">
        <f>_xlfn.XLOOKUP(A727,SWFTX邮编覆盖!A:A,SWFTX邮编覆盖!B:B,"否")</f>
        <v>是</v>
      </c>
      <c r="J727" s="2" t="str">
        <f>_xlfn.XLOOKUP(A727,YW邮编覆盖!A:A,YW邮编覆盖!B:B,"否")</f>
        <v>是</v>
      </c>
    </row>
    <row r="728" spans="1:10" hidden="1">
      <c r="A728" s="3">
        <v>85234</v>
      </c>
      <c r="B728" s="1" t="s">
        <v>122</v>
      </c>
      <c r="C728" s="2" t="str">
        <f>_xlfn.XLOOKUP(B728,线路DSP对应!A:A,线路DSP对应!B:B)</f>
        <v>STA_LAX_ChinaOcean</v>
      </c>
      <c r="D728" s="4" t="s">
        <v>155</v>
      </c>
      <c r="E728" s="2" t="str">
        <f>_xlfn.XLOOKUP(A728,转单情况!A:A,转单情况!B:B)</f>
        <v>SW</v>
      </c>
      <c r="G728" s="28">
        <f>ROUND(_xlfn.XLOOKUP(A728,全量!A:A,全量!B:B,0)/7,1)</f>
        <v>13.7</v>
      </c>
      <c r="H728" s="2">
        <f>ROUND(_xlfn.XLOOKUP(A728,AE!A:A,AE!B:B,0)/7,1)</f>
        <v>13.3</v>
      </c>
      <c r="I728" s="2" t="str">
        <f>_xlfn.XLOOKUP(A728,SWFTX邮编覆盖!A:A,SWFTX邮编覆盖!B:B,"否")</f>
        <v>是</v>
      </c>
      <c r="J728" s="2" t="str">
        <f>_xlfn.XLOOKUP(A728,YW邮编覆盖!A:A,YW邮编覆盖!B:B,"否")</f>
        <v>是</v>
      </c>
    </row>
    <row r="729" spans="1:10" hidden="1">
      <c r="A729" s="3">
        <v>85296</v>
      </c>
      <c r="B729" s="1" t="s">
        <v>122</v>
      </c>
      <c r="C729" s="2" t="str">
        <f>_xlfn.XLOOKUP(B729,线路DSP对应!A:A,线路DSP对应!B:B)</f>
        <v>STA_LAX_ChinaOcean</v>
      </c>
      <c r="D729" s="4" t="s">
        <v>155</v>
      </c>
      <c r="E729" s="2" t="str">
        <f>_xlfn.XLOOKUP(A729,转单情况!A:A,转单情况!B:B)</f>
        <v>SW</v>
      </c>
      <c r="G729" s="28">
        <f>ROUND(_xlfn.XLOOKUP(A729,全量!A:A,全量!B:B,0)/7,1)</f>
        <v>12.4</v>
      </c>
      <c r="H729" s="2">
        <f>ROUND(_xlfn.XLOOKUP(A729,AE!A:A,AE!B:B,0)/7,1)</f>
        <v>11.7</v>
      </c>
      <c r="I729" s="2" t="str">
        <f>_xlfn.XLOOKUP(A729,SWFTX邮编覆盖!A:A,SWFTX邮编覆盖!B:B,"否")</f>
        <v>是</v>
      </c>
      <c r="J729" s="2" t="str">
        <f>_xlfn.XLOOKUP(A729,YW邮编覆盖!A:A,YW邮编覆盖!B:B,"否")</f>
        <v>是</v>
      </c>
    </row>
    <row r="730" spans="1:10" hidden="1">
      <c r="A730" s="3">
        <v>85295</v>
      </c>
      <c r="B730" s="1" t="s">
        <v>122</v>
      </c>
      <c r="C730" s="2" t="str">
        <f>_xlfn.XLOOKUP(B730,线路DSP对应!A:A,线路DSP对应!B:B)</f>
        <v>STA_LAX_ChinaOcean</v>
      </c>
      <c r="D730" s="4" t="s">
        <v>155</v>
      </c>
      <c r="E730" s="2" t="str">
        <f>_xlfn.XLOOKUP(A730,转单情况!A:A,转单情况!B:B)</f>
        <v>SW</v>
      </c>
      <c r="G730" s="28">
        <f>ROUND(_xlfn.XLOOKUP(A730,全量!A:A,全量!B:B,0)/7,1)</f>
        <v>14.7</v>
      </c>
      <c r="H730" s="2">
        <f>ROUND(_xlfn.XLOOKUP(A730,AE!A:A,AE!B:B,0)/7,1)</f>
        <v>13.7</v>
      </c>
      <c r="I730" s="2" t="str">
        <f>_xlfn.XLOOKUP(A730,SWFTX邮编覆盖!A:A,SWFTX邮编覆盖!B:B,"否")</f>
        <v>是</v>
      </c>
      <c r="J730" s="2" t="str">
        <f>_xlfn.XLOOKUP(A730,YW邮编覆盖!A:A,YW邮编覆盖!B:B,"否")</f>
        <v>是</v>
      </c>
    </row>
    <row r="731" spans="1:10" hidden="1">
      <c r="A731" s="3">
        <v>85298</v>
      </c>
      <c r="B731" s="1" t="s">
        <v>122</v>
      </c>
      <c r="C731" s="2" t="str">
        <f>_xlfn.XLOOKUP(B731,线路DSP对应!A:A,线路DSP对应!B:B)</f>
        <v>STA_LAX_ChinaOcean</v>
      </c>
      <c r="D731" s="4" t="s">
        <v>155</v>
      </c>
      <c r="E731" s="2" t="str">
        <f>_xlfn.XLOOKUP(A731,转单情况!A:A,转单情况!B:B)</f>
        <v>SW</v>
      </c>
      <c r="G731" s="28">
        <f>ROUND(_xlfn.XLOOKUP(A731,全量!A:A,全量!B:B,0)/7,1)</f>
        <v>11</v>
      </c>
      <c r="H731" s="2">
        <f>ROUND(_xlfn.XLOOKUP(A731,AE!A:A,AE!B:B,0)/7,1)</f>
        <v>10.3</v>
      </c>
      <c r="I731" s="2" t="str">
        <f>_xlfn.XLOOKUP(A731,SWFTX邮编覆盖!A:A,SWFTX邮编覆盖!B:B,"否")</f>
        <v>是</v>
      </c>
      <c r="J731" s="2" t="str">
        <f>_xlfn.XLOOKUP(A731,YW邮编覆盖!A:A,YW邮编覆盖!B:B,"否")</f>
        <v>是</v>
      </c>
    </row>
    <row r="732" spans="1:10" hidden="1">
      <c r="A732" s="3">
        <v>85297</v>
      </c>
      <c r="B732" s="1" t="s">
        <v>122</v>
      </c>
      <c r="C732" s="2" t="str">
        <f>_xlfn.XLOOKUP(B732,线路DSP对应!A:A,线路DSP对应!B:B)</f>
        <v>STA_LAX_ChinaOcean</v>
      </c>
      <c r="D732" s="4" t="s">
        <v>155</v>
      </c>
      <c r="E732" s="2" t="str">
        <f>_xlfn.XLOOKUP(A732,转单情况!A:A,转单情况!B:B)</f>
        <v>SW</v>
      </c>
      <c r="G732" s="28">
        <f>ROUND(_xlfn.XLOOKUP(A732,全量!A:A,全量!B:B,0)/7,1)</f>
        <v>8.3000000000000007</v>
      </c>
      <c r="H732" s="2">
        <f>ROUND(_xlfn.XLOOKUP(A732,AE!A:A,AE!B:B,0)/7,1)</f>
        <v>7.9</v>
      </c>
      <c r="I732" s="2" t="str">
        <f>_xlfn.XLOOKUP(A732,SWFTX邮编覆盖!A:A,SWFTX邮编覆盖!B:B,"否")</f>
        <v>是</v>
      </c>
      <c r="J732" s="2" t="str">
        <f>_xlfn.XLOOKUP(A732,YW邮编覆盖!A:A,YW邮编覆盖!B:B,"否")</f>
        <v>是</v>
      </c>
    </row>
    <row r="733" spans="1:10" hidden="1">
      <c r="A733" s="3">
        <v>85037</v>
      </c>
      <c r="B733" s="1" t="s">
        <v>123</v>
      </c>
      <c r="C733" s="2" t="str">
        <f>_xlfn.XLOOKUP(B733,线路DSP对应!A:A,线路DSP对应!B:B)</f>
        <v>STA_PHX_GOMEZ</v>
      </c>
      <c r="D733" s="4" t="s">
        <v>155</v>
      </c>
      <c r="E733" s="2" t="str">
        <f>_xlfn.XLOOKUP(A733,转单情况!A:A,转单情况!B:B)</f>
        <v>否</v>
      </c>
      <c r="G733" s="28">
        <f>ROUND(_xlfn.XLOOKUP(A733,全量!A:A,全量!B:B,0)/7,1)</f>
        <v>16.3</v>
      </c>
      <c r="H733" s="2">
        <f>ROUND(_xlfn.XLOOKUP(A733,AE!A:A,AE!B:B,0)/7,1)</f>
        <v>14.6</v>
      </c>
      <c r="I733" s="2" t="str">
        <f>_xlfn.XLOOKUP(A733,SWFTX邮编覆盖!A:A,SWFTX邮编覆盖!B:B,"否")</f>
        <v>是</v>
      </c>
      <c r="J733" s="2" t="str">
        <f>_xlfn.XLOOKUP(A733,YW邮编覆盖!A:A,YW邮编覆盖!B:B,"否")</f>
        <v>是</v>
      </c>
    </row>
    <row r="734" spans="1:10" hidden="1">
      <c r="A734" s="3">
        <v>85392</v>
      </c>
      <c r="B734" s="1" t="s">
        <v>123</v>
      </c>
      <c r="C734" s="2" t="str">
        <f>_xlfn.XLOOKUP(B734,线路DSP对应!A:A,线路DSP对应!B:B)</f>
        <v>STA_PHX_GOMEZ</v>
      </c>
      <c r="D734" s="4" t="s">
        <v>155</v>
      </c>
      <c r="E734" s="2" t="str">
        <f>_xlfn.XLOOKUP(A734,转单情况!A:A,转单情况!B:B)</f>
        <v>否</v>
      </c>
      <c r="G734" s="28">
        <f>ROUND(_xlfn.XLOOKUP(A734,全量!A:A,全量!B:B,0)/7,1)</f>
        <v>9.9</v>
      </c>
      <c r="H734" s="2">
        <f>ROUND(_xlfn.XLOOKUP(A734,AE!A:A,AE!B:B,0)/7,1)</f>
        <v>9.4</v>
      </c>
      <c r="I734" s="2" t="str">
        <f>_xlfn.XLOOKUP(A734,SWFTX邮编覆盖!A:A,SWFTX邮编覆盖!B:B,"否")</f>
        <v>是</v>
      </c>
      <c r="J734" s="2" t="str">
        <f>_xlfn.XLOOKUP(A734,YW邮编覆盖!A:A,YW邮编覆盖!B:B,"否")</f>
        <v>是</v>
      </c>
    </row>
    <row r="735" spans="1:10" hidden="1">
      <c r="A735" s="3">
        <v>85323</v>
      </c>
      <c r="B735" s="1" t="s">
        <v>123</v>
      </c>
      <c r="C735" s="2" t="str">
        <f>_xlfn.XLOOKUP(B735,线路DSP对应!A:A,线路DSP对应!B:B)</f>
        <v>STA_PHX_GOMEZ</v>
      </c>
      <c r="D735" s="4" t="s">
        <v>155</v>
      </c>
      <c r="E735" s="2" t="str">
        <f>_xlfn.XLOOKUP(A735,转单情况!A:A,转单情况!B:B)</f>
        <v>否</v>
      </c>
      <c r="G735" s="28">
        <f>ROUND(_xlfn.XLOOKUP(A735,全量!A:A,全量!B:B,0)/7,1)</f>
        <v>12.3</v>
      </c>
      <c r="H735" s="2">
        <f>ROUND(_xlfn.XLOOKUP(A735,AE!A:A,AE!B:B,0)/7,1)</f>
        <v>11.7</v>
      </c>
      <c r="I735" s="2" t="str">
        <f>_xlfn.XLOOKUP(A735,SWFTX邮编覆盖!A:A,SWFTX邮编覆盖!B:B,"否")</f>
        <v>是</v>
      </c>
      <c r="J735" s="2" t="str">
        <f>_xlfn.XLOOKUP(A735,YW邮编覆盖!A:A,YW邮编覆盖!B:B,"否")</f>
        <v>是</v>
      </c>
    </row>
    <row r="736" spans="1:10" hidden="1">
      <c r="A736" s="3">
        <v>85395</v>
      </c>
      <c r="B736" s="1" t="s">
        <v>123</v>
      </c>
      <c r="C736" s="2" t="str">
        <f>_xlfn.XLOOKUP(B736,线路DSP对应!A:A,线路DSP对应!B:B)</f>
        <v>STA_PHX_GOMEZ</v>
      </c>
      <c r="D736" s="4" t="s">
        <v>155</v>
      </c>
      <c r="E736" s="2" t="str">
        <f>_xlfn.XLOOKUP(A736,转单情况!A:A,转单情况!B:B)</f>
        <v>否</v>
      </c>
      <c r="G736" s="28">
        <f>ROUND(_xlfn.XLOOKUP(A736,全量!A:A,全量!B:B,0)/7,1)</f>
        <v>6</v>
      </c>
      <c r="H736" s="2">
        <f>ROUND(_xlfn.XLOOKUP(A736,AE!A:A,AE!B:B,0)/7,1)</f>
        <v>5.0999999999999996</v>
      </c>
      <c r="I736" s="2" t="str">
        <f>_xlfn.XLOOKUP(A736,SWFTX邮编覆盖!A:A,SWFTX邮编覆盖!B:B,"否")</f>
        <v>是</v>
      </c>
      <c r="J736" s="2" t="str">
        <f>_xlfn.XLOOKUP(A736,YW邮编覆盖!A:A,YW邮编覆盖!B:B,"否")</f>
        <v>是</v>
      </c>
    </row>
    <row r="737" spans="1:10" hidden="1">
      <c r="A737" s="3">
        <v>85009</v>
      </c>
      <c r="B737" s="1" t="s">
        <v>123</v>
      </c>
      <c r="C737" s="2" t="str">
        <f>_xlfn.XLOOKUP(B737,线路DSP对应!A:A,线路DSP对应!B:B)</f>
        <v>STA_PHX_GOMEZ</v>
      </c>
      <c r="D737" s="4" t="s">
        <v>155</v>
      </c>
      <c r="E737" s="2" t="str">
        <f>_xlfn.XLOOKUP(A737,转单情况!A:A,转单情况!B:B)</f>
        <v>否</v>
      </c>
      <c r="G737" s="28">
        <f>ROUND(_xlfn.XLOOKUP(A737,全量!A:A,全量!B:B,0)/7,1)</f>
        <v>11</v>
      </c>
      <c r="H737" s="2">
        <f>ROUND(_xlfn.XLOOKUP(A737,AE!A:A,AE!B:B,0)/7,1)</f>
        <v>10.1</v>
      </c>
      <c r="I737" s="2" t="str">
        <f>_xlfn.XLOOKUP(A737,SWFTX邮编覆盖!A:A,SWFTX邮编覆盖!B:B,"否")</f>
        <v>是</v>
      </c>
      <c r="J737" s="2" t="str">
        <f>_xlfn.XLOOKUP(A737,YW邮编覆盖!A:A,YW邮编覆盖!B:B,"否")</f>
        <v>是</v>
      </c>
    </row>
    <row r="738" spans="1:10" hidden="1">
      <c r="A738" s="3">
        <v>85007</v>
      </c>
      <c r="B738" s="1" t="s">
        <v>123</v>
      </c>
      <c r="C738" s="2" t="str">
        <f>_xlfn.XLOOKUP(B738,线路DSP对应!A:A,线路DSP对应!B:B)</f>
        <v>STA_PHX_GOMEZ</v>
      </c>
      <c r="D738" s="4" t="s">
        <v>155</v>
      </c>
      <c r="E738" s="2" t="str">
        <f>_xlfn.XLOOKUP(A738,转单情况!A:A,转单情况!B:B)</f>
        <v>否</v>
      </c>
      <c r="G738" s="28">
        <f>ROUND(_xlfn.XLOOKUP(A738,全量!A:A,全量!B:B,0)/7,1)</f>
        <v>6.3</v>
      </c>
      <c r="H738" s="2">
        <f>ROUND(_xlfn.XLOOKUP(A738,AE!A:A,AE!B:B,0)/7,1)</f>
        <v>2.6</v>
      </c>
      <c r="I738" s="2" t="str">
        <f>_xlfn.XLOOKUP(A738,SWFTX邮编覆盖!A:A,SWFTX邮编覆盖!B:B,"否")</f>
        <v>否</v>
      </c>
      <c r="J738" s="2" t="str">
        <f>_xlfn.XLOOKUP(A738,YW邮编覆盖!A:A,YW邮编覆盖!B:B,"否")</f>
        <v>否</v>
      </c>
    </row>
    <row r="739" spans="1:10">
      <c r="A739" s="3">
        <v>85338</v>
      </c>
      <c r="B739" s="1" t="s">
        <v>123</v>
      </c>
      <c r="C739" s="2" t="str">
        <f>_xlfn.XLOOKUP(B739,线路DSP对应!A:A,线路DSP对应!B:B)</f>
        <v>STA_PHX_GOMEZ</v>
      </c>
      <c r="D739" s="4" t="s">
        <v>155</v>
      </c>
      <c r="E739" s="2" t="str">
        <f>_xlfn.XLOOKUP(A739,转单情况!A:A,转单情况!B:B)</f>
        <v>否</v>
      </c>
      <c r="G739" s="28">
        <f>ROUND(_xlfn.XLOOKUP(A739,全量!A:A,全量!B:B,0)/7,1)</f>
        <v>38.6</v>
      </c>
      <c r="H739" s="2">
        <f>ROUND(_xlfn.XLOOKUP(A739,AE!A:A,AE!B:B,0)/7,1)</f>
        <v>14.6</v>
      </c>
      <c r="I739" s="2" t="str">
        <f>_xlfn.XLOOKUP(A739,SWFTX邮编覆盖!A:A,SWFTX邮编覆盖!B:B,"否")</f>
        <v>否</v>
      </c>
      <c r="J739" s="2" t="str">
        <f>_xlfn.XLOOKUP(A739,YW邮编覆盖!A:A,YW邮编覆盖!B:B,"否")</f>
        <v>是</v>
      </c>
    </row>
    <row r="740" spans="1:10" hidden="1">
      <c r="A740" s="3">
        <v>85353</v>
      </c>
      <c r="B740" s="1" t="s">
        <v>123</v>
      </c>
      <c r="C740" s="2" t="str">
        <f>_xlfn.XLOOKUP(B740,线路DSP对应!A:A,线路DSP对应!B:B)</f>
        <v>STA_PHX_GOMEZ</v>
      </c>
      <c r="D740" s="4" t="s">
        <v>155</v>
      </c>
      <c r="E740" s="2" t="str">
        <f>_xlfn.XLOOKUP(A740,转单情况!A:A,转单情况!B:B)</f>
        <v>否</v>
      </c>
      <c r="G740" s="28">
        <f>ROUND(_xlfn.XLOOKUP(A740,全量!A:A,全量!B:B,0)/7,1)</f>
        <v>16.100000000000001</v>
      </c>
      <c r="H740" s="2">
        <f>ROUND(_xlfn.XLOOKUP(A740,AE!A:A,AE!B:B,0)/7,1)</f>
        <v>15.1</v>
      </c>
      <c r="I740" s="2" t="str">
        <f>_xlfn.XLOOKUP(A740,SWFTX邮编覆盖!A:A,SWFTX邮编覆盖!B:B,"否")</f>
        <v>是</v>
      </c>
      <c r="J740" s="2" t="str">
        <f>_xlfn.XLOOKUP(A740,YW邮编覆盖!A:A,YW邮编覆盖!B:B,"否")</f>
        <v>是</v>
      </c>
    </row>
    <row r="741" spans="1:10" hidden="1">
      <c r="A741" s="3">
        <v>85031</v>
      </c>
      <c r="B741" s="1" t="s">
        <v>123</v>
      </c>
      <c r="C741" s="2" t="str">
        <f>_xlfn.XLOOKUP(B741,线路DSP对应!A:A,线路DSP对应!B:B)</f>
        <v>STA_PHX_GOMEZ</v>
      </c>
      <c r="D741" s="4" t="s">
        <v>155</v>
      </c>
      <c r="E741" s="2" t="str">
        <f>_xlfn.XLOOKUP(A741,转单情况!A:A,转单情况!B:B)</f>
        <v>否</v>
      </c>
      <c r="G741" s="28">
        <f>ROUND(_xlfn.XLOOKUP(A741,全量!A:A,全量!B:B,0)/7,1)</f>
        <v>6.1</v>
      </c>
      <c r="H741" s="2">
        <f>ROUND(_xlfn.XLOOKUP(A741,AE!A:A,AE!B:B,0)/7,1)</f>
        <v>5.9</v>
      </c>
      <c r="I741" s="2" t="str">
        <f>_xlfn.XLOOKUP(A741,SWFTX邮编覆盖!A:A,SWFTX邮编覆盖!B:B,"否")</f>
        <v>是</v>
      </c>
      <c r="J741" s="2" t="str">
        <f>_xlfn.XLOOKUP(A741,YW邮编覆盖!A:A,YW邮编覆盖!B:B,"否")</f>
        <v>是</v>
      </c>
    </row>
    <row r="742" spans="1:10" hidden="1">
      <c r="A742" s="3">
        <v>85033</v>
      </c>
      <c r="B742" s="1" t="s">
        <v>123</v>
      </c>
      <c r="C742" s="2" t="str">
        <f>_xlfn.XLOOKUP(B742,线路DSP对应!A:A,线路DSP对应!B:B)</f>
        <v>STA_PHX_GOMEZ</v>
      </c>
      <c r="D742" s="4" t="s">
        <v>155</v>
      </c>
      <c r="E742" s="2" t="str">
        <f>_xlfn.XLOOKUP(A742,转单情况!A:A,转单情况!B:B)</f>
        <v>否</v>
      </c>
      <c r="G742" s="28">
        <f>ROUND(_xlfn.XLOOKUP(A742,全量!A:A,全量!B:B,0)/7,1)</f>
        <v>12.9</v>
      </c>
      <c r="H742" s="2">
        <f>ROUND(_xlfn.XLOOKUP(A742,AE!A:A,AE!B:B,0)/7,1)</f>
        <v>11.7</v>
      </c>
      <c r="I742" s="2" t="str">
        <f>_xlfn.XLOOKUP(A742,SWFTX邮编覆盖!A:A,SWFTX邮编覆盖!B:B,"否")</f>
        <v>是</v>
      </c>
      <c r="J742" s="2" t="str">
        <f>_xlfn.XLOOKUP(A742,YW邮编覆盖!A:A,YW邮编覆盖!B:B,"否")</f>
        <v>是</v>
      </c>
    </row>
    <row r="743" spans="1:10" hidden="1">
      <c r="A743" s="3">
        <v>85035</v>
      </c>
      <c r="B743" s="1" t="s">
        <v>123</v>
      </c>
      <c r="C743" s="2" t="str">
        <f>_xlfn.XLOOKUP(B743,线路DSP对应!A:A,线路DSP对应!B:B)</f>
        <v>STA_PHX_GOMEZ</v>
      </c>
      <c r="D743" s="4" t="s">
        <v>155</v>
      </c>
      <c r="E743" s="2" t="str">
        <f>_xlfn.XLOOKUP(A743,转单情况!A:A,转单情况!B:B)</f>
        <v>否</v>
      </c>
      <c r="G743" s="28">
        <f>ROUND(_xlfn.XLOOKUP(A743,全量!A:A,全量!B:B,0)/7,1)</f>
        <v>13.7</v>
      </c>
      <c r="H743" s="2">
        <f>ROUND(_xlfn.XLOOKUP(A743,AE!A:A,AE!B:B,0)/7,1)</f>
        <v>12.6</v>
      </c>
      <c r="I743" s="2" t="str">
        <f>_xlfn.XLOOKUP(A743,SWFTX邮编覆盖!A:A,SWFTX邮编覆盖!B:B,"否")</f>
        <v>是</v>
      </c>
      <c r="J743" s="2" t="str">
        <f>_xlfn.XLOOKUP(A743,YW邮编覆盖!A:A,YW邮编覆盖!B:B,"否")</f>
        <v>是</v>
      </c>
    </row>
    <row r="744" spans="1:10" hidden="1">
      <c r="A744" s="3">
        <v>85043</v>
      </c>
      <c r="B744" s="1" t="s">
        <v>123</v>
      </c>
      <c r="C744" s="2" t="str">
        <f>_xlfn.XLOOKUP(B744,线路DSP对应!A:A,线路DSP对应!B:B)</f>
        <v>STA_PHX_GOMEZ</v>
      </c>
      <c r="D744" s="4" t="s">
        <v>155</v>
      </c>
      <c r="E744" s="2" t="str">
        <f>_xlfn.XLOOKUP(A744,转单情况!A:A,转单情况!B:B)</f>
        <v>否</v>
      </c>
      <c r="G744" s="28">
        <f>ROUND(_xlfn.XLOOKUP(A744,全量!A:A,全量!B:B,0)/7,1)</f>
        <v>9</v>
      </c>
      <c r="H744" s="2">
        <f>ROUND(_xlfn.XLOOKUP(A744,AE!A:A,AE!B:B,0)/7,1)</f>
        <v>7.6</v>
      </c>
      <c r="I744" s="2" t="str">
        <f>_xlfn.XLOOKUP(A744,SWFTX邮编覆盖!A:A,SWFTX邮编覆盖!B:B,"否")</f>
        <v>是</v>
      </c>
      <c r="J744" s="2" t="str">
        <f>_xlfn.XLOOKUP(A744,YW邮编覆盖!A:A,YW邮编覆盖!B:B,"否")</f>
        <v>是</v>
      </c>
    </row>
    <row r="745" spans="1:10" hidden="1">
      <c r="A745" s="3">
        <v>85301</v>
      </c>
      <c r="B745" s="1" t="s">
        <v>123</v>
      </c>
      <c r="C745" s="2" t="str">
        <f>_xlfn.XLOOKUP(B745,线路DSP对应!A:A,线路DSP对应!B:B)</f>
        <v>STA_PHX_GOMEZ</v>
      </c>
      <c r="D745" s="4" t="s">
        <v>155</v>
      </c>
      <c r="E745" s="2" t="str">
        <f>_xlfn.XLOOKUP(A745,转单情况!A:A,转单情况!B:B)</f>
        <v>否</v>
      </c>
      <c r="G745" s="28">
        <f>ROUND(_xlfn.XLOOKUP(A745,全量!A:A,全量!B:B,0)/7,1)</f>
        <v>21.7</v>
      </c>
      <c r="H745" s="2">
        <f>ROUND(_xlfn.XLOOKUP(A745,AE!A:A,AE!B:B,0)/7,1)</f>
        <v>20.7</v>
      </c>
      <c r="I745" s="2" t="str">
        <f>_xlfn.XLOOKUP(A745,SWFTX邮编覆盖!A:A,SWFTX邮编覆盖!B:B,"否")</f>
        <v>是</v>
      </c>
      <c r="J745" s="2" t="str">
        <f>_xlfn.XLOOKUP(A745,YW邮编覆盖!A:A,YW邮编覆盖!B:B,"否")</f>
        <v>是</v>
      </c>
    </row>
    <row r="746" spans="1:10" hidden="1">
      <c r="A746" s="3">
        <v>85303</v>
      </c>
      <c r="B746" s="1" t="s">
        <v>124</v>
      </c>
      <c r="C746" s="2" t="str">
        <f>_xlfn.XLOOKUP(B746,线路DSP对应!A:A,线路DSP对应!B:B)</f>
        <v>STA_PHX_TOPCAR</v>
      </c>
      <c r="D746" s="4" t="s">
        <v>155</v>
      </c>
      <c r="E746" s="2" t="str">
        <f>_xlfn.XLOOKUP(A746,转单情况!A:A,转单情况!B:B)</f>
        <v>否</v>
      </c>
      <c r="G746" s="28">
        <f>ROUND(_xlfn.XLOOKUP(A746,全量!A:A,全量!B:B,0)/7,1)</f>
        <v>8.6</v>
      </c>
      <c r="H746" s="2">
        <f>ROUND(_xlfn.XLOOKUP(A746,AE!A:A,AE!B:B,0)/7,1)</f>
        <v>8.4</v>
      </c>
      <c r="I746" s="2" t="str">
        <f>_xlfn.XLOOKUP(A746,SWFTX邮编覆盖!A:A,SWFTX邮编覆盖!B:B,"否")</f>
        <v>是</v>
      </c>
      <c r="J746" s="2" t="str">
        <f>_xlfn.XLOOKUP(A746,YW邮编覆盖!A:A,YW邮编覆盖!B:B,"否")</f>
        <v>是</v>
      </c>
    </row>
    <row r="747" spans="1:10" hidden="1">
      <c r="A747" s="3">
        <v>85305</v>
      </c>
      <c r="B747" s="1" t="s">
        <v>124</v>
      </c>
      <c r="C747" s="2" t="str">
        <f>_xlfn.XLOOKUP(B747,线路DSP对应!A:A,线路DSP对应!B:B)</f>
        <v>STA_PHX_TOPCAR</v>
      </c>
      <c r="D747" s="4" t="s">
        <v>155</v>
      </c>
      <c r="E747" s="2" t="str">
        <f>_xlfn.XLOOKUP(A747,转单情况!A:A,转单情况!B:B)</f>
        <v>否</v>
      </c>
      <c r="G747" s="28">
        <f>ROUND(_xlfn.XLOOKUP(A747,全量!A:A,全量!B:B,0)/7,1)</f>
        <v>6.9</v>
      </c>
      <c r="H747" s="2">
        <f>ROUND(_xlfn.XLOOKUP(A747,AE!A:A,AE!B:B,0)/7,1)</f>
        <v>6.1</v>
      </c>
      <c r="I747" s="2" t="str">
        <f>_xlfn.XLOOKUP(A747,SWFTX邮编覆盖!A:A,SWFTX邮编覆盖!B:B,"否")</f>
        <v>是</v>
      </c>
      <c r="J747" s="2" t="str">
        <f>_xlfn.XLOOKUP(A747,YW邮编覆盖!A:A,YW邮编覆盖!B:B,"否")</f>
        <v>是</v>
      </c>
    </row>
    <row r="748" spans="1:10" hidden="1">
      <c r="A748" s="3">
        <v>85307</v>
      </c>
      <c r="B748" s="1" t="s">
        <v>124</v>
      </c>
      <c r="C748" s="2" t="str">
        <f>_xlfn.XLOOKUP(B748,线路DSP对应!A:A,线路DSP对应!B:B)</f>
        <v>STA_PHX_TOPCAR</v>
      </c>
      <c r="D748" s="4" t="s">
        <v>155</v>
      </c>
      <c r="E748" s="2" t="str">
        <f>_xlfn.XLOOKUP(A748,转单情况!A:A,转单情况!B:B)</f>
        <v>否</v>
      </c>
      <c r="G748" s="28">
        <f>ROUND(_xlfn.XLOOKUP(A748,全量!A:A,全量!B:B,0)/7,1)</f>
        <v>4.4000000000000004</v>
      </c>
      <c r="H748" s="2">
        <f>ROUND(_xlfn.XLOOKUP(A748,AE!A:A,AE!B:B,0)/7,1)</f>
        <v>4</v>
      </c>
      <c r="I748" s="2" t="str">
        <f>_xlfn.XLOOKUP(A748,SWFTX邮编覆盖!A:A,SWFTX邮编覆盖!B:B,"否")</f>
        <v>是</v>
      </c>
      <c r="J748" s="2" t="str">
        <f>_xlfn.XLOOKUP(A748,YW邮编覆盖!A:A,YW邮编覆盖!B:B,"否")</f>
        <v>否</v>
      </c>
    </row>
    <row r="749" spans="1:10" hidden="1">
      <c r="A749" s="3">
        <v>85340</v>
      </c>
      <c r="B749" s="1" t="s">
        <v>124</v>
      </c>
      <c r="C749" s="2" t="str">
        <f>_xlfn.XLOOKUP(B749,线路DSP对应!A:A,线路DSP对应!B:B)</f>
        <v>STA_PHX_TOPCAR</v>
      </c>
      <c r="D749" s="4" t="s">
        <v>155</v>
      </c>
      <c r="E749" s="2" t="str">
        <f>_xlfn.XLOOKUP(A749,转单情况!A:A,转单情况!B:B)</f>
        <v>否</v>
      </c>
      <c r="G749" s="28">
        <f>ROUND(_xlfn.XLOOKUP(A749,全量!A:A,全量!B:B,0)/7,1)</f>
        <v>12.1</v>
      </c>
      <c r="H749" s="2">
        <f>ROUND(_xlfn.XLOOKUP(A749,AE!A:A,AE!B:B,0)/7,1)</f>
        <v>11.4</v>
      </c>
      <c r="I749" s="2" t="str">
        <f>_xlfn.XLOOKUP(A749,SWFTX邮编覆盖!A:A,SWFTX邮编覆盖!B:B,"否")</f>
        <v>是</v>
      </c>
      <c r="J749" s="2" t="str">
        <f>_xlfn.XLOOKUP(A749,YW邮编覆盖!A:A,YW邮编覆盖!B:B,"否")</f>
        <v>是</v>
      </c>
    </row>
    <row r="750" spans="1:10" hidden="1">
      <c r="A750" s="3">
        <v>85345</v>
      </c>
      <c r="B750" s="1" t="s">
        <v>124</v>
      </c>
      <c r="C750" s="2" t="str">
        <f>_xlfn.XLOOKUP(B750,线路DSP对应!A:A,线路DSP对应!B:B)</f>
        <v>STA_PHX_TOPCAR</v>
      </c>
      <c r="D750" s="4" t="s">
        <v>155</v>
      </c>
      <c r="E750" s="2" t="str">
        <f>_xlfn.XLOOKUP(A750,转单情况!A:A,转单情况!B:B)</f>
        <v>否</v>
      </c>
      <c r="G750" s="28">
        <f>ROUND(_xlfn.XLOOKUP(A750,全量!A:A,全量!B:B,0)/7,1)</f>
        <v>13.7</v>
      </c>
      <c r="H750" s="2">
        <f>ROUND(_xlfn.XLOOKUP(A750,AE!A:A,AE!B:B,0)/7,1)</f>
        <v>13.3</v>
      </c>
      <c r="I750" s="2" t="str">
        <f>_xlfn.XLOOKUP(A750,SWFTX邮编覆盖!A:A,SWFTX邮编覆盖!B:B,"否")</f>
        <v>是</v>
      </c>
      <c r="J750" s="2" t="str">
        <f>_xlfn.XLOOKUP(A750,YW邮编覆盖!A:A,YW邮编覆盖!B:B,"否")</f>
        <v>是</v>
      </c>
    </row>
    <row r="751" spans="1:10" hidden="1">
      <c r="A751" s="3">
        <v>85381</v>
      </c>
      <c r="B751" s="1" t="s">
        <v>124</v>
      </c>
      <c r="C751" s="2" t="str">
        <f>_xlfn.XLOOKUP(B751,线路DSP对应!A:A,线路DSP对应!B:B)</f>
        <v>STA_PHX_TOPCAR</v>
      </c>
      <c r="D751" s="4" t="s">
        <v>155</v>
      </c>
      <c r="E751" s="2" t="str">
        <f>_xlfn.XLOOKUP(A751,转单情况!A:A,转单情况!B:B)</f>
        <v>否</v>
      </c>
      <c r="G751" s="28">
        <f>ROUND(_xlfn.XLOOKUP(A751,全量!A:A,全量!B:B,0)/7,1)</f>
        <v>5</v>
      </c>
      <c r="H751" s="2">
        <f>ROUND(_xlfn.XLOOKUP(A751,AE!A:A,AE!B:B,0)/7,1)</f>
        <v>4.9000000000000004</v>
      </c>
      <c r="I751" s="2" t="str">
        <f>_xlfn.XLOOKUP(A751,SWFTX邮编覆盖!A:A,SWFTX邮编覆盖!B:B,"否")</f>
        <v>是</v>
      </c>
      <c r="J751" s="2" t="str">
        <f>_xlfn.XLOOKUP(A751,YW邮编覆盖!A:A,YW邮编覆盖!B:B,"否")</f>
        <v>是</v>
      </c>
    </row>
    <row r="752" spans="1:10" hidden="1">
      <c r="A752" s="3">
        <v>85302</v>
      </c>
      <c r="B752" s="1" t="s">
        <v>124</v>
      </c>
      <c r="C752" s="2" t="str">
        <f>_xlfn.XLOOKUP(B752,线路DSP对应!A:A,线路DSP对应!B:B)</f>
        <v>STA_PHX_TOPCAR</v>
      </c>
      <c r="D752" s="4" t="s">
        <v>155</v>
      </c>
      <c r="E752" s="2" t="str">
        <f>_xlfn.XLOOKUP(A752,转单情况!A:A,转单情况!B:B)</f>
        <v>否</v>
      </c>
      <c r="G752" s="28">
        <f>ROUND(_xlfn.XLOOKUP(A752,全量!A:A,全量!B:B,0)/7,1)</f>
        <v>9.1</v>
      </c>
      <c r="H752" s="2">
        <f>ROUND(_xlfn.XLOOKUP(A752,AE!A:A,AE!B:B,0)/7,1)</f>
        <v>8.4</v>
      </c>
      <c r="I752" s="2" t="str">
        <f>_xlfn.XLOOKUP(A752,SWFTX邮编覆盖!A:A,SWFTX邮编覆盖!B:B,"否")</f>
        <v>是</v>
      </c>
      <c r="J752" s="2" t="str">
        <f>_xlfn.XLOOKUP(A752,YW邮编覆盖!A:A,YW邮编覆盖!B:B,"否")</f>
        <v>是</v>
      </c>
    </row>
    <row r="753" spans="1:10" hidden="1">
      <c r="A753" s="3">
        <v>85304</v>
      </c>
      <c r="B753" s="1" t="s">
        <v>124</v>
      </c>
      <c r="C753" s="2" t="str">
        <f>_xlfn.XLOOKUP(B753,线路DSP对应!A:A,线路DSP对应!B:B)</f>
        <v>STA_PHX_TOPCAR</v>
      </c>
      <c r="D753" s="4" t="s">
        <v>155</v>
      </c>
      <c r="E753" s="2" t="str">
        <f>_xlfn.XLOOKUP(A753,转单情况!A:A,转单情况!B:B)</f>
        <v>否</v>
      </c>
      <c r="G753" s="28">
        <f>ROUND(_xlfn.XLOOKUP(A753,全量!A:A,全量!B:B,0)/7,1)</f>
        <v>8.4</v>
      </c>
      <c r="H753" s="2">
        <f>ROUND(_xlfn.XLOOKUP(A753,AE!A:A,AE!B:B,0)/7,1)</f>
        <v>8.3000000000000007</v>
      </c>
      <c r="I753" s="2" t="str">
        <f>_xlfn.XLOOKUP(A753,SWFTX邮编覆盖!A:A,SWFTX邮编覆盖!B:B,"否")</f>
        <v>是</v>
      </c>
      <c r="J753" s="2" t="str">
        <f>_xlfn.XLOOKUP(A753,YW邮编覆盖!A:A,YW邮编覆盖!B:B,"否")</f>
        <v>是</v>
      </c>
    </row>
    <row r="754" spans="1:10" hidden="1">
      <c r="A754" s="3">
        <v>85306</v>
      </c>
      <c r="B754" s="1" t="s">
        <v>124</v>
      </c>
      <c r="C754" s="2" t="str">
        <f>_xlfn.XLOOKUP(B754,线路DSP对应!A:A,线路DSP对应!B:B)</f>
        <v>STA_PHX_TOPCAR</v>
      </c>
      <c r="D754" s="4" t="s">
        <v>155</v>
      </c>
      <c r="E754" s="2" t="str">
        <f>_xlfn.XLOOKUP(A754,转单情况!A:A,转单情况!B:B)</f>
        <v>否</v>
      </c>
      <c r="G754" s="28">
        <f>ROUND(_xlfn.XLOOKUP(A754,全量!A:A,全量!B:B,0)/7,1)</f>
        <v>4.4000000000000004</v>
      </c>
      <c r="H754" s="2">
        <f>ROUND(_xlfn.XLOOKUP(A754,AE!A:A,AE!B:B,0)/7,1)</f>
        <v>4</v>
      </c>
      <c r="I754" s="2" t="str">
        <f>_xlfn.XLOOKUP(A754,SWFTX邮编覆盖!A:A,SWFTX邮编覆盖!B:B,"否")</f>
        <v>是</v>
      </c>
      <c r="J754" s="2" t="str">
        <f>_xlfn.XLOOKUP(A754,YW邮编覆盖!A:A,YW邮编覆盖!B:B,"否")</f>
        <v>是</v>
      </c>
    </row>
    <row r="755" spans="1:10" hidden="1">
      <c r="A755" s="3">
        <v>85382</v>
      </c>
      <c r="B755" s="1" t="s">
        <v>124</v>
      </c>
      <c r="C755" s="2" t="str">
        <f>_xlfn.XLOOKUP(B755,线路DSP对应!A:A,线路DSP对应!B:B)</f>
        <v>STA_PHX_TOPCAR</v>
      </c>
      <c r="D755" s="4" t="s">
        <v>155</v>
      </c>
      <c r="E755" s="2" t="str">
        <f>_xlfn.XLOOKUP(A755,转单情况!A:A,转单情况!B:B)</f>
        <v>否</v>
      </c>
      <c r="G755" s="28">
        <f>ROUND(_xlfn.XLOOKUP(A755,全量!A:A,全量!B:B,0)/7,1)</f>
        <v>8.3000000000000007</v>
      </c>
      <c r="H755" s="2">
        <f>ROUND(_xlfn.XLOOKUP(A755,AE!A:A,AE!B:B,0)/7,1)</f>
        <v>8</v>
      </c>
      <c r="I755" s="2" t="str">
        <f>_xlfn.XLOOKUP(A755,SWFTX邮编覆盖!A:A,SWFTX邮编覆盖!B:B,"否")</f>
        <v>是</v>
      </c>
      <c r="J755" s="2" t="str">
        <f>_xlfn.XLOOKUP(A755,YW邮编覆盖!A:A,YW邮编覆盖!B:B,"否")</f>
        <v>是</v>
      </c>
    </row>
    <row r="756" spans="1:10" hidden="1">
      <c r="A756" s="3">
        <v>85373</v>
      </c>
      <c r="B756" s="1" t="s">
        <v>124</v>
      </c>
      <c r="C756" s="2" t="str">
        <f>_xlfn.XLOOKUP(B756,线路DSP对应!A:A,线路DSP对应!B:B)</f>
        <v>STA_PHX_TOPCAR</v>
      </c>
      <c r="D756" s="4" t="s">
        <v>155</v>
      </c>
      <c r="E756" s="2" t="str">
        <f>_xlfn.XLOOKUP(A756,转单情况!A:A,转单情况!B:B)</f>
        <v>否</v>
      </c>
      <c r="G756" s="28">
        <f>ROUND(_xlfn.XLOOKUP(A756,全量!A:A,全量!B:B,0)/7,1)</f>
        <v>3.7</v>
      </c>
      <c r="H756" s="2">
        <f>ROUND(_xlfn.XLOOKUP(A756,AE!A:A,AE!B:B,0)/7,1)</f>
        <v>3.7</v>
      </c>
      <c r="I756" s="2" t="str">
        <f>_xlfn.XLOOKUP(A756,SWFTX邮编覆盖!A:A,SWFTX邮编覆盖!B:B,"否")</f>
        <v>是</v>
      </c>
      <c r="J756" s="2" t="str">
        <f>_xlfn.XLOOKUP(A756,YW邮编覆盖!A:A,YW邮编覆盖!B:B,"否")</f>
        <v>是</v>
      </c>
    </row>
    <row r="757" spans="1:10" hidden="1">
      <c r="A757" s="3">
        <v>85351</v>
      </c>
      <c r="B757" s="1" t="s">
        <v>124</v>
      </c>
      <c r="C757" s="2" t="str">
        <f>_xlfn.XLOOKUP(B757,线路DSP对应!A:A,线路DSP对应!B:B)</f>
        <v>STA_PHX_TOPCAR</v>
      </c>
      <c r="D757" s="4" t="s">
        <v>155</v>
      </c>
      <c r="E757" s="2" t="str">
        <f>_xlfn.XLOOKUP(A757,转单情况!A:A,转单情况!B:B)</f>
        <v>否</v>
      </c>
      <c r="G757" s="28">
        <f>ROUND(_xlfn.XLOOKUP(A757,全量!A:A,全量!B:B,0)/7,1)</f>
        <v>6.1</v>
      </c>
      <c r="H757" s="2">
        <f>ROUND(_xlfn.XLOOKUP(A757,AE!A:A,AE!B:B,0)/7,1)</f>
        <v>6</v>
      </c>
      <c r="I757" s="2" t="str">
        <f>_xlfn.XLOOKUP(A757,SWFTX邮编覆盖!A:A,SWFTX邮编覆盖!B:B,"否")</f>
        <v>是</v>
      </c>
      <c r="J757" s="2" t="str">
        <f>_xlfn.XLOOKUP(A757,YW邮编覆盖!A:A,YW邮编覆盖!B:B,"否")</f>
        <v>是</v>
      </c>
    </row>
    <row r="758" spans="1:10">
      <c r="A758" s="3">
        <v>85355</v>
      </c>
      <c r="B758" s="1" t="s">
        <v>124</v>
      </c>
      <c r="C758" s="2" t="str">
        <f>_xlfn.XLOOKUP(B758,线路DSP对应!A:A,线路DSP对应!B:B)</f>
        <v>STA_PHX_TOPCAR</v>
      </c>
      <c r="D758" s="4" t="s">
        <v>155</v>
      </c>
      <c r="E758" s="2" t="str">
        <f>_xlfn.XLOOKUP(A758,转单情况!A:A,转单情况!B:B)</f>
        <v>否</v>
      </c>
      <c r="G758" s="28">
        <f>ROUND(_xlfn.XLOOKUP(A758,全量!A:A,全量!B:B,0)/7,1)</f>
        <v>9.9</v>
      </c>
      <c r="H758" s="2">
        <f>ROUND(_xlfn.XLOOKUP(A758,AE!A:A,AE!B:B,0)/7,1)</f>
        <v>3.1</v>
      </c>
      <c r="I758" s="2" t="str">
        <f>_xlfn.XLOOKUP(A758,SWFTX邮编覆盖!A:A,SWFTX邮编覆盖!B:B,"否")</f>
        <v>否</v>
      </c>
      <c r="J758" s="2" t="str">
        <f>_xlfn.XLOOKUP(A758,YW邮编覆盖!A:A,YW邮编覆盖!B:B,"否")</f>
        <v>是</v>
      </c>
    </row>
    <row r="759" spans="1:10" hidden="1">
      <c r="A759" s="3">
        <v>85375</v>
      </c>
      <c r="B759" s="1" t="s">
        <v>124</v>
      </c>
      <c r="C759" s="2" t="str">
        <f>_xlfn.XLOOKUP(B759,线路DSP对应!A:A,线路DSP对应!B:B)</f>
        <v>STA_PHX_TOPCAR</v>
      </c>
      <c r="D759" s="4" t="s">
        <v>155</v>
      </c>
      <c r="E759" s="2" t="str">
        <f>_xlfn.XLOOKUP(A759,转单情况!A:A,转单情况!B:B)</f>
        <v>否</v>
      </c>
      <c r="G759" s="28">
        <f>ROUND(_xlfn.XLOOKUP(A759,全量!A:A,全量!B:B,0)/7,1)</f>
        <v>1.9</v>
      </c>
      <c r="H759" s="2">
        <f>ROUND(_xlfn.XLOOKUP(A759,AE!A:A,AE!B:B,0)/7,1)</f>
        <v>1.9</v>
      </c>
      <c r="I759" s="2" t="str">
        <f>_xlfn.XLOOKUP(A759,SWFTX邮编覆盖!A:A,SWFTX邮编覆盖!B:B,"否")</f>
        <v>是</v>
      </c>
      <c r="J759" s="2" t="str">
        <f>_xlfn.XLOOKUP(A759,YW邮编覆盖!A:A,YW邮编覆盖!B:B,"否")</f>
        <v>是</v>
      </c>
    </row>
    <row r="760" spans="1:10" hidden="1">
      <c r="A760" s="3">
        <v>85374</v>
      </c>
      <c r="B760" s="1" t="s">
        <v>124</v>
      </c>
      <c r="C760" s="2" t="str">
        <f>_xlfn.XLOOKUP(B760,线路DSP对应!A:A,线路DSP对应!B:B)</f>
        <v>STA_PHX_TOPCAR</v>
      </c>
      <c r="D760" s="4" t="s">
        <v>155</v>
      </c>
      <c r="E760" s="2" t="str">
        <f>_xlfn.XLOOKUP(A760,转单情况!A:A,转单情况!B:B)</f>
        <v>否</v>
      </c>
      <c r="G760" s="28">
        <f>ROUND(_xlfn.XLOOKUP(A760,全量!A:A,全量!B:B,0)/7,1)</f>
        <v>7.3</v>
      </c>
      <c r="H760" s="2">
        <f>ROUND(_xlfn.XLOOKUP(A760,AE!A:A,AE!B:B,0)/7,1)</f>
        <v>6.6</v>
      </c>
      <c r="I760" s="2" t="str">
        <f>_xlfn.XLOOKUP(A760,SWFTX邮编覆盖!A:A,SWFTX邮编覆盖!B:B,"否")</f>
        <v>是</v>
      </c>
      <c r="J760" s="2" t="str">
        <f>_xlfn.XLOOKUP(A760,YW邮编覆盖!A:A,YW邮编覆盖!B:B,"否")</f>
        <v>是</v>
      </c>
    </row>
    <row r="761" spans="1:10">
      <c r="A761" s="3">
        <v>85388</v>
      </c>
      <c r="B761" s="1" t="s">
        <v>124</v>
      </c>
      <c r="C761" s="2" t="str">
        <f>_xlfn.XLOOKUP(B761,线路DSP对应!A:A,线路DSP对应!B:B)</f>
        <v>STA_PHX_TOPCAR</v>
      </c>
      <c r="D761" s="4" t="s">
        <v>155</v>
      </c>
      <c r="E761" s="2" t="str">
        <f>_xlfn.XLOOKUP(A761,转单情况!A:A,转单情况!B:B)</f>
        <v>否</v>
      </c>
      <c r="G761" s="28">
        <f>ROUND(_xlfn.XLOOKUP(A761,全量!A:A,全量!B:B,0)/7,1)</f>
        <v>17.600000000000001</v>
      </c>
      <c r="H761" s="2">
        <f>ROUND(_xlfn.XLOOKUP(A761,AE!A:A,AE!B:B,0)/7,1)</f>
        <v>6.4</v>
      </c>
      <c r="I761" s="2" t="str">
        <f>_xlfn.XLOOKUP(A761,SWFTX邮编覆盖!A:A,SWFTX邮编覆盖!B:B,"否")</f>
        <v>否</v>
      </c>
      <c r="J761" s="2" t="str">
        <f>_xlfn.XLOOKUP(A761,YW邮编覆盖!A:A,YW邮编覆盖!B:B,"否")</f>
        <v>是</v>
      </c>
    </row>
    <row r="762" spans="1:10" hidden="1">
      <c r="A762" s="3">
        <v>85379</v>
      </c>
      <c r="B762" s="1" t="s">
        <v>124</v>
      </c>
      <c r="C762" s="2" t="str">
        <f>_xlfn.XLOOKUP(B762,线路DSP对应!A:A,线路DSP对应!B:B)</f>
        <v>STA_PHX_TOPCAR</v>
      </c>
      <c r="D762" s="4" t="s">
        <v>155</v>
      </c>
      <c r="E762" s="2" t="str">
        <f>_xlfn.XLOOKUP(A762,转单情况!A:A,转单情况!B:B)</f>
        <v>否</v>
      </c>
      <c r="G762" s="28">
        <f>ROUND(_xlfn.XLOOKUP(A762,全量!A:A,全量!B:B,0)/7,1)</f>
        <v>10.7</v>
      </c>
      <c r="H762" s="2">
        <f>ROUND(_xlfn.XLOOKUP(A762,AE!A:A,AE!B:B,0)/7,1)</f>
        <v>9.9</v>
      </c>
      <c r="I762" s="2" t="str">
        <f>_xlfn.XLOOKUP(A762,SWFTX邮编覆盖!A:A,SWFTX邮编覆盖!B:B,"否")</f>
        <v>是</v>
      </c>
      <c r="J762" s="2" t="str">
        <f>_xlfn.XLOOKUP(A762,YW邮编覆盖!A:A,YW邮编覆盖!B:B,"否")</f>
        <v>是</v>
      </c>
    </row>
    <row r="763" spans="1:10" hidden="1">
      <c r="A763" s="3">
        <v>85335</v>
      </c>
      <c r="B763" s="1" t="s">
        <v>124</v>
      </c>
      <c r="C763" s="2" t="str">
        <f>_xlfn.XLOOKUP(B763,线路DSP对应!A:A,线路DSP对应!B:B)</f>
        <v>STA_PHX_TOPCAR</v>
      </c>
      <c r="D763" s="4" t="s">
        <v>155</v>
      </c>
      <c r="E763" s="2" t="str">
        <f>_xlfn.XLOOKUP(A763,转单情况!A:A,转单情况!B:B)</f>
        <v>否</v>
      </c>
      <c r="G763" s="28">
        <f>ROUND(_xlfn.XLOOKUP(A763,全量!A:A,全量!B:B,0)/7,1)</f>
        <v>7.9</v>
      </c>
      <c r="H763" s="2">
        <f>ROUND(_xlfn.XLOOKUP(A763,AE!A:A,AE!B:B,0)/7,1)</f>
        <v>7.6</v>
      </c>
      <c r="I763" s="2" t="str">
        <f>_xlfn.XLOOKUP(A763,SWFTX邮编覆盖!A:A,SWFTX邮编覆盖!B:B,"否")</f>
        <v>是</v>
      </c>
      <c r="J763" s="2" t="str">
        <f>_xlfn.XLOOKUP(A763,YW邮编覆盖!A:A,YW邮编覆盖!B:B,"否")</f>
        <v>是</v>
      </c>
    </row>
    <row r="764" spans="1:10" hidden="1">
      <c r="A764" s="3">
        <v>85363</v>
      </c>
      <c r="B764" s="1" t="s">
        <v>124</v>
      </c>
      <c r="C764" s="2" t="str">
        <f>_xlfn.XLOOKUP(B764,线路DSP对应!A:A,线路DSP对应!B:B)</f>
        <v>STA_PHX_TOPCAR</v>
      </c>
      <c r="D764" s="4" t="s">
        <v>155</v>
      </c>
      <c r="E764" s="2" t="str">
        <f>_xlfn.XLOOKUP(A764,转单情况!A:A,转单情况!B:B)</f>
        <v>否</v>
      </c>
      <c r="G764" s="28">
        <f>ROUND(_xlfn.XLOOKUP(A764,全量!A:A,全量!B:B,0)/7,1)</f>
        <v>1.1000000000000001</v>
      </c>
      <c r="H764" s="2">
        <f>ROUND(_xlfn.XLOOKUP(A764,AE!A:A,AE!B:B,0)/7,1)</f>
        <v>1.1000000000000001</v>
      </c>
      <c r="I764" s="2" t="str">
        <f>_xlfn.XLOOKUP(A764,SWFTX邮编覆盖!A:A,SWFTX邮编覆盖!B:B,"否")</f>
        <v>是</v>
      </c>
      <c r="J764" s="2" t="str">
        <f>_xlfn.XLOOKUP(A764,YW邮编覆盖!A:A,YW邮编覆盖!B:B,"否")</f>
        <v>是</v>
      </c>
    </row>
    <row r="765" spans="1:10" hidden="1">
      <c r="A765" s="3">
        <v>85040</v>
      </c>
      <c r="B765" s="1" t="s">
        <v>125</v>
      </c>
      <c r="C765" s="2" t="str">
        <f>_xlfn.XLOOKUP(B765,线路DSP对应!A:A,线路DSP对应!B:B)</f>
        <v>STA_PHX_GOMEZ</v>
      </c>
      <c r="D765" s="4" t="s">
        <v>155</v>
      </c>
      <c r="E765" s="2" t="str">
        <f>_xlfn.XLOOKUP(A765,转单情况!A:A,转单情况!B:B)</f>
        <v>否</v>
      </c>
      <c r="G765" s="28">
        <f>ROUND(_xlfn.XLOOKUP(A765,全量!A:A,全量!B:B,0)/7,1)</f>
        <v>9.1</v>
      </c>
      <c r="H765" s="2">
        <f>ROUND(_xlfn.XLOOKUP(A765,AE!A:A,AE!B:B,0)/7,1)</f>
        <v>8.9</v>
      </c>
      <c r="I765" s="2" t="str">
        <f>_xlfn.XLOOKUP(A765,SWFTX邮编覆盖!A:A,SWFTX邮编覆盖!B:B,"否")</f>
        <v>是</v>
      </c>
      <c r="J765" s="2" t="str">
        <f>_xlfn.XLOOKUP(A765,YW邮编覆盖!A:A,YW邮编覆盖!B:B,"否")</f>
        <v>是</v>
      </c>
    </row>
    <row r="766" spans="1:10" hidden="1">
      <c r="A766" s="3">
        <v>85042</v>
      </c>
      <c r="B766" s="1" t="s">
        <v>125</v>
      </c>
      <c r="C766" s="2" t="str">
        <f>_xlfn.XLOOKUP(B766,线路DSP对应!A:A,线路DSP对应!B:B)</f>
        <v>STA_PHX_GOMEZ</v>
      </c>
      <c r="D766" s="4" t="s">
        <v>155</v>
      </c>
      <c r="E766" s="2" t="str">
        <f>_xlfn.XLOOKUP(A766,转单情况!A:A,转单情况!B:B)</f>
        <v>否</v>
      </c>
      <c r="G766" s="28">
        <f>ROUND(_xlfn.XLOOKUP(A766,全量!A:A,全量!B:B,0)/7,1)</f>
        <v>12.3</v>
      </c>
      <c r="H766" s="2">
        <f>ROUND(_xlfn.XLOOKUP(A766,AE!A:A,AE!B:B,0)/7,1)</f>
        <v>11.3</v>
      </c>
      <c r="I766" s="2" t="str">
        <f>_xlfn.XLOOKUP(A766,SWFTX邮编覆盖!A:A,SWFTX邮编覆盖!B:B,"否")</f>
        <v>是</v>
      </c>
      <c r="J766" s="2" t="str">
        <f>_xlfn.XLOOKUP(A766,YW邮编覆盖!A:A,YW邮编覆盖!B:B,"否")</f>
        <v>是</v>
      </c>
    </row>
    <row r="767" spans="1:10" hidden="1">
      <c r="A767" s="3">
        <v>85041</v>
      </c>
      <c r="B767" s="1" t="s">
        <v>125</v>
      </c>
      <c r="C767" s="2" t="str">
        <f>_xlfn.XLOOKUP(B767,线路DSP对应!A:A,线路DSP对应!B:B)</f>
        <v>STA_PHX_GOMEZ</v>
      </c>
      <c r="D767" s="4" t="s">
        <v>155</v>
      </c>
      <c r="E767" s="2" t="str">
        <f>_xlfn.XLOOKUP(A767,转单情况!A:A,转单情况!B:B)</f>
        <v>否</v>
      </c>
      <c r="G767" s="28">
        <f>ROUND(_xlfn.XLOOKUP(A767,全量!A:A,全量!B:B,0)/7,1)</f>
        <v>21.3</v>
      </c>
      <c r="H767" s="2">
        <f>ROUND(_xlfn.XLOOKUP(A767,AE!A:A,AE!B:B,0)/7,1)</f>
        <v>18.7</v>
      </c>
      <c r="I767" s="2" t="str">
        <f>_xlfn.XLOOKUP(A767,SWFTX邮编覆盖!A:A,SWFTX邮编覆盖!B:B,"否")</f>
        <v>是</v>
      </c>
      <c r="J767" s="2" t="str">
        <f>_xlfn.XLOOKUP(A767,YW邮编覆盖!A:A,YW邮编覆盖!B:B,"否")</f>
        <v>是</v>
      </c>
    </row>
    <row r="768" spans="1:10" hidden="1">
      <c r="A768" s="3">
        <v>85045</v>
      </c>
      <c r="B768" s="1" t="s">
        <v>125</v>
      </c>
      <c r="C768" s="2" t="str">
        <f>_xlfn.XLOOKUP(B768,线路DSP对应!A:A,线路DSP对应!B:B)</f>
        <v>STA_PHX_GOMEZ</v>
      </c>
      <c r="D768" s="4" t="s">
        <v>155</v>
      </c>
      <c r="E768" s="2" t="str">
        <f>_xlfn.XLOOKUP(A768,转单情况!A:A,转单情况!B:B)</f>
        <v>SW</v>
      </c>
      <c r="G768" s="28">
        <f>ROUND(_xlfn.XLOOKUP(A768,全量!A:A,全量!B:B,0)/7,1)</f>
        <v>3.9</v>
      </c>
      <c r="H768" s="2">
        <f>ROUND(_xlfn.XLOOKUP(A768,AE!A:A,AE!B:B,0)/7,1)</f>
        <v>3.6</v>
      </c>
      <c r="I768" s="2" t="str">
        <f>_xlfn.XLOOKUP(A768,SWFTX邮编覆盖!A:A,SWFTX邮编覆盖!B:B,"否")</f>
        <v>是</v>
      </c>
      <c r="J768" s="2" t="str">
        <f>_xlfn.XLOOKUP(A768,YW邮编覆盖!A:A,YW邮编覆盖!B:B,"否")</f>
        <v>是</v>
      </c>
    </row>
    <row r="769" spans="1:10" hidden="1">
      <c r="A769" s="3">
        <v>85048</v>
      </c>
      <c r="B769" s="1" t="s">
        <v>125</v>
      </c>
      <c r="C769" s="2" t="str">
        <f>_xlfn.XLOOKUP(B769,线路DSP对应!A:A,线路DSP对应!B:B)</f>
        <v>STA_PHX_GOMEZ</v>
      </c>
      <c r="D769" s="4" t="s">
        <v>155</v>
      </c>
      <c r="E769" s="2" t="str">
        <f>_xlfn.XLOOKUP(A769,转单情况!A:A,转单情况!B:B)</f>
        <v>否</v>
      </c>
      <c r="G769" s="28">
        <f>ROUND(_xlfn.XLOOKUP(A769,全量!A:A,全量!B:B,0)/7,1)</f>
        <v>9.3000000000000007</v>
      </c>
      <c r="H769" s="2">
        <f>ROUND(_xlfn.XLOOKUP(A769,AE!A:A,AE!B:B,0)/7,1)</f>
        <v>9</v>
      </c>
      <c r="I769" s="2" t="str">
        <f>_xlfn.XLOOKUP(A769,SWFTX邮编覆盖!A:A,SWFTX邮编覆盖!B:B,"否")</f>
        <v>是</v>
      </c>
      <c r="J769" s="2" t="str">
        <f>_xlfn.XLOOKUP(A769,YW邮编覆盖!A:A,YW邮编覆盖!B:B,"否")</f>
        <v>是</v>
      </c>
    </row>
    <row r="770" spans="1:10" hidden="1">
      <c r="A770" s="3">
        <v>85044</v>
      </c>
      <c r="B770" s="1" t="s">
        <v>125</v>
      </c>
      <c r="C770" s="2" t="str">
        <f>_xlfn.XLOOKUP(B770,线路DSP对应!A:A,线路DSP对应!B:B)</f>
        <v>STA_PHX_GOMEZ</v>
      </c>
      <c r="D770" s="4" t="s">
        <v>155</v>
      </c>
      <c r="E770" s="2" t="str">
        <f>_xlfn.XLOOKUP(A770,转单情况!A:A,转单情况!B:B)</f>
        <v>否</v>
      </c>
      <c r="G770" s="28">
        <f>ROUND(_xlfn.XLOOKUP(A770,全量!A:A,全量!B:B,0)/7,1)</f>
        <v>7.7</v>
      </c>
      <c r="H770" s="2">
        <f>ROUND(_xlfn.XLOOKUP(A770,AE!A:A,AE!B:B,0)/7,1)</f>
        <v>7.6</v>
      </c>
      <c r="I770" s="2" t="str">
        <f>_xlfn.XLOOKUP(A770,SWFTX邮编覆盖!A:A,SWFTX邮编覆盖!B:B,"否")</f>
        <v>是</v>
      </c>
      <c r="J770" s="2" t="str">
        <f>_xlfn.XLOOKUP(A770,YW邮编覆盖!A:A,YW邮编覆盖!B:B,"否")</f>
        <v>是</v>
      </c>
    </row>
    <row r="771" spans="1:10" hidden="1">
      <c r="A771" s="3">
        <v>85226</v>
      </c>
      <c r="B771" s="1" t="s">
        <v>125</v>
      </c>
      <c r="C771" s="2" t="str">
        <f>_xlfn.XLOOKUP(B771,线路DSP对应!A:A,线路DSP对应!B:B)</f>
        <v>STA_PHX_GOMEZ</v>
      </c>
      <c r="D771" s="4" t="s">
        <v>155</v>
      </c>
      <c r="E771" s="2" t="str">
        <f>_xlfn.XLOOKUP(A771,转单情况!A:A,转单情况!B:B)</f>
        <v>否</v>
      </c>
      <c r="G771" s="28">
        <f>ROUND(_xlfn.XLOOKUP(A771,全量!A:A,全量!B:B,0)/7,1)</f>
        <v>14.4</v>
      </c>
      <c r="H771" s="2">
        <f>ROUND(_xlfn.XLOOKUP(A771,AE!A:A,AE!B:B,0)/7,1)</f>
        <v>14.3</v>
      </c>
      <c r="I771" s="2" t="str">
        <f>_xlfn.XLOOKUP(A771,SWFTX邮编覆盖!A:A,SWFTX邮编覆盖!B:B,"否")</f>
        <v>是</v>
      </c>
      <c r="J771" s="2" t="str">
        <f>_xlfn.XLOOKUP(A771,YW邮编覆盖!A:A,YW邮编覆盖!B:B,"否")</f>
        <v>是</v>
      </c>
    </row>
    <row r="772" spans="1:10" hidden="1">
      <c r="A772" s="3">
        <v>85248</v>
      </c>
      <c r="B772" s="1" t="s">
        <v>122</v>
      </c>
      <c r="C772" s="2" t="str">
        <f>_xlfn.XLOOKUP(B772,线路DSP对应!A:A,线路DSP对应!B:B)</f>
        <v>STA_LAX_ChinaOcean</v>
      </c>
      <c r="D772" s="4" t="s">
        <v>155</v>
      </c>
      <c r="E772" s="2" t="str">
        <f>_xlfn.XLOOKUP(A772,转单情况!A:A,转单情况!B:B)</f>
        <v>SW</v>
      </c>
      <c r="G772" s="28">
        <f>ROUND(_xlfn.XLOOKUP(A772,全量!A:A,全量!B:B,0)/7,1)</f>
        <v>4.3</v>
      </c>
      <c r="H772" s="2">
        <f>ROUND(_xlfn.XLOOKUP(A772,AE!A:A,AE!B:B,0)/7,1)</f>
        <v>4</v>
      </c>
      <c r="I772" s="2" t="str">
        <f>_xlfn.XLOOKUP(A772,SWFTX邮编覆盖!A:A,SWFTX邮编覆盖!B:B,"否")</f>
        <v>是</v>
      </c>
      <c r="J772" s="2" t="str">
        <f>_xlfn.XLOOKUP(A772,YW邮编覆盖!A:A,YW邮编覆盖!B:B,"否")</f>
        <v>是</v>
      </c>
    </row>
    <row r="773" spans="1:10" hidden="1">
      <c r="A773" s="3">
        <v>85281</v>
      </c>
      <c r="B773" s="1" t="s">
        <v>125</v>
      </c>
      <c r="C773" s="2" t="str">
        <f>_xlfn.XLOOKUP(B773,线路DSP对应!A:A,线路DSP对应!B:B)</f>
        <v>STA_PHX_GOMEZ</v>
      </c>
      <c r="D773" s="4" t="s">
        <v>155</v>
      </c>
      <c r="E773" s="2" t="str">
        <f>_xlfn.XLOOKUP(A773,转单情况!A:A,转单情况!B:B)</f>
        <v>否</v>
      </c>
      <c r="G773" s="28">
        <f>ROUND(_xlfn.XLOOKUP(A773,全量!A:A,全量!B:B,0)/7,1)</f>
        <v>12.4</v>
      </c>
      <c r="H773" s="2">
        <f>ROUND(_xlfn.XLOOKUP(A773,AE!A:A,AE!B:B,0)/7,1)</f>
        <v>11.6</v>
      </c>
      <c r="I773" s="2" t="str">
        <f>_xlfn.XLOOKUP(A773,SWFTX邮编覆盖!A:A,SWFTX邮编覆盖!B:B,"否")</f>
        <v>是</v>
      </c>
      <c r="J773" s="2" t="str">
        <f>_xlfn.XLOOKUP(A773,YW邮编覆盖!A:A,YW邮编覆盖!B:B,"否")</f>
        <v>是</v>
      </c>
    </row>
    <row r="774" spans="1:10" hidden="1">
      <c r="A774" s="3">
        <v>85284</v>
      </c>
      <c r="B774" s="1" t="s">
        <v>125</v>
      </c>
      <c r="C774" s="2" t="str">
        <f>_xlfn.XLOOKUP(B774,线路DSP对应!A:A,线路DSP对应!B:B)</f>
        <v>STA_PHX_GOMEZ</v>
      </c>
      <c r="D774" s="4" t="s">
        <v>155</v>
      </c>
      <c r="E774" s="2" t="str">
        <f>_xlfn.XLOOKUP(A774,转单情况!A:A,转单情况!B:B)</f>
        <v>否</v>
      </c>
      <c r="G774" s="28">
        <f>ROUND(_xlfn.XLOOKUP(A774,全量!A:A,全量!B:B,0)/7,1)</f>
        <v>2.9</v>
      </c>
      <c r="H774" s="2">
        <f>ROUND(_xlfn.XLOOKUP(A774,AE!A:A,AE!B:B,0)/7,1)</f>
        <v>2.9</v>
      </c>
      <c r="I774" s="2" t="str">
        <f>_xlfn.XLOOKUP(A774,SWFTX邮编覆盖!A:A,SWFTX邮编覆盖!B:B,"否")</f>
        <v>是</v>
      </c>
      <c r="J774" s="2" t="str">
        <f>_xlfn.XLOOKUP(A774,YW邮编覆盖!A:A,YW邮编覆盖!B:B,"否")</f>
        <v>是</v>
      </c>
    </row>
    <row r="775" spans="1:10" hidden="1">
      <c r="A775" s="3">
        <v>85283</v>
      </c>
      <c r="B775" s="1" t="s">
        <v>125</v>
      </c>
      <c r="C775" s="2" t="str">
        <f>_xlfn.XLOOKUP(B775,线路DSP对应!A:A,线路DSP对应!B:B)</f>
        <v>STA_PHX_GOMEZ</v>
      </c>
      <c r="D775" s="4" t="s">
        <v>155</v>
      </c>
      <c r="E775" s="2" t="str">
        <f>_xlfn.XLOOKUP(A775,转单情况!A:A,转单情况!B:B)</f>
        <v>否</v>
      </c>
      <c r="G775" s="28">
        <f>ROUND(_xlfn.XLOOKUP(A775,全量!A:A,全量!B:B,0)/7,1)</f>
        <v>9.6999999999999993</v>
      </c>
      <c r="H775" s="2">
        <f>ROUND(_xlfn.XLOOKUP(A775,AE!A:A,AE!B:B,0)/7,1)</f>
        <v>9</v>
      </c>
      <c r="I775" s="2" t="str">
        <f>_xlfn.XLOOKUP(A775,SWFTX邮编覆盖!A:A,SWFTX邮编覆盖!B:B,"否")</f>
        <v>是</v>
      </c>
      <c r="J775" s="2" t="str">
        <f>_xlfn.XLOOKUP(A775,YW邮编覆盖!A:A,YW邮编覆盖!B:B,"否")</f>
        <v>是</v>
      </c>
    </row>
    <row r="776" spans="1:10" hidden="1">
      <c r="A776" s="3">
        <v>85282</v>
      </c>
      <c r="B776" s="1" t="s">
        <v>125</v>
      </c>
      <c r="C776" s="2" t="str">
        <f>_xlfn.XLOOKUP(B776,线路DSP对应!A:A,线路DSP对应!B:B)</f>
        <v>STA_PHX_GOMEZ</v>
      </c>
      <c r="D776" s="4" t="s">
        <v>155</v>
      </c>
      <c r="E776" s="2" t="str">
        <f>_xlfn.XLOOKUP(A776,转单情况!A:A,转单情况!B:B)</f>
        <v>否</v>
      </c>
      <c r="G776" s="28">
        <f>ROUND(_xlfn.XLOOKUP(A776,全量!A:A,全量!B:B,0)/7,1)</f>
        <v>13</v>
      </c>
      <c r="H776" s="2">
        <f>ROUND(_xlfn.XLOOKUP(A776,AE!A:A,AE!B:B,0)/7,1)</f>
        <v>12.9</v>
      </c>
      <c r="I776" s="2" t="str">
        <f>_xlfn.XLOOKUP(A776,SWFTX邮编覆盖!A:A,SWFTX邮编覆盖!B:B,"否")</f>
        <v>是</v>
      </c>
      <c r="J776" s="2" t="str">
        <f>_xlfn.XLOOKUP(A776,YW邮编覆盖!A:A,YW邮编覆盖!B:B,"否")</f>
        <v>是</v>
      </c>
    </row>
    <row r="777" spans="1:10" hidden="1">
      <c r="A777" s="3">
        <v>85053</v>
      </c>
      <c r="B777" s="1" t="s">
        <v>126</v>
      </c>
      <c r="C777" s="2" t="str">
        <f>_xlfn.XLOOKUP(B777,线路DSP对应!A:A,线路DSP对应!B:B)</f>
        <v>STA_PHX_TOPCAR</v>
      </c>
      <c r="D777" s="4" t="s">
        <v>155</v>
      </c>
      <c r="E777" s="2" t="str">
        <f>_xlfn.XLOOKUP(A777,转单情况!A:A,转单情况!B:B)</f>
        <v>否</v>
      </c>
      <c r="G777" s="28">
        <f>ROUND(_xlfn.XLOOKUP(A777,全量!A:A,全量!B:B,0)/7,1)</f>
        <v>10</v>
      </c>
      <c r="H777" s="2">
        <f>ROUND(_xlfn.XLOOKUP(A777,AE!A:A,AE!B:B,0)/7,1)</f>
        <v>8.6999999999999993</v>
      </c>
      <c r="I777" s="2" t="str">
        <f>_xlfn.XLOOKUP(A777,SWFTX邮编覆盖!A:A,SWFTX邮编覆盖!B:B,"否")</f>
        <v>是</v>
      </c>
      <c r="J777" s="2" t="str">
        <f>_xlfn.XLOOKUP(A777,YW邮编覆盖!A:A,YW邮编覆盖!B:B,"否")</f>
        <v>是</v>
      </c>
    </row>
    <row r="778" spans="1:10" hidden="1">
      <c r="A778" s="3">
        <v>85308</v>
      </c>
      <c r="B778" s="1" t="s">
        <v>126</v>
      </c>
      <c r="C778" s="2" t="str">
        <f>_xlfn.XLOOKUP(B778,线路DSP对应!A:A,线路DSP对应!B:B)</f>
        <v>STA_PHX_TOPCAR</v>
      </c>
      <c r="D778" s="4" t="s">
        <v>155</v>
      </c>
      <c r="E778" s="2" t="str">
        <f>_xlfn.XLOOKUP(A778,转单情况!A:A,转单情况!B:B)</f>
        <v>否</v>
      </c>
      <c r="G778" s="28">
        <f>ROUND(_xlfn.XLOOKUP(A778,全量!A:A,全量!B:B,0)/7,1)</f>
        <v>13.4</v>
      </c>
      <c r="H778" s="2">
        <f>ROUND(_xlfn.XLOOKUP(A778,AE!A:A,AE!B:B,0)/7,1)</f>
        <v>12.4</v>
      </c>
      <c r="I778" s="2" t="str">
        <f>_xlfn.XLOOKUP(A778,SWFTX邮编覆盖!A:A,SWFTX邮编覆盖!B:B,"否")</f>
        <v>是</v>
      </c>
      <c r="J778" s="2" t="str">
        <f>_xlfn.XLOOKUP(A778,YW邮编覆盖!A:A,YW邮编覆盖!B:B,"否")</f>
        <v>是</v>
      </c>
    </row>
    <row r="779" spans="1:10" hidden="1">
      <c r="A779" s="3">
        <v>85310</v>
      </c>
      <c r="B779" s="1" t="s">
        <v>126</v>
      </c>
      <c r="C779" s="2" t="str">
        <f>_xlfn.XLOOKUP(B779,线路DSP对应!A:A,线路DSP对应!B:B)</f>
        <v>STA_PHX_TOPCAR</v>
      </c>
      <c r="D779" s="4" t="s">
        <v>155</v>
      </c>
      <c r="E779" s="2" t="str">
        <f>_xlfn.XLOOKUP(A779,转单情况!A:A,转单情况!B:B)</f>
        <v>否</v>
      </c>
      <c r="G779" s="28">
        <f>ROUND(_xlfn.XLOOKUP(A779,全量!A:A,全量!B:B,0)/7,1)</f>
        <v>4.9000000000000004</v>
      </c>
      <c r="H779" s="2">
        <f>ROUND(_xlfn.XLOOKUP(A779,AE!A:A,AE!B:B,0)/7,1)</f>
        <v>4.4000000000000004</v>
      </c>
      <c r="I779" s="2" t="str">
        <f>_xlfn.XLOOKUP(A779,SWFTX邮编覆盖!A:A,SWFTX邮编覆盖!B:B,"否")</f>
        <v>是</v>
      </c>
      <c r="J779" s="2" t="str">
        <f>_xlfn.XLOOKUP(A779,YW邮编覆盖!A:A,YW邮编覆盖!B:B,"否")</f>
        <v>是</v>
      </c>
    </row>
    <row r="780" spans="1:10" hidden="1">
      <c r="A780" s="3">
        <v>85083</v>
      </c>
      <c r="B780" s="1" t="s">
        <v>126</v>
      </c>
      <c r="C780" s="2" t="str">
        <f>_xlfn.XLOOKUP(B780,线路DSP对应!A:A,线路DSP对应!B:B)</f>
        <v>STA_PHX_TOPCAR</v>
      </c>
      <c r="D780" s="4" t="s">
        <v>155</v>
      </c>
      <c r="E780" s="2" t="str">
        <f>_xlfn.XLOOKUP(A780,转单情况!A:A,转单情况!B:B)</f>
        <v>SW</v>
      </c>
      <c r="G780" s="28">
        <f>ROUND(_xlfn.XLOOKUP(A780,全量!A:A,全量!B:B,0)/7,1)</f>
        <v>3.1</v>
      </c>
      <c r="H780" s="2">
        <f>ROUND(_xlfn.XLOOKUP(A780,AE!A:A,AE!B:B,0)/7,1)</f>
        <v>3.1</v>
      </c>
      <c r="I780" s="2" t="str">
        <f>_xlfn.XLOOKUP(A780,SWFTX邮编覆盖!A:A,SWFTX邮编覆盖!B:B,"否")</f>
        <v>是</v>
      </c>
      <c r="J780" s="2" t="str">
        <f>_xlfn.XLOOKUP(A780,YW邮编覆盖!A:A,YW邮编覆盖!B:B,"否")</f>
        <v>是</v>
      </c>
    </row>
    <row r="781" spans="1:10" hidden="1">
      <c r="A781" s="3">
        <v>85023</v>
      </c>
      <c r="B781" s="1" t="s">
        <v>126</v>
      </c>
      <c r="C781" s="2" t="str">
        <f>_xlfn.XLOOKUP(B781,线路DSP对应!A:A,线路DSP对应!B:B)</f>
        <v>STA_PHX_TOPCAR</v>
      </c>
      <c r="D781" s="4" t="s">
        <v>155</v>
      </c>
      <c r="E781" s="2" t="str">
        <f>_xlfn.XLOOKUP(A781,转单情况!A:A,转单情况!B:B)</f>
        <v>否</v>
      </c>
      <c r="G781" s="28">
        <f>ROUND(_xlfn.XLOOKUP(A781,全量!A:A,全量!B:B,0)/7,1)</f>
        <v>9.9</v>
      </c>
      <c r="H781" s="2">
        <f>ROUND(_xlfn.XLOOKUP(A781,AE!A:A,AE!B:B,0)/7,1)</f>
        <v>9.4</v>
      </c>
      <c r="I781" s="2" t="str">
        <f>_xlfn.XLOOKUP(A781,SWFTX邮编覆盖!A:A,SWFTX邮编覆盖!B:B,"否")</f>
        <v>是</v>
      </c>
      <c r="J781" s="2" t="str">
        <f>_xlfn.XLOOKUP(A781,YW邮编覆盖!A:A,YW邮编覆盖!B:B,"否")</f>
        <v>是</v>
      </c>
    </row>
    <row r="782" spans="1:10" hidden="1">
      <c r="A782" s="3">
        <v>85022</v>
      </c>
      <c r="B782" s="1" t="s">
        <v>126</v>
      </c>
      <c r="C782" s="2" t="str">
        <f>_xlfn.XLOOKUP(B782,线路DSP对应!A:A,线路DSP对应!B:B)</f>
        <v>STA_PHX_TOPCAR</v>
      </c>
      <c r="D782" s="4" t="s">
        <v>155</v>
      </c>
      <c r="E782" s="2" t="str">
        <f>_xlfn.XLOOKUP(A782,转单情况!A:A,转单情况!B:B)</f>
        <v>否</v>
      </c>
      <c r="G782" s="28">
        <f>ROUND(_xlfn.XLOOKUP(A782,全量!A:A,全量!B:B,0)/7,1)</f>
        <v>10.6</v>
      </c>
      <c r="H782" s="2">
        <f>ROUND(_xlfn.XLOOKUP(A782,AE!A:A,AE!B:B,0)/7,1)</f>
        <v>10</v>
      </c>
      <c r="I782" s="2" t="str">
        <f>_xlfn.XLOOKUP(A782,SWFTX邮编覆盖!A:A,SWFTX邮编覆盖!B:B,"否")</f>
        <v>是</v>
      </c>
      <c r="J782" s="2" t="str">
        <f>_xlfn.XLOOKUP(A782,YW邮编覆盖!A:A,YW邮编覆盖!B:B,"否")</f>
        <v>是</v>
      </c>
    </row>
    <row r="783" spans="1:10" hidden="1">
      <c r="A783" s="3">
        <v>85027</v>
      </c>
      <c r="B783" s="1" t="s">
        <v>126</v>
      </c>
      <c r="C783" s="2" t="str">
        <f>_xlfn.XLOOKUP(B783,线路DSP对应!A:A,线路DSP对应!B:B)</f>
        <v>STA_PHX_TOPCAR</v>
      </c>
      <c r="D783" s="4" t="s">
        <v>155</v>
      </c>
      <c r="E783" s="2" t="str">
        <f>_xlfn.XLOOKUP(A783,转单情况!A:A,转单情况!B:B)</f>
        <v>SW</v>
      </c>
      <c r="G783" s="28">
        <f>ROUND(_xlfn.XLOOKUP(A783,全量!A:A,全量!B:B,0)/7,1)</f>
        <v>9</v>
      </c>
      <c r="H783" s="2">
        <f>ROUND(_xlfn.XLOOKUP(A783,AE!A:A,AE!B:B,0)/7,1)</f>
        <v>8.4</v>
      </c>
      <c r="I783" s="2" t="str">
        <f>_xlfn.XLOOKUP(A783,SWFTX邮编覆盖!A:A,SWFTX邮编覆盖!B:B,"否")</f>
        <v>是</v>
      </c>
      <c r="J783" s="2" t="str">
        <f>_xlfn.XLOOKUP(A783,YW邮编覆盖!A:A,YW邮编覆盖!B:B,"否")</f>
        <v>是</v>
      </c>
    </row>
    <row r="784" spans="1:10" hidden="1">
      <c r="A784" s="3">
        <v>85024</v>
      </c>
      <c r="B784" s="1" t="s">
        <v>126</v>
      </c>
      <c r="C784" s="2" t="str">
        <f>_xlfn.XLOOKUP(B784,线路DSP对应!A:A,线路DSP对应!B:B)</f>
        <v>STA_PHX_TOPCAR</v>
      </c>
      <c r="D784" s="4" t="s">
        <v>155</v>
      </c>
      <c r="E784" s="2" t="str">
        <f>_xlfn.XLOOKUP(A784,转单情况!A:A,转单情况!B:B)</f>
        <v>SW</v>
      </c>
      <c r="G784" s="28">
        <f>ROUND(_xlfn.XLOOKUP(A784,全量!A:A,全量!B:B,0)/7,1)</f>
        <v>7</v>
      </c>
      <c r="H784" s="2">
        <f>ROUND(_xlfn.XLOOKUP(A784,AE!A:A,AE!B:B,0)/7,1)</f>
        <v>6.4</v>
      </c>
      <c r="I784" s="2" t="str">
        <f>_xlfn.XLOOKUP(A784,SWFTX邮编覆盖!A:A,SWFTX邮编覆盖!B:B,"否")</f>
        <v>是</v>
      </c>
      <c r="J784" s="2" t="str">
        <f>_xlfn.XLOOKUP(A784,YW邮编覆盖!A:A,YW邮编覆盖!B:B,"否")</f>
        <v>是</v>
      </c>
    </row>
    <row r="785" spans="1:10" hidden="1">
      <c r="A785" s="3">
        <v>85028</v>
      </c>
      <c r="B785" s="1" t="s">
        <v>126</v>
      </c>
      <c r="C785" s="2" t="str">
        <f>_xlfn.XLOOKUP(B785,线路DSP对应!A:A,线路DSP对应!B:B)</f>
        <v>STA_PHX_TOPCAR</v>
      </c>
      <c r="D785" s="4" t="s">
        <v>155</v>
      </c>
      <c r="E785" s="2" t="str">
        <f>_xlfn.XLOOKUP(A785,转单情况!A:A,转单情况!B:B)</f>
        <v>否</v>
      </c>
      <c r="G785" s="28">
        <f>ROUND(_xlfn.XLOOKUP(A785,全量!A:A,全量!B:B,0)/7,1)</f>
        <v>3.7</v>
      </c>
      <c r="H785" s="2">
        <f>ROUND(_xlfn.XLOOKUP(A785,AE!A:A,AE!B:B,0)/7,1)</f>
        <v>3.6</v>
      </c>
      <c r="I785" s="2" t="str">
        <f>_xlfn.XLOOKUP(A785,SWFTX邮编覆盖!A:A,SWFTX邮编覆盖!B:B,"否")</f>
        <v>是</v>
      </c>
      <c r="J785" s="2" t="str">
        <f>_xlfn.XLOOKUP(A785,YW邮编覆盖!A:A,YW邮编覆盖!B:B,"否")</f>
        <v>是</v>
      </c>
    </row>
    <row r="786" spans="1:10" hidden="1">
      <c r="A786" s="3">
        <v>85029</v>
      </c>
      <c r="B786" s="1" t="s">
        <v>126</v>
      </c>
      <c r="C786" s="2" t="str">
        <f>_xlfn.XLOOKUP(B786,线路DSP对应!A:A,线路DSP对应!B:B)</f>
        <v>STA_PHX_TOPCAR</v>
      </c>
      <c r="D786" s="4" t="s">
        <v>155</v>
      </c>
      <c r="E786" s="2" t="str">
        <f>_xlfn.XLOOKUP(A786,转单情况!A:A,转单情况!B:B)</f>
        <v>否</v>
      </c>
      <c r="G786" s="28">
        <f>ROUND(_xlfn.XLOOKUP(A786,全量!A:A,全量!B:B,0)/7,1)</f>
        <v>10.7</v>
      </c>
      <c r="H786" s="2">
        <f>ROUND(_xlfn.XLOOKUP(A786,AE!A:A,AE!B:B,0)/7,1)</f>
        <v>10</v>
      </c>
      <c r="I786" s="2" t="str">
        <f>_xlfn.XLOOKUP(A786,SWFTX邮编覆盖!A:A,SWFTX邮编覆盖!B:B,"否")</f>
        <v>是</v>
      </c>
      <c r="J786" s="2" t="str">
        <f>_xlfn.XLOOKUP(A786,YW邮编覆盖!A:A,YW邮编覆盖!B:B,"否")</f>
        <v>是</v>
      </c>
    </row>
    <row r="787" spans="1:10" hidden="1">
      <c r="A787" s="3">
        <v>85051</v>
      </c>
      <c r="B787" s="1" t="s">
        <v>126</v>
      </c>
      <c r="C787" s="2" t="str">
        <f>_xlfn.XLOOKUP(B787,线路DSP对应!A:A,线路DSP对应!B:B)</f>
        <v>STA_PHX_TOPCAR</v>
      </c>
      <c r="D787" s="4" t="s">
        <v>155</v>
      </c>
      <c r="E787" s="2" t="str">
        <f>_xlfn.XLOOKUP(A787,转单情况!A:A,转单情况!B:B)</f>
        <v>否</v>
      </c>
      <c r="G787" s="28">
        <f>ROUND(_xlfn.XLOOKUP(A787,全量!A:A,全量!B:B,0)/7,1)</f>
        <v>13.6</v>
      </c>
      <c r="H787" s="2">
        <f>ROUND(_xlfn.XLOOKUP(A787,AE!A:A,AE!B:B,0)/7,1)</f>
        <v>13.1</v>
      </c>
      <c r="I787" s="2" t="str">
        <f>_xlfn.XLOOKUP(A787,SWFTX邮编覆盖!A:A,SWFTX邮编覆盖!B:B,"否")</f>
        <v>是</v>
      </c>
      <c r="J787" s="2" t="str">
        <f>_xlfn.XLOOKUP(A787,YW邮编覆盖!A:A,YW邮编覆盖!B:B,"否")</f>
        <v>是</v>
      </c>
    </row>
    <row r="788" spans="1:10" hidden="1">
      <c r="A788" s="3">
        <v>85021</v>
      </c>
      <c r="B788" s="1" t="s">
        <v>126</v>
      </c>
      <c r="C788" s="2" t="str">
        <f>_xlfn.XLOOKUP(B788,线路DSP对应!A:A,线路DSP对应!B:B)</f>
        <v>STA_PHX_TOPCAR</v>
      </c>
      <c r="D788" s="4" t="s">
        <v>155</v>
      </c>
      <c r="E788" s="2" t="str">
        <f>_xlfn.XLOOKUP(A788,转单情况!A:A,转单情况!B:B)</f>
        <v>否</v>
      </c>
      <c r="G788" s="28">
        <f>ROUND(_xlfn.XLOOKUP(A788,全量!A:A,全量!B:B,0)/7,1)</f>
        <v>9.3000000000000007</v>
      </c>
      <c r="H788" s="2">
        <f>ROUND(_xlfn.XLOOKUP(A788,AE!A:A,AE!B:B,0)/7,1)</f>
        <v>9.1</v>
      </c>
      <c r="I788" s="2" t="str">
        <f>_xlfn.XLOOKUP(A788,SWFTX邮编覆盖!A:A,SWFTX邮编覆盖!B:B,"否")</f>
        <v>是</v>
      </c>
      <c r="J788" s="2" t="str">
        <f>_xlfn.XLOOKUP(A788,YW邮编覆盖!A:A,YW邮编覆盖!B:B,"否")</f>
        <v>是</v>
      </c>
    </row>
    <row r="789" spans="1:10" hidden="1">
      <c r="A789" s="3">
        <v>85020</v>
      </c>
      <c r="B789" s="1" t="s">
        <v>126</v>
      </c>
      <c r="C789" s="2" t="str">
        <f>_xlfn.XLOOKUP(B789,线路DSP对应!A:A,线路DSP对应!B:B)</f>
        <v>STA_PHX_TOPCAR</v>
      </c>
      <c r="D789" s="4" t="s">
        <v>155</v>
      </c>
      <c r="E789" s="2" t="str">
        <f>_xlfn.XLOOKUP(A789,转单情况!A:A,转单情况!B:B)</f>
        <v>否</v>
      </c>
      <c r="G789" s="28">
        <f>ROUND(_xlfn.XLOOKUP(A789,全量!A:A,全量!B:B,0)/7,1)</f>
        <v>5.3</v>
      </c>
      <c r="H789" s="2">
        <f>ROUND(_xlfn.XLOOKUP(A789,AE!A:A,AE!B:B,0)/7,1)</f>
        <v>5.3</v>
      </c>
      <c r="I789" s="2" t="str">
        <f>_xlfn.XLOOKUP(A789,SWFTX邮编覆盖!A:A,SWFTX邮编覆盖!B:B,"否")</f>
        <v>是</v>
      </c>
      <c r="J789" s="2" t="str">
        <f>_xlfn.XLOOKUP(A789,YW邮编覆盖!A:A,YW邮编覆盖!B:B,"否")</f>
        <v>是</v>
      </c>
    </row>
    <row r="790" spans="1:10" hidden="1">
      <c r="A790" s="3">
        <v>85019</v>
      </c>
      <c r="B790" s="1" t="s">
        <v>126</v>
      </c>
      <c r="C790" s="2" t="str">
        <f>_xlfn.XLOOKUP(B790,线路DSP对应!A:A,线路DSP对应!B:B)</f>
        <v>STA_PHX_TOPCAR</v>
      </c>
      <c r="D790" s="4" t="s">
        <v>155</v>
      </c>
      <c r="E790" s="2" t="str">
        <f>_xlfn.XLOOKUP(A790,转单情况!A:A,转单情况!B:B)</f>
        <v>SW</v>
      </c>
      <c r="G790" s="28">
        <f>ROUND(_xlfn.XLOOKUP(A790,全量!A:A,全量!B:B,0)/7,1)</f>
        <v>5</v>
      </c>
      <c r="H790" s="2">
        <f>ROUND(_xlfn.XLOOKUP(A790,AE!A:A,AE!B:B,0)/7,1)</f>
        <v>4.5999999999999996</v>
      </c>
      <c r="I790" s="2" t="str">
        <f>_xlfn.XLOOKUP(A790,SWFTX邮编覆盖!A:A,SWFTX邮编覆盖!B:B,"否")</f>
        <v>是</v>
      </c>
      <c r="J790" s="2" t="str">
        <f>_xlfn.XLOOKUP(A790,YW邮编覆盖!A:A,YW邮编覆盖!B:B,"否")</f>
        <v>是</v>
      </c>
    </row>
    <row r="791" spans="1:10" hidden="1">
      <c r="A791" s="3">
        <v>85017</v>
      </c>
      <c r="B791" s="1" t="s">
        <v>126</v>
      </c>
      <c r="C791" s="2" t="str">
        <f>_xlfn.XLOOKUP(B791,线路DSP对应!A:A,线路DSP对应!B:B)</f>
        <v>STA_PHX_TOPCAR</v>
      </c>
      <c r="D791" s="4" t="s">
        <v>155</v>
      </c>
      <c r="E791" s="2" t="str">
        <f>_xlfn.XLOOKUP(A791,转单情况!A:A,转单情况!B:B)</f>
        <v>否</v>
      </c>
      <c r="G791" s="28">
        <f>ROUND(_xlfn.XLOOKUP(A791,全量!A:A,全量!B:B,0)/7,1)</f>
        <v>10.3</v>
      </c>
      <c r="H791" s="2">
        <f>ROUND(_xlfn.XLOOKUP(A791,AE!A:A,AE!B:B,0)/7,1)</f>
        <v>9.1</v>
      </c>
      <c r="I791" s="2" t="str">
        <f>_xlfn.XLOOKUP(A791,SWFTX邮编覆盖!A:A,SWFTX邮编覆盖!B:B,"否")</f>
        <v>是</v>
      </c>
      <c r="J791" s="2" t="str">
        <f>_xlfn.XLOOKUP(A791,YW邮编覆盖!A:A,YW邮编覆盖!B:B,"否")</f>
        <v>是</v>
      </c>
    </row>
    <row r="792" spans="1:10" hidden="1">
      <c r="A792" s="3">
        <v>85015</v>
      </c>
      <c r="B792" s="1" t="s">
        <v>126</v>
      </c>
      <c r="C792" s="2" t="str">
        <f>_xlfn.XLOOKUP(B792,线路DSP对应!A:A,线路DSP对应!B:B)</f>
        <v>STA_PHX_TOPCAR</v>
      </c>
      <c r="D792" s="4" t="s">
        <v>155</v>
      </c>
      <c r="E792" s="2" t="str">
        <f>_xlfn.XLOOKUP(A792,转单情况!A:A,转单情况!B:B)</f>
        <v>否</v>
      </c>
      <c r="G792" s="28">
        <f>ROUND(_xlfn.XLOOKUP(A792,全量!A:A,全量!B:B,0)/7,1)</f>
        <v>10.3</v>
      </c>
      <c r="H792" s="2">
        <f>ROUND(_xlfn.XLOOKUP(A792,AE!A:A,AE!B:B,0)/7,1)</f>
        <v>10.1</v>
      </c>
      <c r="I792" s="2" t="str">
        <f>_xlfn.XLOOKUP(A792,SWFTX邮编覆盖!A:A,SWFTX邮编覆盖!B:B,"否")</f>
        <v>是</v>
      </c>
      <c r="J792" s="2" t="str">
        <f>_xlfn.XLOOKUP(A792,YW邮编覆盖!A:A,YW邮编覆盖!B:B,"否")</f>
        <v>是</v>
      </c>
    </row>
    <row r="793" spans="1:10" hidden="1">
      <c r="A793" s="3">
        <v>85013</v>
      </c>
      <c r="B793" s="1" t="s">
        <v>126</v>
      </c>
      <c r="C793" s="2" t="str">
        <f>_xlfn.XLOOKUP(B793,线路DSP对应!A:A,线路DSP对应!B:B)</f>
        <v>STA_PHX_TOPCAR</v>
      </c>
      <c r="D793" s="4" t="s">
        <v>155</v>
      </c>
      <c r="E793" s="2" t="str">
        <f>_xlfn.XLOOKUP(A793,转单情况!A:A,转单情况!B:B)</f>
        <v>否</v>
      </c>
      <c r="G793" s="28">
        <f>ROUND(_xlfn.XLOOKUP(A793,全量!A:A,全量!B:B,0)/7,1)</f>
        <v>6.1</v>
      </c>
      <c r="H793" s="2">
        <f>ROUND(_xlfn.XLOOKUP(A793,AE!A:A,AE!B:B,0)/7,1)</f>
        <v>5.7</v>
      </c>
      <c r="I793" s="2" t="str">
        <f>_xlfn.XLOOKUP(A793,SWFTX邮编覆盖!A:A,SWFTX邮编覆盖!B:B,"否")</f>
        <v>是</v>
      </c>
      <c r="J793" s="2" t="str">
        <f>_xlfn.XLOOKUP(A793,YW邮编覆盖!A:A,YW邮编覆盖!B:B,"否")</f>
        <v>是</v>
      </c>
    </row>
    <row r="794" spans="1:10" hidden="1">
      <c r="A794" s="3">
        <v>85012</v>
      </c>
      <c r="B794" s="1" t="s">
        <v>126</v>
      </c>
      <c r="C794" s="2" t="str">
        <f>_xlfn.XLOOKUP(B794,线路DSP对应!A:A,线路DSP对应!B:B)</f>
        <v>STA_PHX_TOPCAR</v>
      </c>
      <c r="D794" s="4" t="s">
        <v>155</v>
      </c>
      <c r="E794" s="2" t="str">
        <f>_xlfn.XLOOKUP(A794,转单情况!A:A,转单情况!B:B)</f>
        <v>SW</v>
      </c>
      <c r="G794" s="28">
        <f>ROUND(_xlfn.XLOOKUP(A794,全量!A:A,全量!B:B,0)/7,1)</f>
        <v>2</v>
      </c>
      <c r="H794" s="2">
        <f>ROUND(_xlfn.XLOOKUP(A794,AE!A:A,AE!B:B,0)/7,1)</f>
        <v>1.9</v>
      </c>
      <c r="I794" s="2" t="str">
        <f>_xlfn.XLOOKUP(A794,SWFTX邮编覆盖!A:A,SWFTX邮编覆盖!B:B,"否")</f>
        <v>是</v>
      </c>
      <c r="J794" s="2" t="str">
        <f>_xlfn.XLOOKUP(A794,YW邮编覆盖!A:A,YW邮编覆盖!B:B,"否")</f>
        <v>是</v>
      </c>
    </row>
    <row r="795" spans="1:10" hidden="1">
      <c r="A795" s="3">
        <v>85014</v>
      </c>
      <c r="B795" s="1" t="s">
        <v>127</v>
      </c>
      <c r="C795" s="2" t="str">
        <f>_xlfn.XLOOKUP(B795,线路DSP对应!A:A,线路DSP对应!B:B)</f>
        <v>STA_PHX_C&amp;R</v>
      </c>
      <c r="D795" s="4" t="s">
        <v>155</v>
      </c>
      <c r="E795" s="2" t="str">
        <f>_xlfn.XLOOKUP(A795,转单情况!A:A,转单情况!B:B)</f>
        <v>否</v>
      </c>
      <c r="G795" s="28">
        <f>ROUND(_xlfn.XLOOKUP(A795,全量!A:A,全量!B:B,0)/7,1)</f>
        <v>6</v>
      </c>
      <c r="H795" s="2">
        <f>ROUND(_xlfn.XLOOKUP(A795,AE!A:A,AE!B:B,0)/7,1)</f>
        <v>5.7</v>
      </c>
      <c r="I795" s="2" t="str">
        <f>_xlfn.XLOOKUP(A795,SWFTX邮编覆盖!A:A,SWFTX邮编覆盖!B:B,"否")</f>
        <v>是</v>
      </c>
      <c r="J795" s="2" t="str">
        <f>_xlfn.XLOOKUP(A795,YW邮编覆盖!A:A,YW邮编覆盖!B:B,"否")</f>
        <v>是</v>
      </c>
    </row>
    <row r="796" spans="1:10" hidden="1">
      <c r="A796" s="3">
        <v>85006</v>
      </c>
      <c r="B796" s="1" t="s">
        <v>127</v>
      </c>
      <c r="C796" s="2" t="str">
        <f>_xlfn.XLOOKUP(B796,线路DSP对应!A:A,线路DSP对应!B:B)</f>
        <v>STA_PHX_C&amp;R</v>
      </c>
      <c r="D796" s="4" t="s">
        <v>155</v>
      </c>
      <c r="E796" s="2" t="str">
        <f>_xlfn.XLOOKUP(A796,转单情况!A:A,转单情况!B:B)</f>
        <v>否</v>
      </c>
      <c r="G796" s="28">
        <f>ROUND(_xlfn.XLOOKUP(A796,全量!A:A,全量!B:B,0)/7,1)</f>
        <v>6.9</v>
      </c>
      <c r="H796" s="2">
        <f>ROUND(_xlfn.XLOOKUP(A796,AE!A:A,AE!B:B,0)/7,1)</f>
        <v>6.6</v>
      </c>
      <c r="I796" s="2" t="str">
        <f>_xlfn.XLOOKUP(A796,SWFTX邮编覆盖!A:A,SWFTX邮编覆盖!B:B,"否")</f>
        <v>是</v>
      </c>
      <c r="J796" s="2" t="str">
        <f>_xlfn.XLOOKUP(A796,YW邮编覆盖!A:A,YW邮编覆盖!B:B,"否")</f>
        <v>是</v>
      </c>
    </row>
    <row r="797" spans="1:10" hidden="1">
      <c r="A797" s="3">
        <v>85016</v>
      </c>
      <c r="B797" s="1" t="s">
        <v>127</v>
      </c>
      <c r="C797" s="2" t="str">
        <f>_xlfn.XLOOKUP(B797,线路DSP对应!A:A,线路DSP对应!B:B)</f>
        <v>STA_PHX_C&amp;R</v>
      </c>
      <c r="D797" s="4" t="s">
        <v>155</v>
      </c>
      <c r="E797" s="2" t="str">
        <f>_xlfn.XLOOKUP(A797,转单情况!A:A,转单情况!B:B)</f>
        <v>否</v>
      </c>
      <c r="G797" s="28">
        <f>ROUND(_xlfn.XLOOKUP(A797,全量!A:A,全量!B:B,0)/7,1)</f>
        <v>4.7</v>
      </c>
      <c r="H797" s="2">
        <f>ROUND(_xlfn.XLOOKUP(A797,AE!A:A,AE!B:B,0)/7,1)</f>
        <v>4.5999999999999996</v>
      </c>
      <c r="I797" s="2" t="str">
        <f>_xlfn.XLOOKUP(A797,SWFTX邮编覆盖!A:A,SWFTX邮编覆盖!B:B,"否")</f>
        <v>是</v>
      </c>
      <c r="J797" s="2" t="str">
        <f>_xlfn.XLOOKUP(A797,YW邮编覆盖!A:A,YW邮编覆盖!B:B,"否")</f>
        <v>是</v>
      </c>
    </row>
    <row r="798" spans="1:10" hidden="1">
      <c r="A798" s="3">
        <v>85008</v>
      </c>
      <c r="B798" s="1" t="s">
        <v>127</v>
      </c>
      <c r="C798" s="2" t="str">
        <f>_xlfn.XLOOKUP(B798,线路DSP对应!A:A,线路DSP对应!B:B)</f>
        <v>STA_PHX_C&amp;R</v>
      </c>
      <c r="D798" s="4" t="s">
        <v>155</v>
      </c>
      <c r="E798" s="2" t="str">
        <f>_xlfn.XLOOKUP(A798,转单情况!A:A,转单情况!B:B)</f>
        <v>否</v>
      </c>
      <c r="G798" s="28">
        <f>ROUND(_xlfn.XLOOKUP(A798,全量!A:A,全量!B:B,0)/7,1)</f>
        <v>13.3</v>
      </c>
      <c r="H798" s="2">
        <f>ROUND(_xlfn.XLOOKUP(A798,AE!A:A,AE!B:B,0)/7,1)</f>
        <v>12.6</v>
      </c>
      <c r="I798" s="2" t="str">
        <f>_xlfn.XLOOKUP(A798,SWFTX邮编覆盖!A:A,SWFTX邮编覆盖!B:B,"否")</f>
        <v>是</v>
      </c>
      <c r="J798" s="2" t="str">
        <f>_xlfn.XLOOKUP(A798,YW邮编覆盖!A:A,YW邮编覆盖!B:B,"否")</f>
        <v>是</v>
      </c>
    </row>
    <row r="799" spans="1:10" hidden="1">
      <c r="A799" s="3">
        <v>85018</v>
      </c>
      <c r="B799" s="1" t="s">
        <v>127</v>
      </c>
      <c r="C799" s="2" t="str">
        <f>_xlfn.XLOOKUP(B799,线路DSP对应!A:A,线路DSP对应!B:B)</f>
        <v>STA_PHX_C&amp;R</v>
      </c>
      <c r="D799" s="4" t="s">
        <v>155</v>
      </c>
      <c r="E799" s="2" t="str">
        <f>_xlfn.XLOOKUP(A799,转单情况!A:A,转单情况!B:B)</f>
        <v>否</v>
      </c>
      <c r="G799" s="28">
        <f>ROUND(_xlfn.XLOOKUP(A799,全量!A:A,全量!B:B,0)/7,1)</f>
        <v>5.9</v>
      </c>
      <c r="H799" s="2">
        <f>ROUND(_xlfn.XLOOKUP(A799,AE!A:A,AE!B:B,0)/7,1)</f>
        <v>5.6</v>
      </c>
      <c r="I799" s="2" t="str">
        <f>_xlfn.XLOOKUP(A799,SWFTX邮编覆盖!A:A,SWFTX邮编覆盖!B:B,"否")</f>
        <v>是</v>
      </c>
      <c r="J799" s="2" t="str">
        <f>_xlfn.XLOOKUP(A799,YW邮编覆盖!A:A,YW邮编覆盖!B:B,"否")</f>
        <v>是</v>
      </c>
    </row>
    <row r="800" spans="1:10" hidden="1">
      <c r="A800" s="3">
        <v>85032</v>
      </c>
      <c r="B800" s="1" t="s">
        <v>127</v>
      </c>
      <c r="C800" s="2" t="str">
        <f>_xlfn.XLOOKUP(B800,线路DSP对应!A:A,线路DSP对应!B:B)</f>
        <v>STA_PHX_C&amp;R</v>
      </c>
      <c r="D800" s="4" t="s">
        <v>155</v>
      </c>
      <c r="E800" s="2" t="str">
        <f>_xlfn.XLOOKUP(A800,转单情况!A:A,转单情况!B:B)</f>
        <v>否</v>
      </c>
      <c r="G800" s="28">
        <f>ROUND(_xlfn.XLOOKUP(A800,全量!A:A,全量!B:B,0)/7,1)</f>
        <v>14.6</v>
      </c>
      <c r="H800" s="2">
        <f>ROUND(_xlfn.XLOOKUP(A800,AE!A:A,AE!B:B,0)/7,1)</f>
        <v>13.7</v>
      </c>
      <c r="I800" s="2" t="str">
        <f>_xlfn.XLOOKUP(A800,SWFTX邮编覆盖!A:A,SWFTX邮编覆盖!B:B,"否")</f>
        <v>是</v>
      </c>
      <c r="J800" s="2" t="str">
        <f>_xlfn.XLOOKUP(A800,YW邮编覆盖!A:A,YW邮编覆盖!B:B,"否")</f>
        <v>是</v>
      </c>
    </row>
    <row r="801" spans="1:10" hidden="1">
      <c r="A801" s="3">
        <v>85050</v>
      </c>
      <c r="B801" s="1" t="s">
        <v>127</v>
      </c>
      <c r="C801" s="2" t="str">
        <f>_xlfn.XLOOKUP(B801,线路DSP对应!A:A,线路DSP对应!B:B)</f>
        <v>STA_PHX_C&amp;R</v>
      </c>
      <c r="D801" s="4" t="s">
        <v>155</v>
      </c>
      <c r="E801" s="2" t="str">
        <f>_xlfn.XLOOKUP(A801,转单情况!A:A,转单情况!B:B)</f>
        <v>SW</v>
      </c>
      <c r="G801" s="28">
        <f>ROUND(_xlfn.XLOOKUP(A801,全量!A:A,全量!B:B,0)/7,1)</f>
        <v>6.3</v>
      </c>
      <c r="H801" s="2">
        <f>ROUND(_xlfn.XLOOKUP(A801,AE!A:A,AE!B:B,0)/7,1)</f>
        <v>6.1</v>
      </c>
      <c r="I801" s="2" t="str">
        <f>_xlfn.XLOOKUP(A801,SWFTX邮编覆盖!A:A,SWFTX邮编覆盖!B:B,"否")</f>
        <v>是</v>
      </c>
      <c r="J801" s="2" t="str">
        <f>_xlfn.XLOOKUP(A801,YW邮编覆盖!A:A,YW邮编覆盖!B:B,"否")</f>
        <v>是</v>
      </c>
    </row>
    <row r="802" spans="1:10" hidden="1">
      <c r="A802" s="3">
        <v>85054</v>
      </c>
      <c r="B802" s="1" t="s">
        <v>127</v>
      </c>
      <c r="C802" s="2" t="str">
        <f>_xlfn.XLOOKUP(B802,线路DSP对应!A:A,线路DSP对应!B:B)</f>
        <v>STA_PHX_C&amp;R</v>
      </c>
      <c r="D802" s="4" t="s">
        <v>155</v>
      </c>
      <c r="E802" s="2" t="str">
        <f>_xlfn.XLOOKUP(A802,转单情况!A:A,转单情况!B:B)</f>
        <v>SW</v>
      </c>
      <c r="G802" s="28">
        <f>ROUND(_xlfn.XLOOKUP(A802,全量!A:A,全量!B:B,0)/7,1)</f>
        <v>2</v>
      </c>
      <c r="H802" s="2">
        <f>ROUND(_xlfn.XLOOKUP(A802,AE!A:A,AE!B:B,0)/7,1)</f>
        <v>1.6</v>
      </c>
      <c r="I802" s="2" t="str">
        <f>_xlfn.XLOOKUP(A802,SWFTX邮编覆盖!A:A,SWFTX邮编覆盖!B:B,"否")</f>
        <v>是</v>
      </c>
      <c r="J802" s="2" t="str">
        <f>_xlfn.XLOOKUP(A802,YW邮编覆盖!A:A,YW邮编覆盖!B:B,"否")</f>
        <v>是</v>
      </c>
    </row>
    <row r="803" spans="1:10" hidden="1">
      <c r="A803" s="3">
        <v>85253</v>
      </c>
      <c r="B803" s="1" t="s">
        <v>127</v>
      </c>
      <c r="C803" s="2" t="str">
        <f>_xlfn.XLOOKUP(B803,线路DSP对应!A:A,线路DSP对应!B:B)</f>
        <v>STA_PHX_C&amp;R</v>
      </c>
      <c r="D803" s="4" t="s">
        <v>155</v>
      </c>
      <c r="E803" s="2" t="str">
        <f>_xlfn.XLOOKUP(A803,转单情况!A:A,转单情况!B:B)</f>
        <v>SW</v>
      </c>
      <c r="G803" s="28">
        <f>ROUND(_xlfn.XLOOKUP(A803,全量!A:A,全量!B:B,0)/7,1)</f>
        <v>2.7</v>
      </c>
      <c r="H803" s="2">
        <f>ROUND(_xlfn.XLOOKUP(A803,AE!A:A,AE!B:B,0)/7,1)</f>
        <v>2.7</v>
      </c>
      <c r="I803" s="2" t="str">
        <f>_xlfn.XLOOKUP(A803,SWFTX邮编覆盖!A:A,SWFTX邮编覆盖!B:B,"否")</f>
        <v>是</v>
      </c>
      <c r="J803" s="2" t="str">
        <f>_xlfn.XLOOKUP(A803,YW邮编覆盖!A:A,YW邮编覆盖!B:B,"否")</f>
        <v>是</v>
      </c>
    </row>
    <row r="804" spans="1:10" hidden="1">
      <c r="A804" s="3">
        <v>85250</v>
      </c>
      <c r="B804" s="1" t="s">
        <v>127</v>
      </c>
      <c r="C804" s="2" t="str">
        <f>_xlfn.XLOOKUP(B804,线路DSP对应!A:A,线路DSP对应!B:B)</f>
        <v>STA_PHX_C&amp;R</v>
      </c>
      <c r="D804" s="4" t="s">
        <v>155</v>
      </c>
      <c r="E804" s="2" t="str">
        <f>_xlfn.XLOOKUP(A804,转单情况!A:A,转单情况!B:B)</f>
        <v>SW</v>
      </c>
      <c r="G804" s="28">
        <f>ROUND(_xlfn.XLOOKUP(A804,全量!A:A,全量!B:B,0)/7,1)</f>
        <v>3.3</v>
      </c>
      <c r="H804" s="2">
        <f>ROUND(_xlfn.XLOOKUP(A804,AE!A:A,AE!B:B,0)/7,1)</f>
        <v>3.1</v>
      </c>
      <c r="I804" s="2" t="str">
        <f>_xlfn.XLOOKUP(A804,SWFTX邮编覆盖!A:A,SWFTX邮编覆盖!B:B,"否")</f>
        <v>是</v>
      </c>
      <c r="J804" s="2" t="str">
        <f>_xlfn.XLOOKUP(A804,YW邮编覆盖!A:A,YW邮编覆盖!B:B,"否")</f>
        <v>是</v>
      </c>
    </row>
    <row r="805" spans="1:10" hidden="1">
      <c r="A805" s="3">
        <v>85258</v>
      </c>
      <c r="B805" s="1" t="s">
        <v>127</v>
      </c>
      <c r="C805" s="2" t="str">
        <f>_xlfn.XLOOKUP(B805,线路DSP对应!A:A,线路DSP对应!B:B)</f>
        <v>STA_PHX_C&amp;R</v>
      </c>
      <c r="D805" s="4" t="s">
        <v>155</v>
      </c>
      <c r="E805" s="2" t="str">
        <f>_xlfn.XLOOKUP(A805,转单情况!A:A,转单情况!B:B)</f>
        <v>SW</v>
      </c>
      <c r="G805" s="28">
        <f>ROUND(_xlfn.XLOOKUP(A805,全量!A:A,全量!B:B,0)/7,1)</f>
        <v>3</v>
      </c>
      <c r="H805" s="2">
        <f>ROUND(_xlfn.XLOOKUP(A805,AE!A:A,AE!B:B,0)/7,1)</f>
        <v>2.6</v>
      </c>
      <c r="I805" s="2" t="str">
        <f>_xlfn.XLOOKUP(A805,SWFTX邮编覆盖!A:A,SWFTX邮编覆盖!B:B,"否")</f>
        <v>是</v>
      </c>
      <c r="J805" s="2" t="str">
        <f>_xlfn.XLOOKUP(A805,YW邮编覆盖!A:A,YW邮编覆盖!B:B,"否")</f>
        <v>是</v>
      </c>
    </row>
    <row r="806" spans="1:10" hidden="1">
      <c r="A806" s="3">
        <v>85260</v>
      </c>
      <c r="B806" s="1" t="s">
        <v>127</v>
      </c>
      <c r="C806" s="2" t="str">
        <f>_xlfn.XLOOKUP(B806,线路DSP对应!A:A,线路DSP对应!B:B)</f>
        <v>STA_PHX_C&amp;R</v>
      </c>
      <c r="D806" s="4" t="s">
        <v>155</v>
      </c>
      <c r="E806" s="2" t="str">
        <f>_xlfn.XLOOKUP(A806,转单情况!A:A,转单情况!B:B)</f>
        <v>SW</v>
      </c>
      <c r="G806" s="28">
        <f>ROUND(_xlfn.XLOOKUP(A806,全量!A:A,全量!B:B,0)/7,1)</f>
        <v>7.6</v>
      </c>
      <c r="H806" s="2">
        <f>ROUND(_xlfn.XLOOKUP(A806,AE!A:A,AE!B:B,0)/7,1)</f>
        <v>7.1</v>
      </c>
      <c r="I806" s="2" t="str">
        <f>_xlfn.XLOOKUP(A806,SWFTX邮编覆盖!A:A,SWFTX邮编覆盖!B:B,"否")</f>
        <v>是</v>
      </c>
      <c r="J806" s="2" t="str">
        <f>_xlfn.XLOOKUP(A806,YW邮编覆盖!A:A,YW邮编覆盖!B:B,"否")</f>
        <v>是</v>
      </c>
    </row>
    <row r="807" spans="1:10" hidden="1">
      <c r="A807" s="3">
        <v>85254</v>
      </c>
      <c r="B807" s="1" t="s">
        <v>127</v>
      </c>
      <c r="C807" s="2" t="str">
        <f>_xlfn.XLOOKUP(B807,线路DSP对应!A:A,线路DSP对应!B:B)</f>
        <v>STA_PHX_C&amp;R</v>
      </c>
      <c r="D807" s="4" t="s">
        <v>155</v>
      </c>
      <c r="E807" s="2" t="str">
        <f>_xlfn.XLOOKUP(A807,转单情况!A:A,转单情况!B:B)</f>
        <v>SW</v>
      </c>
      <c r="G807" s="28">
        <f>ROUND(_xlfn.XLOOKUP(A807,全量!A:A,全量!B:B,0)/7,1)</f>
        <v>8.6</v>
      </c>
      <c r="H807" s="2">
        <f>ROUND(_xlfn.XLOOKUP(A807,AE!A:A,AE!B:B,0)/7,1)</f>
        <v>7.9</v>
      </c>
      <c r="I807" s="2" t="str">
        <f>_xlfn.XLOOKUP(A807,SWFTX邮编覆盖!A:A,SWFTX邮编覆盖!B:B,"否")</f>
        <v>是</v>
      </c>
      <c r="J807" s="2" t="str">
        <f>_xlfn.XLOOKUP(A807,YW邮编覆盖!A:A,YW邮编覆盖!B:B,"否")</f>
        <v>是</v>
      </c>
    </row>
    <row r="808" spans="1:10" hidden="1">
      <c r="A808" s="3">
        <v>85251</v>
      </c>
      <c r="B808" s="1" t="s">
        <v>127</v>
      </c>
      <c r="C808" s="2" t="str">
        <f>_xlfn.XLOOKUP(B808,线路DSP对应!A:A,线路DSP对应!B:B)</f>
        <v>STA_PHX_C&amp;R</v>
      </c>
      <c r="D808" s="4" t="s">
        <v>155</v>
      </c>
      <c r="E808" s="2" t="str">
        <f>_xlfn.XLOOKUP(A808,转单情况!A:A,转单情况!B:B)</f>
        <v>SW</v>
      </c>
      <c r="G808" s="28">
        <f>ROUND(_xlfn.XLOOKUP(A808,全量!A:A,全量!B:B,0)/7,1)</f>
        <v>7.7</v>
      </c>
      <c r="H808" s="2">
        <f>ROUND(_xlfn.XLOOKUP(A808,AE!A:A,AE!B:B,0)/7,1)</f>
        <v>7.7</v>
      </c>
      <c r="I808" s="2" t="str">
        <f>_xlfn.XLOOKUP(A808,SWFTX邮编覆盖!A:A,SWFTX邮编覆盖!B:B,"否")</f>
        <v>是</v>
      </c>
      <c r="J808" s="2" t="str">
        <f>_xlfn.XLOOKUP(A808,YW邮编覆盖!A:A,YW邮编覆盖!B:B,"否")</f>
        <v>是</v>
      </c>
    </row>
    <row r="809" spans="1:10" hidden="1">
      <c r="A809" s="3">
        <v>85257</v>
      </c>
      <c r="B809" s="1" t="s">
        <v>127</v>
      </c>
      <c r="C809" s="2" t="str">
        <f>_xlfn.XLOOKUP(B809,线路DSP对应!A:A,线路DSP对应!B:B)</f>
        <v>STA_PHX_C&amp;R</v>
      </c>
      <c r="D809" s="4" t="s">
        <v>155</v>
      </c>
      <c r="E809" s="2" t="str">
        <f>_xlfn.XLOOKUP(A809,转单情况!A:A,转单情况!B:B)</f>
        <v>SW</v>
      </c>
      <c r="G809" s="28">
        <f>ROUND(_xlfn.XLOOKUP(A809,全量!A:A,全量!B:B,0)/7,1)</f>
        <v>6.1</v>
      </c>
      <c r="H809" s="2">
        <f>ROUND(_xlfn.XLOOKUP(A809,AE!A:A,AE!B:B,0)/7,1)</f>
        <v>5.7</v>
      </c>
      <c r="I809" s="2" t="str">
        <f>_xlfn.XLOOKUP(A809,SWFTX邮编覆盖!A:A,SWFTX邮编覆盖!B:B,"否")</f>
        <v>是</v>
      </c>
      <c r="J809" s="2" t="str">
        <f>_xlfn.XLOOKUP(A809,YW邮编覆盖!A:A,YW邮编覆盖!B:B,"否")</f>
        <v>是</v>
      </c>
    </row>
    <row r="810" spans="1:10" hidden="1">
      <c r="A810" s="3">
        <v>85256</v>
      </c>
      <c r="B810" s="1" t="s">
        <v>127</v>
      </c>
      <c r="C810" s="2" t="str">
        <f>_xlfn.XLOOKUP(B810,线路DSP对应!A:A,线路DSP对应!B:B)</f>
        <v>STA_PHX_C&amp;R</v>
      </c>
      <c r="D810" s="4" t="s">
        <v>155</v>
      </c>
      <c r="E810" s="2" t="str">
        <f>_xlfn.XLOOKUP(A810,转单情况!A:A,转单情况!B:B)</f>
        <v>否</v>
      </c>
      <c r="G810" s="28">
        <f>ROUND(_xlfn.XLOOKUP(A810,全量!A:A,全量!B:B,0)/7,1)</f>
        <v>3.1</v>
      </c>
      <c r="H810" s="2">
        <f>ROUND(_xlfn.XLOOKUP(A810,AE!A:A,AE!B:B,0)/7,1)</f>
        <v>1.1000000000000001</v>
      </c>
      <c r="I810" s="2" t="str">
        <f>_xlfn.XLOOKUP(A810,SWFTX邮编覆盖!A:A,SWFTX邮编覆盖!B:B,"否")</f>
        <v>否</v>
      </c>
      <c r="J810" s="2" t="str">
        <f>_xlfn.XLOOKUP(A810,YW邮编覆盖!A:A,YW邮编覆盖!B:B,"否")</f>
        <v>否</v>
      </c>
    </row>
    <row r="811" spans="1:10" hidden="1">
      <c r="A811" s="3">
        <v>85201</v>
      </c>
      <c r="B811" s="1" t="s">
        <v>128</v>
      </c>
      <c r="C811" s="2" t="str">
        <f>_xlfn.XLOOKUP(B811,线路DSP对应!A:A,线路DSP对应!B:B)</f>
        <v>STA_PHX_GOMEZ</v>
      </c>
      <c r="D811" s="4" t="s">
        <v>155</v>
      </c>
      <c r="E811" s="2" t="str">
        <f>_xlfn.XLOOKUP(A811,转单情况!A:A,转单情况!B:B)</f>
        <v>否</v>
      </c>
      <c r="G811" s="28">
        <f>ROUND(_xlfn.XLOOKUP(A811,全量!A:A,全量!B:B,0)/7,1)</f>
        <v>11</v>
      </c>
      <c r="H811" s="2">
        <f>ROUND(_xlfn.XLOOKUP(A811,AE!A:A,AE!B:B,0)/7,1)</f>
        <v>10.6</v>
      </c>
      <c r="I811" s="2" t="str">
        <f>_xlfn.XLOOKUP(A811,SWFTX邮编覆盖!A:A,SWFTX邮编覆盖!B:B,"否")</f>
        <v>是</v>
      </c>
      <c r="J811" s="2" t="str">
        <f>_xlfn.XLOOKUP(A811,YW邮编覆盖!A:A,YW邮编覆盖!B:B,"否")</f>
        <v>是</v>
      </c>
    </row>
    <row r="812" spans="1:10" hidden="1">
      <c r="A812" s="3">
        <v>85203</v>
      </c>
      <c r="B812" s="1" t="s">
        <v>128</v>
      </c>
      <c r="C812" s="2" t="str">
        <f>_xlfn.XLOOKUP(B812,线路DSP对应!A:A,线路DSP对应!B:B)</f>
        <v>STA_PHX_GOMEZ</v>
      </c>
      <c r="D812" s="4" t="s">
        <v>155</v>
      </c>
      <c r="E812" s="2" t="str">
        <f>_xlfn.XLOOKUP(A812,转单情况!A:A,转单情况!B:B)</f>
        <v>否</v>
      </c>
      <c r="G812" s="28">
        <f>ROUND(_xlfn.XLOOKUP(A812,全量!A:A,全量!B:B,0)/7,1)</f>
        <v>10.4</v>
      </c>
      <c r="H812" s="2">
        <f>ROUND(_xlfn.XLOOKUP(A812,AE!A:A,AE!B:B,0)/7,1)</f>
        <v>9.6999999999999993</v>
      </c>
      <c r="I812" s="2" t="str">
        <f>_xlfn.XLOOKUP(A812,SWFTX邮编覆盖!A:A,SWFTX邮编覆盖!B:B,"否")</f>
        <v>是</v>
      </c>
      <c r="J812" s="2" t="str">
        <f>_xlfn.XLOOKUP(A812,YW邮编覆盖!A:A,YW邮编覆盖!B:B,"否")</f>
        <v>是</v>
      </c>
    </row>
    <row r="813" spans="1:10" hidden="1">
      <c r="A813" s="3">
        <v>85213</v>
      </c>
      <c r="B813" s="1" t="s">
        <v>128</v>
      </c>
      <c r="C813" s="2" t="str">
        <f>_xlfn.XLOOKUP(B813,线路DSP对应!A:A,线路DSP对应!B:B)</f>
        <v>STA_PHX_GOMEZ</v>
      </c>
      <c r="D813" s="4" t="s">
        <v>155</v>
      </c>
      <c r="E813" s="2" t="str">
        <f>_xlfn.XLOOKUP(A813,转单情况!A:A,转单情况!B:B)</f>
        <v>否</v>
      </c>
      <c r="G813" s="28">
        <f>ROUND(_xlfn.XLOOKUP(A813,全量!A:A,全量!B:B,0)/7,1)</f>
        <v>5.6</v>
      </c>
      <c r="H813" s="2">
        <f>ROUND(_xlfn.XLOOKUP(A813,AE!A:A,AE!B:B,0)/7,1)</f>
        <v>5.0999999999999996</v>
      </c>
      <c r="I813" s="2" t="str">
        <f>_xlfn.XLOOKUP(A813,SWFTX邮编覆盖!A:A,SWFTX邮编覆盖!B:B,"否")</f>
        <v>是</v>
      </c>
      <c r="J813" s="2" t="str">
        <f>_xlfn.XLOOKUP(A813,YW邮编覆盖!A:A,YW邮编覆盖!B:B,"否")</f>
        <v>是</v>
      </c>
    </row>
    <row r="814" spans="1:10" hidden="1">
      <c r="A814" s="3">
        <v>85204</v>
      </c>
      <c r="B814" s="1" t="s">
        <v>128</v>
      </c>
      <c r="C814" s="2" t="str">
        <f>_xlfn.XLOOKUP(B814,线路DSP对应!A:A,线路DSP对应!B:B)</f>
        <v>STA_PHX_GOMEZ</v>
      </c>
      <c r="D814" s="4" t="s">
        <v>155</v>
      </c>
      <c r="E814" s="2" t="str">
        <f>_xlfn.XLOOKUP(A814,转单情况!A:A,转单情况!B:B)</f>
        <v>否</v>
      </c>
      <c r="G814" s="28">
        <f>ROUND(_xlfn.XLOOKUP(A814,全量!A:A,全量!B:B,0)/7,1)</f>
        <v>12.9</v>
      </c>
      <c r="H814" s="2">
        <f>ROUND(_xlfn.XLOOKUP(A814,AE!A:A,AE!B:B,0)/7,1)</f>
        <v>12</v>
      </c>
      <c r="I814" s="2" t="str">
        <f>_xlfn.XLOOKUP(A814,SWFTX邮编覆盖!A:A,SWFTX邮编覆盖!B:B,"否")</f>
        <v>是</v>
      </c>
      <c r="J814" s="2" t="str">
        <f>_xlfn.XLOOKUP(A814,YW邮编覆盖!A:A,YW邮编覆盖!B:B,"否")</f>
        <v>是</v>
      </c>
    </row>
    <row r="815" spans="1:10" hidden="1">
      <c r="A815" s="3">
        <v>85210</v>
      </c>
      <c r="B815" s="1" t="s">
        <v>128</v>
      </c>
      <c r="C815" s="2" t="str">
        <f>_xlfn.XLOOKUP(B815,线路DSP对应!A:A,线路DSP对应!B:B)</f>
        <v>STA_PHX_GOMEZ</v>
      </c>
      <c r="D815" s="4" t="s">
        <v>155</v>
      </c>
      <c r="E815" s="2" t="str">
        <f>_xlfn.XLOOKUP(A815,转单情况!A:A,转单情况!B:B)</f>
        <v>否</v>
      </c>
      <c r="G815" s="28">
        <f>ROUND(_xlfn.XLOOKUP(A815,全量!A:A,全量!B:B,0)/7,1)</f>
        <v>8.3000000000000007</v>
      </c>
      <c r="H815" s="2">
        <f>ROUND(_xlfn.XLOOKUP(A815,AE!A:A,AE!B:B,0)/7,1)</f>
        <v>8.1</v>
      </c>
      <c r="I815" s="2" t="str">
        <f>_xlfn.XLOOKUP(A815,SWFTX邮编覆盖!A:A,SWFTX邮编覆盖!B:B,"否")</f>
        <v>是</v>
      </c>
      <c r="J815" s="2" t="str">
        <f>_xlfn.XLOOKUP(A815,YW邮编覆盖!A:A,YW邮编覆盖!B:B,"否")</f>
        <v>是</v>
      </c>
    </row>
    <row r="816" spans="1:10" hidden="1">
      <c r="A816" s="3">
        <v>85202</v>
      </c>
      <c r="B816" s="1" t="s">
        <v>128</v>
      </c>
      <c r="C816" s="2" t="str">
        <f>_xlfn.XLOOKUP(B816,线路DSP对应!A:A,线路DSP对应!B:B)</f>
        <v>STA_PHX_GOMEZ</v>
      </c>
      <c r="D816" s="4" t="s">
        <v>155</v>
      </c>
      <c r="E816" s="2" t="str">
        <f>_xlfn.XLOOKUP(A816,转单情况!A:A,转单情况!B:B)</f>
        <v>否</v>
      </c>
      <c r="G816" s="28">
        <f>ROUND(_xlfn.XLOOKUP(A816,全量!A:A,全量!B:B,0)/7,1)</f>
        <v>10.6</v>
      </c>
      <c r="H816" s="2">
        <f>ROUND(_xlfn.XLOOKUP(A816,AE!A:A,AE!B:B,0)/7,1)</f>
        <v>10.3</v>
      </c>
      <c r="I816" s="2" t="str">
        <f>_xlfn.XLOOKUP(A816,SWFTX邮编覆盖!A:A,SWFTX邮编覆盖!B:B,"否")</f>
        <v>是</v>
      </c>
      <c r="J816" s="2" t="str">
        <f>_xlfn.XLOOKUP(A816,YW邮编覆盖!A:A,YW邮编覆盖!B:B,"否")</f>
        <v>是</v>
      </c>
    </row>
    <row r="817" spans="1:10" hidden="1">
      <c r="A817" s="3">
        <v>85205</v>
      </c>
      <c r="B817" s="1" t="s">
        <v>128</v>
      </c>
      <c r="C817" s="2" t="str">
        <f>_xlfn.XLOOKUP(B817,线路DSP对应!A:A,线路DSP对应!B:B)</f>
        <v>STA_PHX_GOMEZ</v>
      </c>
      <c r="D817" s="4" t="s">
        <v>155</v>
      </c>
      <c r="E817" s="2" t="str">
        <f>_xlfn.XLOOKUP(A817,转单情况!A:A,转单情况!B:B)</f>
        <v>否</v>
      </c>
      <c r="G817" s="28">
        <f>ROUND(_xlfn.XLOOKUP(A817,全量!A:A,全量!B:B,0)/7,1)</f>
        <v>7.4</v>
      </c>
      <c r="H817" s="2">
        <f>ROUND(_xlfn.XLOOKUP(A817,AE!A:A,AE!B:B,0)/7,1)</f>
        <v>7</v>
      </c>
      <c r="I817" s="2" t="str">
        <f>_xlfn.XLOOKUP(A817,SWFTX邮编覆盖!A:A,SWFTX邮编覆盖!B:B,"否")</f>
        <v>是</v>
      </c>
      <c r="J817" s="2" t="str">
        <f>_xlfn.XLOOKUP(A817,YW邮编覆盖!A:A,YW邮编覆盖!B:B,"否")</f>
        <v>是</v>
      </c>
    </row>
    <row r="818" spans="1:10" hidden="1">
      <c r="A818" s="3">
        <v>85207</v>
      </c>
      <c r="B818" s="1" t="s">
        <v>128</v>
      </c>
      <c r="C818" s="2" t="str">
        <f>_xlfn.XLOOKUP(B818,线路DSP对应!A:A,线路DSP对应!B:B)</f>
        <v>STA_PHX_GOMEZ</v>
      </c>
      <c r="D818" s="4" t="s">
        <v>155</v>
      </c>
      <c r="E818" s="2" t="str">
        <f>_xlfn.XLOOKUP(A818,转单情况!A:A,转单情况!B:B)</f>
        <v>否</v>
      </c>
      <c r="G818" s="28">
        <f>ROUND(_xlfn.XLOOKUP(A818,全量!A:A,全量!B:B,0)/7,1)</f>
        <v>10.4</v>
      </c>
      <c r="H818" s="2">
        <f>ROUND(_xlfn.XLOOKUP(A818,AE!A:A,AE!B:B,0)/7,1)</f>
        <v>9.6999999999999993</v>
      </c>
      <c r="I818" s="2" t="str">
        <f>_xlfn.XLOOKUP(A818,SWFTX邮编覆盖!A:A,SWFTX邮编覆盖!B:B,"否")</f>
        <v>是</v>
      </c>
      <c r="J818" s="2" t="str">
        <f>_xlfn.XLOOKUP(A818,YW邮编覆盖!A:A,YW邮编覆盖!B:B,"否")</f>
        <v>是</v>
      </c>
    </row>
    <row r="819" spans="1:10" hidden="1">
      <c r="A819" s="3">
        <v>85215</v>
      </c>
      <c r="B819" s="1" t="s">
        <v>128</v>
      </c>
      <c r="C819" s="2" t="str">
        <f>_xlfn.XLOOKUP(B819,线路DSP对应!A:A,线路DSP对应!B:B)</f>
        <v>STA_PHX_GOMEZ</v>
      </c>
      <c r="D819" s="4" t="s">
        <v>155</v>
      </c>
      <c r="E819" s="2" t="str">
        <f>_xlfn.XLOOKUP(A819,转单情况!A:A,转单情况!B:B)</f>
        <v>SW</v>
      </c>
      <c r="G819" s="28">
        <f>ROUND(_xlfn.XLOOKUP(A819,全量!A:A,全量!B:B,0)/7,1)</f>
        <v>2.9</v>
      </c>
      <c r="H819" s="2">
        <f>ROUND(_xlfn.XLOOKUP(A819,AE!A:A,AE!B:B,0)/7,1)</f>
        <v>2.4</v>
      </c>
      <c r="I819" s="2" t="str">
        <f>_xlfn.XLOOKUP(A819,SWFTX邮编覆盖!A:A,SWFTX邮编覆盖!B:B,"否")</f>
        <v>是</v>
      </c>
      <c r="J819" s="2" t="str">
        <f>_xlfn.XLOOKUP(A819,YW邮编覆盖!A:A,YW邮编覆盖!B:B,"否")</f>
        <v>是</v>
      </c>
    </row>
    <row r="820" spans="1:10" hidden="1">
      <c r="A820" s="3">
        <v>85208</v>
      </c>
      <c r="B820" s="1" t="s">
        <v>128</v>
      </c>
      <c r="C820" s="2" t="str">
        <f>_xlfn.XLOOKUP(B820,线路DSP对应!A:A,线路DSP对应!B:B)</f>
        <v>STA_PHX_GOMEZ</v>
      </c>
      <c r="D820" s="4" t="s">
        <v>155</v>
      </c>
      <c r="E820" s="2" t="str">
        <f>_xlfn.XLOOKUP(A820,转单情况!A:A,转单情况!B:B)</f>
        <v>否</v>
      </c>
      <c r="G820" s="28">
        <f>ROUND(_xlfn.XLOOKUP(A820,全量!A:A,全量!B:B,0)/7,1)</f>
        <v>6</v>
      </c>
      <c r="H820" s="2">
        <f>ROUND(_xlfn.XLOOKUP(A820,AE!A:A,AE!B:B,0)/7,1)</f>
        <v>5.4</v>
      </c>
      <c r="I820" s="2" t="str">
        <f>_xlfn.XLOOKUP(A820,SWFTX邮编覆盖!A:A,SWFTX邮编覆盖!B:B,"否")</f>
        <v>是</v>
      </c>
      <c r="J820" s="2" t="str">
        <f>_xlfn.XLOOKUP(A820,YW邮编覆盖!A:A,YW邮编覆盖!B:B,"否")</f>
        <v>是</v>
      </c>
    </row>
    <row r="821" spans="1:10" hidden="1">
      <c r="A821" s="3">
        <v>85209</v>
      </c>
      <c r="B821" s="1" t="s">
        <v>128</v>
      </c>
      <c r="C821" s="2" t="str">
        <f>_xlfn.XLOOKUP(B821,线路DSP对应!A:A,线路DSP对应!B:B)</f>
        <v>STA_PHX_GOMEZ</v>
      </c>
      <c r="D821" s="4" t="s">
        <v>155</v>
      </c>
      <c r="E821" s="2" t="str">
        <f>_xlfn.XLOOKUP(A821,转单情况!A:A,转单情况!B:B)</f>
        <v>否</v>
      </c>
      <c r="G821" s="28">
        <f>ROUND(_xlfn.XLOOKUP(A821,全量!A:A,全量!B:B,0)/7,1)</f>
        <v>9.6999999999999993</v>
      </c>
      <c r="H821" s="2">
        <f>ROUND(_xlfn.XLOOKUP(A821,AE!A:A,AE!B:B,0)/7,1)</f>
        <v>9.4</v>
      </c>
      <c r="I821" s="2" t="str">
        <f>_xlfn.XLOOKUP(A821,SWFTX邮编覆盖!A:A,SWFTX邮编覆盖!B:B,"否")</f>
        <v>是</v>
      </c>
      <c r="J821" s="2" t="str">
        <f>_xlfn.XLOOKUP(A821,YW邮编覆盖!A:A,YW邮编覆盖!B:B,"否")</f>
        <v>是</v>
      </c>
    </row>
    <row r="822" spans="1:10" hidden="1">
      <c r="A822" s="3">
        <v>85206</v>
      </c>
      <c r="B822" s="1" t="s">
        <v>128</v>
      </c>
      <c r="C822" s="2" t="str">
        <f>_xlfn.XLOOKUP(B822,线路DSP对应!A:A,线路DSP对应!B:B)</f>
        <v>STA_PHX_GOMEZ</v>
      </c>
      <c r="D822" s="4" t="s">
        <v>155</v>
      </c>
      <c r="E822" s="2" t="str">
        <f>_xlfn.XLOOKUP(A822,转单情况!A:A,转单情况!B:B)</f>
        <v>否</v>
      </c>
      <c r="G822" s="28">
        <f>ROUND(_xlfn.XLOOKUP(A822,全量!A:A,全量!B:B,0)/7,1)</f>
        <v>8.6999999999999993</v>
      </c>
      <c r="H822" s="2">
        <f>ROUND(_xlfn.XLOOKUP(A822,AE!A:A,AE!B:B,0)/7,1)</f>
        <v>7.6</v>
      </c>
      <c r="I822" s="2" t="str">
        <f>_xlfn.XLOOKUP(A822,SWFTX邮编覆盖!A:A,SWFTX邮编覆盖!B:B,"否")</f>
        <v>是</v>
      </c>
      <c r="J822" s="2" t="str">
        <f>_xlfn.XLOOKUP(A822,YW邮编覆盖!A:A,YW邮编覆盖!B:B,"否")</f>
        <v>是</v>
      </c>
    </row>
    <row r="823" spans="1:10" hidden="1">
      <c r="A823" s="3">
        <v>92590</v>
      </c>
      <c r="B823" s="1" t="s">
        <v>137</v>
      </c>
      <c r="C823" s="2" t="str">
        <f>_xlfn.XLOOKUP(B823,线路DSP对应!A:A,线路DSP对应!B:B)</f>
        <v>STA_LAX_ChinaOcean</v>
      </c>
      <c r="D823" s="4" t="s">
        <v>149</v>
      </c>
      <c r="E823" s="2" t="str">
        <f>_xlfn.XLOOKUP(A823,转单情况!A:A,转单情况!B:B)</f>
        <v>SW</v>
      </c>
      <c r="G823" s="28">
        <f>ROUND(_xlfn.XLOOKUP(A823,全量!A:A,全量!B:B,0)/7,1)</f>
        <v>0</v>
      </c>
      <c r="H823" s="2">
        <f>ROUND(_xlfn.XLOOKUP(A823,AE!A:A,AE!B:B,0)/7,1)</f>
        <v>0</v>
      </c>
      <c r="I823" s="2" t="str">
        <f>_xlfn.XLOOKUP(A823,SWFTX邮编覆盖!A:A,SWFTX邮编覆盖!B:B,"否")</f>
        <v>是</v>
      </c>
      <c r="J823" s="2" t="str">
        <f>_xlfn.XLOOKUP(A823,YW邮编覆盖!A:A,YW邮编覆盖!B:B,"否")</f>
        <v>否</v>
      </c>
    </row>
    <row r="824" spans="1:10" hidden="1">
      <c r="A824" s="3">
        <v>92591</v>
      </c>
      <c r="B824" s="1" t="s">
        <v>137</v>
      </c>
      <c r="C824" s="2" t="str">
        <f>_xlfn.XLOOKUP(B824,线路DSP对应!A:A,线路DSP对应!B:B)</f>
        <v>STA_LAX_ChinaOcean</v>
      </c>
      <c r="D824" s="4" t="s">
        <v>149</v>
      </c>
      <c r="E824" s="2" t="str">
        <f>_xlfn.XLOOKUP(A824,转单情况!A:A,转单情况!B:B)</f>
        <v>SW</v>
      </c>
      <c r="G824" s="28">
        <f>ROUND(_xlfn.XLOOKUP(A824,全量!A:A,全量!B:B,0)/7,1)</f>
        <v>0.7</v>
      </c>
      <c r="H824" s="2">
        <f>ROUND(_xlfn.XLOOKUP(A824,AE!A:A,AE!B:B,0)/7,1)</f>
        <v>0</v>
      </c>
      <c r="I824" s="2" t="str">
        <f>_xlfn.XLOOKUP(A824,SWFTX邮编覆盖!A:A,SWFTX邮编覆盖!B:B,"否")</f>
        <v>是</v>
      </c>
      <c r="J824" s="2" t="str">
        <f>_xlfn.XLOOKUP(A824,YW邮编覆盖!A:A,YW邮编覆盖!B:B,"否")</f>
        <v>否</v>
      </c>
    </row>
    <row r="825" spans="1:10" hidden="1">
      <c r="A825" s="3">
        <v>92592</v>
      </c>
      <c r="B825" s="1" t="s">
        <v>137</v>
      </c>
      <c r="C825" s="2" t="str">
        <f>_xlfn.XLOOKUP(B825,线路DSP对应!A:A,线路DSP对应!B:B)</f>
        <v>STA_LAX_ChinaOcean</v>
      </c>
      <c r="D825" s="4" t="s">
        <v>149</v>
      </c>
      <c r="E825" s="2" t="str">
        <f>_xlfn.XLOOKUP(A825,转单情况!A:A,转单情况!B:B)</f>
        <v>SW</v>
      </c>
      <c r="G825" s="28">
        <f>ROUND(_xlfn.XLOOKUP(A825,全量!A:A,全量!B:B,0)/7,1)</f>
        <v>1.7</v>
      </c>
      <c r="H825" s="2">
        <f>ROUND(_xlfn.XLOOKUP(A825,AE!A:A,AE!B:B,0)/7,1)</f>
        <v>0</v>
      </c>
      <c r="I825" s="2" t="str">
        <f>_xlfn.XLOOKUP(A825,SWFTX邮编覆盖!A:A,SWFTX邮编覆盖!B:B,"否")</f>
        <v>是</v>
      </c>
      <c r="J825" s="2" t="str">
        <f>_xlfn.XLOOKUP(A825,YW邮编覆盖!A:A,YW邮编覆盖!B:B,"否")</f>
        <v>否</v>
      </c>
    </row>
    <row r="826" spans="1:10" hidden="1">
      <c r="A826" s="3">
        <v>92555</v>
      </c>
      <c r="B826" s="1" t="s">
        <v>138</v>
      </c>
      <c r="C826" s="2" t="str">
        <f>_xlfn.XLOOKUP(B826,线路DSP对应!A:A,线路DSP对应!B:B)</f>
        <v>STA_LAX_J J</v>
      </c>
      <c r="D826" s="4" t="s">
        <v>149</v>
      </c>
      <c r="E826" s="2" t="str">
        <f>_xlfn.XLOOKUP(A826,转单情况!A:A,转单情况!B:B)</f>
        <v>否</v>
      </c>
      <c r="G826" s="28">
        <f>ROUND(_xlfn.XLOOKUP(A826,全量!A:A,全量!B:B,0)/7,1)</f>
        <v>37.4</v>
      </c>
      <c r="H826" s="2">
        <f>ROUND(_xlfn.XLOOKUP(A826,AE!A:A,AE!B:B,0)/7,1)</f>
        <v>0</v>
      </c>
      <c r="I826" s="2" t="str">
        <f>_xlfn.XLOOKUP(A826,SWFTX邮编覆盖!A:A,SWFTX邮编覆盖!B:B,"否")</f>
        <v>否</v>
      </c>
      <c r="J826" s="2" t="str">
        <f>_xlfn.XLOOKUP(A826,YW邮编覆盖!A:A,YW邮编覆盖!B:B,"否")</f>
        <v>否</v>
      </c>
    </row>
    <row r="827" spans="1:10" hidden="1">
      <c r="A827" s="3">
        <v>92553</v>
      </c>
      <c r="B827" s="1" t="s">
        <v>138</v>
      </c>
      <c r="C827" s="2" t="str">
        <f>_xlfn.XLOOKUP(B827,线路DSP对应!A:A,线路DSP对应!B:B)</f>
        <v>STA_LAX_J J</v>
      </c>
      <c r="D827" s="4" t="s">
        <v>149</v>
      </c>
      <c r="E827" s="2" t="str">
        <f>_xlfn.XLOOKUP(A827,转单情况!A:A,转单情况!B:B)</f>
        <v>SW</v>
      </c>
      <c r="F827" s="29"/>
      <c r="G827" s="28">
        <f>ROUND(_xlfn.XLOOKUP(A827,全量!A:A,全量!B:B,0)/7,1)</f>
        <v>1.9</v>
      </c>
      <c r="H827" s="2">
        <f>ROUND(_xlfn.XLOOKUP(A827,AE!A:A,AE!B:B,0)/7,1)</f>
        <v>0</v>
      </c>
      <c r="I827" s="2" t="str">
        <f>_xlfn.XLOOKUP(A827,SWFTX邮编覆盖!A:A,SWFTX邮编覆盖!B:B,"否")</f>
        <v>是</v>
      </c>
      <c r="J827" s="2" t="str">
        <f>_xlfn.XLOOKUP(A827,YW邮编覆盖!A:A,YW邮编覆盖!B:B,"否")</f>
        <v>是</v>
      </c>
    </row>
    <row r="828" spans="1:10" hidden="1">
      <c r="A828" s="3">
        <v>92551</v>
      </c>
      <c r="B828" s="1" t="s">
        <v>138</v>
      </c>
      <c r="C828" s="2" t="str">
        <f>_xlfn.XLOOKUP(B828,线路DSP对应!A:A,线路DSP对应!B:B)</f>
        <v>STA_LAX_J J</v>
      </c>
      <c r="D828" s="4" t="s">
        <v>149</v>
      </c>
      <c r="E828" s="2" t="str">
        <f>_xlfn.XLOOKUP(A828,转单情况!A:A,转单情况!B:B)</f>
        <v>SW</v>
      </c>
      <c r="F828" s="29"/>
      <c r="G828" s="28">
        <f>ROUND(_xlfn.XLOOKUP(A828,全量!A:A,全量!B:B,0)/7,1)</f>
        <v>0.7</v>
      </c>
      <c r="H828" s="2">
        <f>ROUND(_xlfn.XLOOKUP(A828,AE!A:A,AE!B:B,0)/7,1)</f>
        <v>0</v>
      </c>
      <c r="I828" s="2" t="str">
        <f>_xlfn.XLOOKUP(A828,SWFTX邮编覆盖!A:A,SWFTX邮编覆盖!B:B,"否")</f>
        <v>是</v>
      </c>
      <c r="J828" s="2" t="str">
        <f>_xlfn.XLOOKUP(A828,YW邮编覆盖!A:A,YW邮编覆盖!B:B,"否")</f>
        <v>是</v>
      </c>
    </row>
    <row r="829" spans="1:10" hidden="1">
      <c r="A829" s="3">
        <v>92557</v>
      </c>
      <c r="B829" s="1" t="s">
        <v>138</v>
      </c>
      <c r="C829" s="2" t="str">
        <f>_xlfn.XLOOKUP(B829,线路DSP对应!A:A,线路DSP对应!B:B)</f>
        <v>STA_LAX_J J</v>
      </c>
      <c r="D829" s="4" t="s">
        <v>149</v>
      </c>
      <c r="E829" s="2" t="str">
        <f>_xlfn.XLOOKUP(A829,转单情况!A:A,转单情况!B:B)</f>
        <v>SW</v>
      </c>
      <c r="F829" s="29"/>
      <c r="G829" s="28">
        <f>ROUND(_xlfn.XLOOKUP(A829,全量!A:A,全量!B:B,0)/7,1)</f>
        <v>1.1000000000000001</v>
      </c>
      <c r="H829" s="2">
        <f>ROUND(_xlfn.XLOOKUP(A829,AE!A:A,AE!B:B,0)/7,1)</f>
        <v>0</v>
      </c>
      <c r="I829" s="2" t="str">
        <f>_xlfn.XLOOKUP(A829,SWFTX邮编覆盖!A:A,SWFTX邮编覆盖!B:B,"否")</f>
        <v>是</v>
      </c>
      <c r="J829" s="2" t="str">
        <f>_xlfn.XLOOKUP(A829,YW邮编覆盖!A:A,YW邮编覆盖!B:B,"否")</f>
        <v>是</v>
      </c>
    </row>
    <row r="830" spans="1:10" hidden="1">
      <c r="A830" s="3">
        <v>92571</v>
      </c>
      <c r="B830" s="1" t="s">
        <v>138</v>
      </c>
      <c r="C830" s="2" t="str">
        <f>_xlfn.XLOOKUP(B830,线路DSP对应!A:A,线路DSP对应!B:B)</f>
        <v>STA_LAX_J J</v>
      </c>
      <c r="D830" s="4" t="s">
        <v>149</v>
      </c>
      <c r="E830" s="2" t="str">
        <f>_xlfn.XLOOKUP(A830,转单情况!A:A,转单情况!B:B)</f>
        <v>SW</v>
      </c>
      <c r="F830" s="29"/>
      <c r="G830" s="28">
        <f>ROUND(_xlfn.XLOOKUP(A830,全量!A:A,全量!B:B,0)/7,1)</f>
        <v>1.3</v>
      </c>
      <c r="H830" s="2">
        <f>ROUND(_xlfn.XLOOKUP(A830,AE!A:A,AE!B:B,0)/7,1)</f>
        <v>0</v>
      </c>
      <c r="I830" s="2" t="str">
        <f>_xlfn.XLOOKUP(A830,SWFTX邮编覆盖!A:A,SWFTX邮编覆盖!B:B,"否")</f>
        <v>是</v>
      </c>
      <c r="J830" s="2" t="str">
        <f>_xlfn.XLOOKUP(A830,YW邮编覆盖!A:A,YW邮编覆盖!B:B,"否")</f>
        <v>否</v>
      </c>
    </row>
    <row r="831" spans="1:10" hidden="1">
      <c r="A831" s="3">
        <v>92599</v>
      </c>
      <c r="B831" s="1" t="s">
        <v>138</v>
      </c>
      <c r="C831" s="2" t="str">
        <f>_xlfn.XLOOKUP(B831,线路DSP对应!A:A,线路DSP对应!B:B)</f>
        <v>STA_LAX_J J</v>
      </c>
      <c r="D831" s="4" t="s">
        <v>149</v>
      </c>
      <c r="E831" s="2" t="str">
        <f>_xlfn.XLOOKUP(A831,转单情况!A:A,转单情况!B:B)</f>
        <v>否</v>
      </c>
      <c r="G831" s="28">
        <f>ROUND(_xlfn.XLOOKUP(A831,全量!A:A,全量!B:B,0)/7,1)</f>
        <v>0</v>
      </c>
      <c r="H831" s="2">
        <f>ROUND(_xlfn.XLOOKUP(A831,AE!A:A,AE!B:B,0)/7,1)</f>
        <v>0</v>
      </c>
      <c r="I831" s="2" t="str">
        <f>_xlfn.XLOOKUP(A831,SWFTX邮编覆盖!A:A,SWFTX邮编覆盖!B:B,"否")</f>
        <v>否</v>
      </c>
      <c r="J831" s="2" t="str">
        <f>_xlfn.XLOOKUP(A831,YW邮编覆盖!A:A,YW邮编覆盖!B:B,"否")</f>
        <v>否</v>
      </c>
    </row>
    <row r="832" spans="1:10" hidden="1">
      <c r="A832" s="3">
        <v>92563</v>
      </c>
      <c r="B832" s="1" t="s">
        <v>139</v>
      </c>
      <c r="C832" s="2" t="str">
        <f>_xlfn.XLOOKUP(B832,线路DSP对应!A:A,线路DSP对应!B:B)</f>
        <v>STA_LAX_J J</v>
      </c>
      <c r="D832" s="4" t="s">
        <v>149</v>
      </c>
      <c r="E832" s="2" t="str">
        <f>_xlfn.XLOOKUP(A832,转单情况!A:A,转单情况!B:B)</f>
        <v>SW</v>
      </c>
      <c r="F832" s="29"/>
      <c r="G832" s="28">
        <f>ROUND(_xlfn.XLOOKUP(A832,全量!A:A,全量!B:B,0)/7,1)</f>
        <v>1.3</v>
      </c>
      <c r="H832" s="2">
        <f>ROUND(_xlfn.XLOOKUP(A832,AE!A:A,AE!B:B,0)/7,1)</f>
        <v>0</v>
      </c>
      <c r="I832" s="2" t="str">
        <f>_xlfn.XLOOKUP(A832,SWFTX邮编覆盖!A:A,SWFTX邮编覆盖!B:B,"否")</f>
        <v>是</v>
      </c>
      <c r="J832" s="2" t="str">
        <f>_xlfn.XLOOKUP(A832,YW邮编覆盖!A:A,YW邮编覆盖!B:B,"否")</f>
        <v>否</v>
      </c>
    </row>
    <row r="833" spans="1:10" hidden="1">
      <c r="A833" s="3">
        <v>92584</v>
      </c>
      <c r="B833" s="1" t="s">
        <v>139</v>
      </c>
      <c r="C833" s="2" t="str">
        <f>_xlfn.XLOOKUP(B833,线路DSP对应!A:A,线路DSP对应!B:B)</f>
        <v>STA_LAX_J J</v>
      </c>
      <c r="D833" s="4" t="s">
        <v>149</v>
      </c>
      <c r="E833" s="2" t="str">
        <f>_xlfn.XLOOKUP(A833,转单情况!A:A,转单情况!B:B)</f>
        <v>SW</v>
      </c>
      <c r="F833" s="29"/>
      <c r="G833" s="28">
        <f>ROUND(_xlfn.XLOOKUP(A833,全量!A:A,全量!B:B,0)/7,1)</f>
        <v>1.4</v>
      </c>
      <c r="H833" s="2">
        <f>ROUND(_xlfn.XLOOKUP(A833,AE!A:A,AE!B:B,0)/7,1)</f>
        <v>0</v>
      </c>
      <c r="I833" s="2" t="str">
        <f>_xlfn.XLOOKUP(A833,SWFTX邮编覆盖!A:A,SWFTX邮编覆盖!B:B,"否")</f>
        <v>是</v>
      </c>
      <c r="J833" s="2" t="str">
        <f>_xlfn.XLOOKUP(A833,YW邮编覆盖!A:A,YW邮编覆盖!B:B,"否")</f>
        <v>否</v>
      </c>
    </row>
    <row r="834" spans="1:10" hidden="1">
      <c r="A834" s="3">
        <v>92585</v>
      </c>
      <c r="B834" s="1" t="s">
        <v>139</v>
      </c>
      <c r="C834" s="2" t="str">
        <f>_xlfn.XLOOKUP(B834,线路DSP对应!A:A,线路DSP对应!B:B)</f>
        <v>STA_LAX_J J</v>
      </c>
      <c r="D834" s="4" t="s">
        <v>149</v>
      </c>
      <c r="E834" s="2" t="str">
        <f>_xlfn.XLOOKUP(A834,转单情况!A:A,转单情况!B:B)</f>
        <v>否</v>
      </c>
      <c r="G834" s="28">
        <f>ROUND(_xlfn.XLOOKUP(A834,全量!A:A,全量!B:B,0)/7,1)</f>
        <v>10.3</v>
      </c>
      <c r="H834" s="2">
        <f>ROUND(_xlfn.XLOOKUP(A834,AE!A:A,AE!B:B,0)/7,1)</f>
        <v>9.9</v>
      </c>
      <c r="I834" s="2" t="str">
        <f>_xlfn.XLOOKUP(A834,SWFTX邮编覆盖!A:A,SWFTX邮编覆盖!B:B,"否")</f>
        <v>是</v>
      </c>
      <c r="J834" s="2" t="str">
        <f>_xlfn.XLOOKUP(A834,YW邮编覆盖!A:A,YW邮编覆盖!B:B,"否")</f>
        <v>否</v>
      </c>
    </row>
    <row r="835" spans="1:10" hidden="1">
      <c r="A835" s="3">
        <v>92586</v>
      </c>
      <c r="B835" s="1" t="s">
        <v>139</v>
      </c>
      <c r="C835" s="2" t="str">
        <f>_xlfn.XLOOKUP(B835,线路DSP对应!A:A,线路DSP对应!B:B)</f>
        <v>STA_LAX_J J</v>
      </c>
      <c r="D835" s="4" t="s">
        <v>149</v>
      </c>
      <c r="E835" s="2" t="str">
        <f>_xlfn.XLOOKUP(A835,转单情况!A:A,转单情况!B:B)</f>
        <v>否</v>
      </c>
      <c r="G835" s="28">
        <f>ROUND(_xlfn.XLOOKUP(A835,全量!A:A,全量!B:B,0)/7,1)</f>
        <v>3.4</v>
      </c>
      <c r="H835" s="2">
        <f>ROUND(_xlfn.XLOOKUP(A835,AE!A:A,AE!B:B,0)/7,1)</f>
        <v>3.3</v>
      </c>
      <c r="I835" s="2" t="str">
        <f>_xlfn.XLOOKUP(A835,SWFTX邮编覆盖!A:A,SWFTX邮编覆盖!B:B,"否")</f>
        <v>是</v>
      </c>
      <c r="J835" s="2" t="str">
        <f>_xlfn.XLOOKUP(A835,YW邮编覆盖!A:A,YW邮编覆盖!B:B,"否")</f>
        <v>否</v>
      </c>
    </row>
    <row r="836" spans="1:10" hidden="1">
      <c r="A836" s="3">
        <v>92595</v>
      </c>
      <c r="B836" s="1" t="s">
        <v>139</v>
      </c>
      <c r="C836" s="2" t="str">
        <f>_xlfn.XLOOKUP(B836,线路DSP对应!A:A,线路DSP对应!B:B)</f>
        <v>STA_LAX_J J</v>
      </c>
      <c r="D836" s="4" t="s">
        <v>149</v>
      </c>
      <c r="E836" s="2" t="str">
        <f>_xlfn.XLOOKUP(A836,转单情况!A:A,转单情况!B:B)</f>
        <v>SW</v>
      </c>
      <c r="F836" s="29"/>
      <c r="G836" s="28">
        <f>ROUND(_xlfn.XLOOKUP(A836,全量!A:A,全量!B:B,0)/7,1)</f>
        <v>0.3</v>
      </c>
      <c r="H836" s="2">
        <f>ROUND(_xlfn.XLOOKUP(A836,AE!A:A,AE!B:B,0)/7,1)</f>
        <v>0</v>
      </c>
      <c r="I836" s="2" t="str">
        <f>_xlfn.XLOOKUP(A836,SWFTX邮编覆盖!A:A,SWFTX邮编覆盖!B:B,"否")</f>
        <v>是</v>
      </c>
      <c r="J836" s="2" t="str">
        <f>_xlfn.XLOOKUP(A836,YW邮编覆盖!A:A,YW邮编覆盖!B:B,"否")</f>
        <v>否</v>
      </c>
    </row>
    <row r="837" spans="1:10" hidden="1">
      <c r="A837" s="3">
        <v>92596</v>
      </c>
      <c r="B837" s="1" t="s">
        <v>139</v>
      </c>
      <c r="C837" s="2" t="str">
        <f>_xlfn.XLOOKUP(B837,线路DSP对应!A:A,线路DSP对应!B:B)</f>
        <v>STA_LAX_J J</v>
      </c>
      <c r="D837" s="4" t="s">
        <v>149</v>
      </c>
      <c r="E837" s="2" t="str">
        <f>_xlfn.XLOOKUP(A837,转单情况!A:A,转单情况!B:B)</f>
        <v>SW</v>
      </c>
      <c r="G837" s="28">
        <f>ROUND(_xlfn.XLOOKUP(A837,全量!A:A,全量!B:B,0)/7,1)</f>
        <v>1.7</v>
      </c>
      <c r="H837" s="2">
        <f>ROUND(_xlfn.XLOOKUP(A837,AE!A:A,AE!B:B,0)/7,1)</f>
        <v>0</v>
      </c>
      <c r="I837" s="2" t="str">
        <f>_xlfn.XLOOKUP(A837,SWFTX邮编覆盖!A:A,SWFTX邮编覆盖!B:B,"否")</f>
        <v>是</v>
      </c>
      <c r="J837" s="2" t="str">
        <f>_xlfn.XLOOKUP(A837,YW邮编覆盖!A:A,YW邮编覆盖!B:B,"否")</f>
        <v>否</v>
      </c>
    </row>
    <row r="838" spans="1:10" hidden="1">
      <c r="A838" s="3">
        <v>92587</v>
      </c>
      <c r="B838" s="1" t="s">
        <v>139</v>
      </c>
      <c r="C838" s="2" t="str">
        <f>_xlfn.XLOOKUP(B838,线路DSP对应!A:A,线路DSP对应!B:B)</f>
        <v>STA_LAX_J J</v>
      </c>
      <c r="D838" s="4" t="s">
        <v>149</v>
      </c>
      <c r="E838" s="2" t="str">
        <f>_xlfn.XLOOKUP(A838,转单情况!A:A,转单情况!B:B)</f>
        <v>SW</v>
      </c>
      <c r="F838" s="29"/>
      <c r="G838" s="28">
        <f>ROUND(_xlfn.XLOOKUP(A838,全量!A:A,全量!B:B,0)/7,1)</f>
        <v>0.4</v>
      </c>
      <c r="H838" s="2">
        <f>ROUND(_xlfn.XLOOKUP(A838,AE!A:A,AE!B:B,0)/7,1)</f>
        <v>0</v>
      </c>
      <c r="I838" s="2" t="str">
        <f>_xlfn.XLOOKUP(A838,SWFTX邮编覆盖!A:A,SWFTX邮编覆盖!B:B,"否")</f>
        <v>是</v>
      </c>
      <c r="J838" s="2" t="str">
        <f>_xlfn.XLOOKUP(A838,YW邮编覆盖!A:A,YW邮编覆盖!B:B,"否")</f>
        <v>否</v>
      </c>
    </row>
    <row r="839" spans="1:10" hidden="1">
      <c r="A839" s="3">
        <v>92562</v>
      </c>
      <c r="B839" s="1" t="s">
        <v>139</v>
      </c>
      <c r="C839" s="2" t="str">
        <f>_xlfn.XLOOKUP(B839,线路DSP对应!A:A,线路DSP对应!B:B)</f>
        <v>STA_LAX_J J</v>
      </c>
      <c r="D839" s="4" t="s">
        <v>149</v>
      </c>
      <c r="E839" s="2" t="str">
        <f>_xlfn.XLOOKUP(A839,转单情况!A:A,转单情况!B:B)</f>
        <v>SW</v>
      </c>
      <c r="G839" s="28">
        <f>ROUND(_xlfn.XLOOKUP(A839,全量!A:A,全量!B:B,0)/7,1)</f>
        <v>0.6</v>
      </c>
      <c r="H839" s="2">
        <f>ROUND(_xlfn.XLOOKUP(A839,AE!A:A,AE!B:B,0)/7,1)</f>
        <v>0</v>
      </c>
      <c r="I839" s="2" t="str">
        <f>_xlfn.XLOOKUP(A839,SWFTX邮编覆盖!A:A,SWFTX邮编覆盖!B:B,"否")</f>
        <v>是</v>
      </c>
      <c r="J839" s="2" t="str">
        <f>_xlfn.XLOOKUP(A839,YW邮编覆盖!A:A,YW邮编覆盖!B:B,"否")</f>
        <v>否</v>
      </c>
    </row>
    <row r="840" spans="1:10" hidden="1">
      <c r="A840" s="3">
        <v>92570</v>
      </c>
      <c r="B840" s="1" t="s">
        <v>140</v>
      </c>
      <c r="C840" s="2" t="str">
        <f>_xlfn.XLOOKUP(B840,线路DSP对应!A:A,线路DSP对应!B:B)</f>
        <v>STA_LAX_ChinaOcean</v>
      </c>
      <c r="D840" s="4" t="s">
        <v>149</v>
      </c>
      <c r="E840" s="2" t="str">
        <f>_xlfn.XLOOKUP(A840,转单情况!A:A,转单情况!B:B)</f>
        <v>SW</v>
      </c>
      <c r="F840" s="29"/>
      <c r="G840" s="28">
        <f>ROUND(_xlfn.XLOOKUP(A840,全量!A:A,全量!B:B,0)/7,1)</f>
        <v>1.9</v>
      </c>
      <c r="H840" s="2">
        <f>ROUND(_xlfn.XLOOKUP(A840,AE!A:A,AE!B:B,0)/7,1)</f>
        <v>0</v>
      </c>
      <c r="I840" s="2" t="str">
        <f>_xlfn.XLOOKUP(A840,SWFTX邮编覆盖!A:A,SWFTX邮编覆盖!B:B,"否")</f>
        <v>是</v>
      </c>
      <c r="J840" s="2" t="str">
        <f>_xlfn.XLOOKUP(A840,YW邮编覆盖!A:A,YW邮编覆盖!B:B,"否")</f>
        <v>否</v>
      </c>
    </row>
    <row r="841" spans="1:10" hidden="1">
      <c r="A841" s="3">
        <v>92530</v>
      </c>
      <c r="B841" s="1" t="s">
        <v>140</v>
      </c>
      <c r="C841" s="2" t="str">
        <f>_xlfn.XLOOKUP(B841,线路DSP对应!A:A,线路DSP对应!B:B)</f>
        <v>STA_LAX_ChinaOcean</v>
      </c>
      <c r="D841" s="4" t="s">
        <v>149</v>
      </c>
      <c r="E841" s="2" t="str">
        <f>_xlfn.XLOOKUP(A841,转单情况!A:A,转单情况!B:B)</f>
        <v>SW</v>
      </c>
      <c r="F841" s="29"/>
      <c r="G841" s="28">
        <f>ROUND(_xlfn.XLOOKUP(A841,全量!A:A,全量!B:B,0)/7,1)</f>
        <v>21.3</v>
      </c>
      <c r="H841" s="2">
        <f>ROUND(_xlfn.XLOOKUP(A841,AE!A:A,AE!B:B,0)/7,1)</f>
        <v>19.100000000000001</v>
      </c>
      <c r="I841" s="2" t="str">
        <f>_xlfn.XLOOKUP(A841,SWFTX邮编覆盖!A:A,SWFTX邮编覆盖!B:B,"否")</f>
        <v>是</v>
      </c>
      <c r="J841" s="2" t="str">
        <f>_xlfn.XLOOKUP(A841,YW邮编覆盖!A:A,YW邮编覆盖!B:B,"否")</f>
        <v>否</v>
      </c>
    </row>
    <row r="842" spans="1:10" hidden="1">
      <c r="A842" s="3">
        <v>92532</v>
      </c>
      <c r="B842" s="1" t="s">
        <v>140</v>
      </c>
      <c r="C842" s="2" t="str">
        <f>_xlfn.XLOOKUP(B842,线路DSP对应!A:A,线路DSP对应!B:B)</f>
        <v>STA_LAX_ChinaOcean</v>
      </c>
      <c r="D842" s="4" t="s">
        <v>149</v>
      </c>
      <c r="E842" s="2" t="str">
        <f>_xlfn.XLOOKUP(A842,转单情况!A:A,转单情况!B:B)</f>
        <v>SW</v>
      </c>
      <c r="F842" s="29"/>
      <c r="G842" s="28">
        <f>ROUND(_xlfn.XLOOKUP(A842,全量!A:A,全量!B:B,0)/7,1)</f>
        <v>0.6</v>
      </c>
      <c r="H842" s="2">
        <f>ROUND(_xlfn.XLOOKUP(A842,AE!A:A,AE!B:B,0)/7,1)</f>
        <v>0</v>
      </c>
      <c r="I842" s="2" t="str">
        <f>_xlfn.XLOOKUP(A842,SWFTX邮编覆盖!A:A,SWFTX邮编覆盖!B:B,"否")</f>
        <v>是</v>
      </c>
      <c r="J842" s="2" t="str">
        <f>_xlfn.XLOOKUP(A842,YW邮编覆盖!A:A,YW邮编覆盖!B:B,"否")</f>
        <v>否</v>
      </c>
    </row>
    <row r="843" spans="1:10" hidden="1">
      <c r="A843" s="3">
        <v>92543</v>
      </c>
      <c r="B843" s="1" t="s">
        <v>141</v>
      </c>
      <c r="C843" s="2" t="str">
        <f>_xlfn.XLOOKUP(B843,线路DSP对应!A:A,线路DSP对应!B:B)</f>
        <v>STA_LAX_J J</v>
      </c>
      <c r="D843" s="4" t="s">
        <v>149</v>
      </c>
      <c r="E843" s="2" t="str">
        <f>_xlfn.XLOOKUP(A843,转单情况!A:A,转单情况!B:B)</f>
        <v>SW</v>
      </c>
      <c r="G843" s="28">
        <f>ROUND(_xlfn.XLOOKUP(A843,全量!A:A,全量!B:B,0)/7,1)</f>
        <v>0.9</v>
      </c>
      <c r="H843" s="2">
        <f>ROUND(_xlfn.XLOOKUP(A843,AE!A:A,AE!B:B,0)/7,1)</f>
        <v>0</v>
      </c>
      <c r="I843" s="2" t="str">
        <f>_xlfn.XLOOKUP(A843,SWFTX邮编覆盖!A:A,SWFTX邮编覆盖!B:B,"否")</f>
        <v>是</v>
      </c>
      <c r="J843" s="2" t="str">
        <f>_xlfn.XLOOKUP(A843,YW邮编覆盖!A:A,YW邮编覆盖!B:B,"否")</f>
        <v>否</v>
      </c>
    </row>
    <row r="844" spans="1:10" hidden="1">
      <c r="A844" s="3">
        <v>92544</v>
      </c>
      <c r="B844" s="1" t="s">
        <v>141</v>
      </c>
      <c r="C844" s="2" t="str">
        <f>_xlfn.XLOOKUP(B844,线路DSP对应!A:A,线路DSP对应!B:B)</f>
        <v>STA_LAX_J J</v>
      </c>
      <c r="D844" s="4" t="s">
        <v>149</v>
      </c>
      <c r="E844" s="2" t="str">
        <f>_xlfn.XLOOKUP(A844,转单情况!A:A,转单情况!B:B)</f>
        <v>否</v>
      </c>
      <c r="G844" s="28">
        <f>ROUND(_xlfn.XLOOKUP(A844,全量!A:A,全量!B:B,0)/7,1)</f>
        <v>19</v>
      </c>
      <c r="H844" s="2">
        <f>ROUND(_xlfn.XLOOKUP(A844,AE!A:A,AE!B:B,0)/7,1)</f>
        <v>0</v>
      </c>
      <c r="I844" s="2" t="str">
        <f>_xlfn.XLOOKUP(A844,SWFTX邮编覆盖!A:A,SWFTX邮编覆盖!B:B,"否")</f>
        <v>否</v>
      </c>
      <c r="J844" s="2" t="str">
        <f>_xlfn.XLOOKUP(A844,YW邮编覆盖!A:A,YW邮编覆盖!B:B,"否")</f>
        <v>否</v>
      </c>
    </row>
    <row r="845" spans="1:10" hidden="1">
      <c r="A845" s="3">
        <v>92545</v>
      </c>
      <c r="B845" s="1" t="s">
        <v>141</v>
      </c>
      <c r="C845" s="2" t="str">
        <f>_xlfn.XLOOKUP(B845,线路DSP对应!A:A,线路DSP对应!B:B)</f>
        <v>STA_LAX_J J</v>
      </c>
      <c r="D845" s="4" t="s">
        <v>149</v>
      </c>
      <c r="E845" s="2" t="str">
        <f>_xlfn.XLOOKUP(A845,转单情况!A:A,转单情况!B:B)</f>
        <v>SW</v>
      </c>
      <c r="G845" s="28">
        <f>ROUND(_xlfn.XLOOKUP(A845,全量!A:A,全量!B:B,0)/7,1)</f>
        <v>1.1000000000000001</v>
      </c>
      <c r="H845" s="2">
        <f>ROUND(_xlfn.XLOOKUP(A845,AE!A:A,AE!B:B,0)/7,1)</f>
        <v>0</v>
      </c>
      <c r="I845" s="2" t="str">
        <f>_xlfn.XLOOKUP(A845,SWFTX邮编覆盖!A:A,SWFTX邮编覆盖!B:B,"否")</f>
        <v>是</v>
      </c>
      <c r="J845" s="2" t="str">
        <f>_xlfn.XLOOKUP(A845,YW邮编覆盖!A:A,YW邮编覆盖!B:B,"否")</f>
        <v>否</v>
      </c>
    </row>
    <row r="846" spans="1:10" hidden="1">
      <c r="A846" s="3">
        <v>92582</v>
      </c>
      <c r="B846" s="1" t="s">
        <v>141</v>
      </c>
      <c r="C846" s="2" t="str">
        <f>_xlfn.XLOOKUP(B846,线路DSP对应!A:A,线路DSP对应!B:B)</f>
        <v>STA_LAX_J J</v>
      </c>
      <c r="D846" s="4" t="s">
        <v>149</v>
      </c>
      <c r="E846" s="2" t="str">
        <f>_xlfn.XLOOKUP(A846,转单情况!A:A,转单情况!B:B)</f>
        <v>否</v>
      </c>
      <c r="G846" s="28">
        <f>ROUND(_xlfn.XLOOKUP(A846,全量!A:A,全量!B:B,0)/7,1)</f>
        <v>20</v>
      </c>
      <c r="H846" s="2">
        <f>ROUND(_xlfn.XLOOKUP(A846,AE!A:A,AE!B:B,0)/7,1)</f>
        <v>0</v>
      </c>
      <c r="I846" s="2" t="str">
        <f>_xlfn.XLOOKUP(A846,SWFTX邮编覆盖!A:A,SWFTX邮编覆盖!B:B,"否")</f>
        <v>否</v>
      </c>
      <c r="J846" s="2" t="str">
        <f>_xlfn.XLOOKUP(A846,YW邮编覆盖!A:A,YW邮编覆盖!B:B,"否")</f>
        <v>否</v>
      </c>
    </row>
    <row r="847" spans="1:10" hidden="1">
      <c r="A847" s="3">
        <v>92583</v>
      </c>
      <c r="B847" s="1" t="s">
        <v>141</v>
      </c>
      <c r="C847" s="2" t="str">
        <f>_xlfn.XLOOKUP(B847,线路DSP对应!A:A,线路DSP对应!B:B)</f>
        <v>STA_LAX_J J</v>
      </c>
      <c r="D847" s="4" t="s">
        <v>149</v>
      </c>
      <c r="E847" s="2" t="str">
        <f>_xlfn.XLOOKUP(A847,转单情况!A:A,转单情况!B:B)</f>
        <v>否</v>
      </c>
      <c r="G847" s="28">
        <f>ROUND(_xlfn.XLOOKUP(A847,全量!A:A,全量!B:B,0)/7,1)</f>
        <v>25.4</v>
      </c>
      <c r="H847" s="2">
        <f>ROUND(_xlfn.XLOOKUP(A847,AE!A:A,AE!B:B,0)/7,1)</f>
        <v>0</v>
      </c>
      <c r="I847" s="2" t="str">
        <f>_xlfn.XLOOKUP(A847,SWFTX邮编覆盖!A:A,SWFTX邮编覆盖!B:B,"否")</f>
        <v>否</v>
      </c>
      <c r="J847" s="2" t="str">
        <f>_xlfn.XLOOKUP(A847,YW邮编覆盖!A:A,YW邮编覆盖!B:B,"否")</f>
        <v>否</v>
      </c>
    </row>
    <row r="848" spans="1:10" hidden="1">
      <c r="A848" s="3">
        <v>92548</v>
      </c>
      <c r="B848" s="1" t="s">
        <v>141</v>
      </c>
      <c r="C848" s="2" t="str">
        <f>_xlfn.XLOOKUP(B848,线路DSP对应!A:A,线路DSP对应!B:B)</f>
        <v>STA_LAX_J J</v>
      </c>
      <c r="D848" s="4" t="s">
        <v>149</v>
      </c>
      <c r="E848" s="2" t="str">
        <f>_xlfn.XLOOKUP(A848,转单情况!A:A,转单情况!B:B)</f>
        <v>SW</v>
      </c>
      <c r="F848" s="29"/>
      <c r="G848" s="28">
        <f>ROUND(_xlfn.XLOOKUP(A848,全量!A:A,全量!B:B,0)/7,1)</f>
        <v>2.7</v>
      </c>
      <c r="H848" s="2">
        <f>ROUND(_xlfn.XLOOKUP(A848,AE!A:A,AE!B:B,0)/7,1)</f>
        <v>2.2999999999999998</v>
      </c>
      <c r="I848" s="2" t="str">
        <f>_xlfn.XLOOKUP(A848,SWFTX邮编覆盖!A:A,SWFTX邮编覆盖!B:B,"否")</f>
        <v>是</v>
      </c>
      <c r="J848" s="2" t="str">
        <f>_xlfn.XLOOKUP(A848,YW邮编覆盖!A:A,YW邮编覆盖!B:B,"否")</f>
        <v>否</v>
      </c>
    </row>
    <row r="849" spans="1:10" hidden="1">
      <c r="A849" s="3">
        <v>92567</v>
      </c>
      <c r="B849" s="1" t="s">
        <v>141</v>
      </c>
      <c r="C849" s="2" t="str">
        <f>_xlfn.XLOOKUP(B849,线路DSP对应!A:A,线路DSP对应!B:B)</f>
        <v>STA_LAX_J J</v>
      </c>
      <c r="D849" s="4" t="s">
        <v>149</v>
      </c>
      <c r="E849" s="2" t="str">
        <f>_xlfn.XLOOKUP(A849,转单情况!A:A,转单情况!B:B)</f>
        <v>否</v>
      </c>
      <c r="G849" s="28">
        <f>ROUND(_xlfn.XLOOKUP(A849,全量!A:A,全量!B:B,0)/7,1)</f>
        <v>9.6999999999999993</v>
      </c>
      <c r="H849" s="2">
        <f>ROUND(_xlfn.XLOOKUP(A849,AE!A:A,AE!B:B,0)/7,1)</f>
        <v>0</v>
      </c>
      <c r="I849" s="2" t="str">
        <f>_xlfn.XLOOKUP(A849,SWFTX邮编覆盖!A:A,SWFTX邮编覆盖!B:B,"否")</f>
        <v>否</v>
      </c>
      <c r="J849" s="2" t="str">
        <f>_xlfn.XLOOKUP(A849,YW邮编覆盖!A:A,YW邮编覆盖!B:B,"否")</f>
        <v>否</v>
      </c>
    </row>
    <row r="850" spans="1:10" hidden="1">
      <c r="A850" s="3">
        <v>92223</v>
      </c>
      <c r="B850" s="1" t="s">
        <v>143</v>
      </c>
      <c r="C850" s="2" t="str">
        <f>_xlfn.XLOOKUP(B850,线路DSP对应!A:A,线路DSP对应!B:B)</f>
        <v>STA_LAX_J J</v>
      </c>
      <c r="D850" s="4" t="s">
        <v>149</v>
      </c>
      <c r="E850" s="2" t="str">
        <f>_xlfn.XLOOKUP(A850,转单情况!A:A,转单情况!B:B)</f>
        <v>否</v>
      </c>
      <c r="G850" s="28">
        <f>ROUND(_xlfn.XLOOKUP(A850,全量!A:A,全量!B:B,0)/7,1)</f>
        <v>44.9</v>
      </c>
      <c r="H850" s="2">
        <f>ROUND(_xlfn.XLOOKUP(A850,AE!A:A,AE!B:B,0)/7,1)</f>
        <v>0.1</v>
      </c>
      <c r="I850" s="2" t="str">
        <f>_xlfn.XLOOKUP(A850,SWFTX邮编覆盖!A:A,SWFTX邮编覆盖!B:B,"否")</f>
        <v>否</v>
      </c>
      <c r="J850" s="2" t="str">
        <f>_xlfn.XLOOKUP(A850,YW邮编覆盖!A:A,YW邮编覆盖!B:B,"否")</f>
        <v>否</v>
      </c>
    </row>
    <row r="851" spans="1:10" hidden="1">
      <c r="A851" s="3">
        <v>92220</v>
      </c>
      <c r="B851" s="1" t="s">
        <v>143</v>
      </c>
      <c r="C851" s="2" t="str">
        <f>_xlfn.XLOOKUP(B851,线路DSP对应!A:A,线路DSP对应!B:B)</f>
        <v>STA_LAX_J J</v>
      </c>
      <c r="D851" s="4" t="s">
        <v>149</v>
      </c>
      <c r="E851" s="2" t="str">
        <f>_xlfn.XLOOKUP(A851,转单情况!A:A,转单情况!B:B)</f>
        <v>否</v>
      </c>
      <c r="G851" s="28">
        <f>ROUND(_xlfn.XLOOKUP(A851,全量!A:A,全量!B:B,0)/7,1)</f>
        <v>23</v>
      </c>
      <c r="H851" s="2">
        <f>ROUND(_xlfn.XLOOKUP(A851,AE!A:A,AE!B:B,0)/7,1)</f>
        <v>0</v>
      </c>
      <c r="I851" s="2" t="str">
        <f>_xlfn.XLOOKUP(A851,SWFTX邮编覆盖!A:A,SWFTX邮编覆盖!B:B,"否")</f>
        <v>否</v>
      </c>
      <c r="J851" s="2" t="str">
        <f>_xlfn.XLOOKUP(A851,YW邮编覆盖!A:A,YW邮编覆盖!B:B,"否")</f>
        <v>否</v>
      </c>
    </row>
    <row r="852" spans="1:10" hidden="1">
      <c r="A852" s="3">
        <v>92230</v>
      </c>
      <c r="B852" s="1" t="s">
        <v>143</v>
      </c>
      <c r="C852" s="2" t="str">
        <f>_xlfn.XLOOKUP(B852,线路DSP对应!A:A,线路DSP对应!B:B)</f>
        <v>STA_LAX_J J</v>
      </c>
      <c r="D852" s="4" t="s">
        <v>149</v>
      </c>
      <c r="E852" s="2" t="str">
        <f>_xlfn.XLOOKUP(A852,转单情况!A:A,转单情况!B:B)</f>
        <v>否</v>
      </c>
      <c r="G852" s="28">
        <f>ROUND(_xlfn.XLOOKUP(A852,全量!A:A,全量!B:B,0)/7,1)</f>
        <v>2.7</v>
      </c>
      <c r="H852" s="2">
        <f>ROUND(_xlfn.XLOOKUP(A852,AE!A:A,AE!B:B,0)/7,1)</f>
        <v>0.6</v>
      </c>
      <c r="I852" s="2" t="str">
        <f>_xlfn.XLOOKUP(A852,SWFTX邮编覆盖!A:A,SWFTX邮编覆盖!B:B,"否")</f>
        <v>否</v>
      </c>
      <c r="J852" s="2" t="str">
        <f>_xlfn.XLOOKUP(A852,YW邮编覆盖!A:A,YW邮编覆盖!B:B,"否")</f>
        <v>否</v>
      </c>
    </row>
    <row r="853" spans="1:10" hidden="1">
      <c r="A853" s="3">
        <v>92320</v>
      </c>
      <c r="B853" s="1" t="s">
        <v>143</v>
      </c>
      <c r="C853" s="2" t="str">
        <f>_xlfn.XLOOKUP(B853,线路DSP对应!A:A,线路DSP对应!B:B)</f>
        <v>STA_LAX_J J</v>
      </c>
      <c r="D853" s="4" t="s">
        <v>149</v>
      </c>
      <c r="E853" s="2" t="str">
        <f>_xlfn.XLOOKUP(A853,转单情况!A:A,转单情况!B:B)</f>
        <v>否</v>
      </c>
      <c r="G853" s="28">
        <f>ROUND(_xlfn.XLOOKUP(A853,全量!A:A,全量!B:B,0)/7,1)</f>
        <v>2.9</v>
      </c>
      <c r="H853" s="2">
        <f>ROUND(_xlfn.XLOOKUP(A853,AE!A:A,AE!B:B,0)/7,1)</f>
        <v>0</v>
      </c>
      <c r="I853" s="2" t="str">
        <f>_xlfn.XLOOKUP(A853,SWFTX邮编覆盖!A:A,SWFTX邮编覆盖!B:B,"否")</f>
        <v>否</v>
      </c>
      <c r="J853" s="2" t="str">
        <f>_xlfn.XLOOKUP(A853,YW邮编覆盖!A:A,YW邮编覆盖!B:B,"否")</f>
        <v>否</v>
      </c>
    </row>
    <row r="854" spans="1:10" hidden="1">
      <c r="A854" s="3">
        <v>92399</v>
      </c>
      <c r="B854" s="1" t="s">
        <v>143</v>
      </c>
      <c r="C854" s="2" t="str">
        <f>_xlfn.XLOOKUP(B854,线路DSP对应!A:A,线路DSP对应!B:B)</f>
        <v>STA_LAX_J J</v>
      </c>
      <c r="D854" s="4" t="s">
        <v>149</v>
      </c>
      <c r="E854" s="2" t="str">
        <f>_xlfn.XLOOKUP(A854,转单情况!A:A,转单情况!B:B)</f>
        <v>否</v>
      </c>
      <c r="G854" s="28">
        <f>ROUND(_xlfn.XLOOKUP(A854,全量!A:A,全量!B:B,0)/7,1)</f>
        <v>10.7</v>
      </c>
      <c r="H854" s="2">
        <f>ROUND(_xlfn.XLOOKUP(A854,AE!A:A,AE!B:B,0)/7,1)</f>
        <v>0</v>
      </c>
      <c r="I854" s="2" t="str">
        <f>_xlfn.XLOOKUP(A854,SWFTX邮编覆盖!A:A,SWFTX邮编覆盖!B:B,"否")</f>
        <v>否</v>
      </c>
      <c r="J854" s="2" t="str">
        <f>_xlfn.XLOOKUP(A854,YW邮编覆盖!A:A,YW邮编覆盖!B:B,"否")</f>
        <v>否</v>
      </c>
    </row>
    <row r="855" spans="1:10" hidden="1">
      <c r="A855" s="3">
        <v>95838</v>
      </c>
      <c r="B855" s="1" t="s">
        <v>82</v>
      </c>
      <c r="C855" s="2" t="str">
        <f>_xlfn.XLOOKUP(B855,线路DSP对应!A:A,线路DSP对应!B:B)</f>
        <v>STA_SAC_FCA</v>
      </c>
      <c r="D855" s="4" t="s">
        <v>156</v>
      </c>
      <c r="E855" s="2" t="str">
        <f>_xlfn.XLOOKUP(A855,转单情况!A:A,转单情况!B:B)</f>
        <v>否</v>
      </c>
      <c r="G855" s="28">
        <f>ROUND(_xlfn.XLOOKUP(A855,全量!A:A,全量!B:B,0)/7,1)</f>
        <v>0.6</v>
      </c>
      <c r="H855" s="2">
        <f>ROUND(_xlfn.XLOOKUP(A855,AE!A:A,AE!B:B,0)/7,1)</f>
        <v>0.1</v>
      </c>
      <c r="I855" s="2" t="str">
        <f>_xlfn.XLOOKUP(A855,SWFTX邮编覆盖!A:A,SWFTX邮编覆盖!B:B,"否")</f>
        <v>是</v>
      </c>
      <c r="J855" s="2" t="str">
        <f>_xlfn.XLOOKUP(A855,YW邮编覆盖!A:A,YW邮编覆盖!B:B,"否")</f>
        <v>是</v>
      </c>
    </row>
    <row r="856" spans="1:10" hidden="1">
      <c r="A856" s="3">
        <v>95652</v>
      </c>
      <c r="B856" s="1" t="s">
        <v>82</v>
      </c>
      <c r="C856" s="2" t="str">
        <f>_xlfn.XLOOKUP(B856,线路DSP对应!A:A,线路DSP对应!B:B)</f>
        <v>STA_SAC_FCA</v>
      </c>
      <c r="D856" s="4" t="s">
        <v>156</v>
      </c>
      <c r="E856" s="2" t="str">
        <f>_xlfn.XLOOKUP(A856,转单情况!A:A,转单情况!B:B)</f>
        <v>否</v>
      </c>
      <c r="G856" s="28">
        <f>ROUND(_xlfn.XLOOKUP(A856,全量!A:A,全量!B:B,0)/7,1)</f>
        <v>0.1</v>
      </c>
      <c r="H856" s="2">
        <f>ROUND(_xlfn.XLOOKUP(A856,AE!A:A,AE!B:B,0)/7,1)</f>
        <v>0.1</v>
      </c>
      <c r="I856" s="2" t="str">
        <f>_xlfn.XLOOKUP(A856,SWFTX邮编覆盖!A:A,SWFTX邮编覆盖!B:B,"否")</f>
        <v>是</v>
      </c>
      <c r="J856" s="2" t="str">
        <f>_xlfn.XLOOKUP(A856,YW邮编覆盖!A:A,YW邮编覆盖!B:B,"否")</f>
        <v>否</v>
      </c>
    </row>
    <row r="857" spans="1:10" hidden="1">
      <c r="A857" s="3">
        <v>95660</v>
      </c>
      <c r="B857" s="1" t="s">
        <v>82</v>
      </c>
      <c r="C857" s="2" t="str">
        <f>_xlfn.XLOOKUP(B857,线路DSP对应!A:A,线路DSP对应!B:B)</f>
        <v>STA_SAC_FCA</v>
      </c>
      <c r="D857" s="4" t="s">
        <v>156</v>
      </c>
      <c r="E857" s="2" t="str">
        <f>_xlfn.XLOOKUP(A857,转单情况!A:A,转单情况!B:B)</f>
        <v>否</v>
      </c>
      <c r="G857" s="28">
        <f>ROUND(_xlfn.XLOOKUP(A857,全量!A:A,全量!B:B,0)/7,1)</f>
        <v>0.1</v>
      </c>
      <c r="H857" s="2">
        <f>ROUND(_xlfn.XLOOKUP(A857,AE!A:A,AE!B:B,0)/7,1)</f>
        <v>0</v>
      </c>
      <c r="I857" s="2" t="str">
        <f>_xlfn.XLOOKUP(A857,SWFTX邮编覆盖!A:A,SWFTX邮编覆盖!B:B,"否")</f>
        <v>是</v>
      </c>
      <c r="J857" s="2" t="str">
        <f>_xlfn.XLOOKUP(A857,YW邮编覆盖!A:A,YW邮编覆盖!B:B,"否")</f>
        <v>是</v>
      </c>
    </row>
    <row r="858" spans="1:10" hidden="1">
      <c r="A858" s="3">
        <v>95842</v>
      </c>
      <c r="B858" s="1" t="s">
        <v>82</v>
      </c>
      <c r="C858" s="2" t="str">
        <f>_xlfn.XLOOKUP(B858,线路DSP对应!A:A,线路DSP对应!B:B)</f>
        <v>STA_SAC_FCA</v>
      </c>
      <c r="D858" s="4" t="s">
        <v>156</v>
      </c>
      <c r="E858" s="2" t="str">
        <f>_xlfn.XLOOKUP(A858,转单情况!A:A,转单情况!B:B)</f>
        <v>否</v>
      </c>
      <c r="G858" s="28">
        <f>ROUND(_xlfn.XLOOKUP(A858,全量!A:A,全量!B:B,0)/7,1)</f>
        <v>1</v>
      </c>
      <c r="H858" s="2">
        <f>ROUND(_xlfn.XLOOKUP(A858,AE!A:A,AE!B:B,0)/7,1)</f>
        <v>0.3</v>
      </c>
      <c r="I858" s="2" t="str">
        <f>_xlfn.XLOOKUP(A858,SWFTX邮编覆盖!A:A,SWFTX邮编覆盖!B:B,"否")</f>
        <v>是</v>
      </c>
      <c r="J858" s="2" t="str">
        <f>_xlfn.XLOOKUP(A858,YW邮编覆盖!A:A,YW邮编覆盖!B:B,"否")</f>
        <v>是</v>
      </c>
    </row>
    <row r="859" spans="1:10" hidden="1">
      <c r="A859" s="3">
        <v>95843</v>
      </c>
      <c r="B859" s="1" t="s">
        <v>82</v>
      </c>
      <c r="C859" s="2" t="str">
        <f>_xlfn.XLOOKUP(B859,线路DSP对应!A:A,线路DSP对应!B:B)</f>
        <v>STA_SAC_FCA</v>
      </c>
      <c r="D859" s="4" t="s">
        <v>156</v>
      </c>
      <c r="E859" s="2" t="str">
        <f>_xlfn.XLOOKUP(A859,转单情况!A:A,转单情况!B:B)</f>
        <v>否</v>
      </c>
      <c r="G859" s="28">
        <f>ROUND(_xlfn.XLOOKUP(A859,全量!A:A,全量!B:B,0)/7,1)</f>
        <v>0.6</v>
      </c>
      <c r="H859" s="2">
        <f>ROUND(_xlfn.XLOOKUP(A859,AE!A:A,AE!B:B,0)/7,1)</f>
        <v>0.1</v>
      </c>
      <c r="I859" s="2" t="str">
        <f>_xlfn.XLOOKUP(A859,SWFTX邮编覆盖!A:A,SWFTX邮编覆盖!B:B,"否")</f>
        <v>是</v>
      </c>
      <c r="J859" s="2" t="str">
        <f>_xlfn.XLOOKUP(A859,YW邮编覆盖!A:A,YW邮编覆盖!B:B,"否")</f>
        <v>是</v>
      </c>
    </row>
    <row r="860" spans="1:10" hidden="1">
      <c r="A860" s="3">
        <v>95673</v>
      </c>
      <c r="B860" s="1" t="s">
        <v>82</v>
      </c>
      <c r="C860" s="2" t="str">
        <f>_xlfn.XLOOKUP(B860,线路DSP对应!A:A,线路DSP对应!B:B)</f>
        <v>STA_SAC_FCA</v>
      </c>
      <c r="D860" s="4" t="s">
        <v>156</v>
      </c>
      <c r="E860" s="2" t="str">
        <f>_xlfn.XLOOKUP(A860,转单情况!A:A,转单情况!B:B)</f>
        <v>否</v>
      </c>
      <c r="G860" s="28">
        <f>ROUND(_xlfn.XLOOKUP(A860,全量!A:A,全量!B:B,0)/7,1)</f>
        <v>0.3</v>
      </c>
      <c r="H860" s="2">
        <f>ROUND(_xlfn.XLOOKUP(A860,AE!A:A,AE!B:B,0)/7,1)</f>
        <v>0</v>
      </c>
      <c r="I860" s="2" t="str">
        <f>_xlfn.XLOOKUP(A860,SWFTX邮编覆盖!A:A,SWFTX邮编覆盖!B:B,"否")</f>
        <v>是</v>
      </c>
      <c r="J860" s="2" t="str">
        <f>_xlfn.XLOOKUP(A860,YW邮编覆盖!A:A,YW邮编覆盖!B:B,"否")</f>
        <v>是</v>
      </c>
    </row>
    <row r="861" spans="1:10" hidden="1">
      <c r="A861" s="3">
        <v>95626</v>
      </c>
      <c r="B861" s="1" t="s">
        <v>82</v>
      </c>
      <c r="C861" s="2" t="str">
        <f>_xlfn.XLOOKUP(B861,线路DSP对应!A:A,线路DSP对应!B:B)</f>
        <v>STA_SAC_FCA</v>
      </c>
      <c r="D861" s="4" t="s">
        <v>156</v>
      </c>
      <c r="E861" s="2" t="str">
        <f>_xlfn.XLOOKUP(A861,转单情况!A:A,转单情况!B:B)</f>
        <v>否</v>
      </c>
      <c r="G861" s="28">
        <f>ROUND(_xlfn.XLOOKUP(A861,全量!A:A,全量!B:B,0)/7,1)</f>
        <v>0.1</v>
      </c>
      <c r="H861" s="2">
        <f>ROUND(_xlfn.XLOOKUP(A861,AE!A:A,AE!B:B,0)/7,1)</f>
        <v>0</v>
      </c>
      <c r="I861" s="2" t="str">
        <f>_xlfn.XLOOKUP(A861,SWFTX邮编覆盖!A:A,SWFTX邮编覆盖!B:B,"否")</f>
        <v>是</v>
      </c>
      <c r="J861" s="2" t="str">
        <f>_xlfn.XLOOKUP(A861,YW邮编覆盖!A:A,YW邮编覆盖!B:B,"否")</f>
        <v>否</v>
      </c>
    </row>
    <row r="862" spans="1:10" hidden="1">
      <c r="A862" s="3">
        <v>95747</v>
      </c>
      <c r="B862" s="1" t="s">
        <v>82</v>
      </c>
      <c r="C862" s="2" t="str">
        <f>_xlfn.XLOOKUP(B862,线路DSP对应!A:A,线路DSP对应!B:B)</f>
        <v>STA_SAC_FCA</v>
      </c>
      <c r="D862" s="4" t="s">
        <v>156</v>
      </c>
      <c r="E862" s="2" t="str">
        <f>_xlfn.XLOOKUP(A862,转单情况!A:A,转单情况!B:B)</f>
        <v>否</v>
      </c>
      <c r="G862" s="28">
        <f>ROUND(_xlfn.XLOOKUP(A862,全量!A:A,全量!B:B,0)/7,1)</f>
        <v>1.7</v>
      </c>
      <c r="H862" s="2">
        <f>ROUND(_xlfn.XLOOKUP(A862,AE!A:A,AE!B:B,0)/7,1)</f>
        <v>0.1</v>
      </c>
      <c r="I862" s="2" t="str">
        <f>_xlfn.XLOOKUP(A862,SWFTX邮编覆盖!A:A,SWFTX邮编覆盖!B:B,"否")</f>
        <v>是</v>
      </c>
      <c r="J862" s="2" t="str">
        <f>_xlfn.XLOOKUP(A862,YW邮编覆盖!A:A,YW邮编覆盖!B:B,"否")</f>
        <v>是</v>
      </c>
    </row>
    <row r="863" spans="1:10" hidden="1">
      <c r="A863" s="3">
        <v>95678</v>
      </c>
      <c r="B863" s="1" t="s">
        <v>82</v>
      </c>
      <c r="C863" s="2" t="str">
        <f>_xlfn.XLOOKUP(B863,线路DSP对应!A:A,线路DSP对应!B:B)</f>
        <v>STA_SAC_FCA</v>
      </c>
      <c r="D863" s="4" t="s">
        <v>156</v>
      </c>
      <c r="E863" s="2" t="str">
        <f>_xlfn.XLOOKUP(A863,转单情况!A:A,转单情况!B:B)</f>
        <v>否</v>
      </c>
      <c r="G863" s="28">
        <f>ROUND(_xlfn.XLOOKUP(A863,全量!A:A,全量!B:B,0)/7,1)</f>
        <v>1.4</v>
      </c>
      <c r="H863" s="2">
        <f>ROUND(_xlfn.XLOOKUP(A863,AE!A:A,AE!B:B,0)/7,1)</f>
        <v>0.3</v>
      </c>
      <c r="I863" s="2" t="str">
        <f>_xlfn.XLOOKUP(A863,SWFTX邮编覆盖!A:A,SWFTX邮编覆盖!B:B,"否")</f>
        <v>是</v>
      </c>
      <c r="J863" s="2" t="str">
        <f>_xlfn.XLOOKUP(A863,YW邮编覆盖!A:A,YW邮编覆盖!B:B,"否")</f>
        <v>是</v>
      </c>
    </row>
    <row r="864" spans="1:10" hidden="1">
      <c r="A864" s="3">
        <v>95661</v>
      </c>
      <c r="B864" s="1" t="s">
        <v>82</v>
      </c>
      <c r="C864" s="2" t="str">
        <f>_xlfn.XLOOKUP(B864,线路DSP对应!A:A,线路DSP对应!B:B)</f>
        <v>STA_SAC_FCA</v>
      </c>
      <c r="D864" s="4" t="s">
        <v>156</v>
      </c>
      <c r="E864" s="2" t="str">
        <f>_xlfn.XLOOKUP(A864,转单情况!A:A,转单情况!B:B)</f>
        <v>否</v>
      </c>
      <c r="G864" s="28">
        <f>ROUND(_xlfn.XLOOKUP(A864,全量!A:A,全量!B:B,0)/7,1)</f>
        <v>0.1</v>
      </c>
      <c r="H864" s="2">
        <f>ROUND(_xlfn.XLOOKUP(A864,AE!A:A,AE!B:B,0)/7,1)</f>
        <v>0</v>
      </c>
      <c r="I864" s="2" t="str">
        <f>_xlfn.XLOOKUP(A864,SWFTX邮编覆盖!A:A,SWFTX邮编覆盖!B:B,"否")</f>
        <v>是</v>
      </c>
      <c r="J864" s="2" t="str">
        <f>_xlfn.XLOOKUP(A864,YW邮编覆盖!A:A,YW邮编覆盖!B:B,"否")</f>
        <v>是</v>
      </c>
    </row>
    <row r="865" spans="1:10" hidden="1">
      <c r="A865" s="3">
        <v>95746</v>
      </c>
      <c r="B865" s="1" t="s">
        <v>82</v>
      </c>
      <c r="C865" s="2" t="str">
        <f>_xlfn.XLOOKUP(B865,线路DSP对应!A:A,线路DSP对应!B:B)</f>
        <v>STA_SAC_FCA</v>
      </c>
      <c r="D865" s="4" t="s">
        <v>156</v>
      </c>
      <c r="E865" s="2" t="str">
        <f>_xlfn.XLOOKUP(A865,转单情况!A:A,转单情况!B:B)</f>
        <v>否</v>
      </c>
      <c r="G865" s="28">
        <f>ROUND(_xlfn.XLOOKUP(A865,全量!A:A,全量!B:B,0)/7,1)</f>
        <v>0</v>
      </c>
      <c r="H865" s="2">
        <f>ROUND(_xlfn.XLOOKUP(A865,AE!A:A,AE!B:B,0)/7,1)</f>
        <v>0</v>
      </c>
      <c r="I865" s="2" t="str">
        <f>_xlfn.XLOOKUP(A865,SWFTX邮编覆盖!A:A,SWFTX邮编覆盖!B:B,"否")</f>
        <v>是</v>
      </c>
      <c r="J865" s="2" t="str">
        <f>_xlfn.XLOOKUP(A865,YW邮编覆盖!A:A,YW邮编覆盖!B:B,"否")</f>
        <v>是</v>
      </c>
    </row>
    <row r="866" spans="1:10" hidden="1">
      <c r="A866" s="3">
        <v>95677</v>
      </c>
      <c r="B866" s="1" t="s">
        <v>82</v>
      </c>
      <c r="C866" s="2" t="str">
        <f>_xlfn.XLOOKUP(B866,线路DSP对应!A:A,线路DSP对应!B:B)</f>
        <v>STA_SAC_FCA</v>
      </c>
      <c r="D866" s="4" t="s">
        <v>156</v>
      </c>
      <c r="E866" s="2" t="str">
        <f>_xlfn.XLOOKUP(A866,转单情况!A:A,转单情况!B:B)</f>
        <v>否</v>
      </c>
      <c r="G866" s="28">
        <f>ROUND(_xlfn.XLOOKUP(A866,全量!A:A,全量!B:B,0)/7,1)</f>
        <v>0.7</v>
      </c>
      <c r="H866" s="2">
        <f>ROUND(_xlfn.XLOOKUP(A866,AE!A:A,AE!B:B,0)/7,1)</f>
        <v>0</v>
      </c>
      <c r="I866" s="2" t="str">
        <f>_xlfn.XLOOKUP(A866,SWFTX邮编覆盖!A:A,SWFTX邮编覆盖!B:B,"否")</f>
        <v>是</v>
      </c>
      <c r="J866" s="2" t="str">
        <f>_xlfn.XLOOKUP(A866,YW邮编覆盖!A:A,YW邮编覆盖!B:B,"否")</f>
        <v>是</v>
      </c>
    </row>
    <row r="867" spans="1:10" hidden="1">
      <c r="A867" s="3">
        <v>95650</v>
      </c>
      <c r="B867" s="1" t="s">
        <v>82</v>
      </c>
      <c r="C867" s="2" t="str">
        <f>_xlfn.XLOOKUP(B867,线路DSP对应!A:A,线路DSP对应!B:B)</f>
        <v>STA_SAC_FCA</v>
      </c>
      <c r="D867" s="4" t="s">
        <v>156</v>
      </c>
      <c r="E867" s="2" t="str">
        <f>_xlfn.XLOOKUP(A867,转单情况!A:A,转单情况!B:B)</f>
        <v>否</v>
      </c>
      <c r="G867" s="28">
        <f>ROUND(_xlfn.XLOOKUP(A867,全量!A:A,全量!B:B,0)/7,1)</f>
        <v>0.6</v>
      </c>
      <c r="H867" s="2">
        <f>ROUND(_xlfn.XLOOKUP(A867,AE!A:A,AE!B:B,0)/7,1)</f>
        <v>0.1</v>
      </c>
      <c r="I867" s="2" t="str">
        <f>_xlfn.XLOOKUP(A867,SWFTX邮编覆盖!A:A,SWFTX邮编覆盖!B:B,"否")</f>
        <v>是</v>
      </c>
      <c r="J867" s="2" t="str">
        <f>_xlfn.XLOOKUP(A867,YW邮编覆盖!A:A,YW邮编覆盖!B:B,"否")</f>
        <v>是</v>
      </c>
    </row>
    <row r="868" spans="1:10" hidden="1">
      <c r="A868" s="3">
        <v>95765</v>
      </c>
      <c r="B868" s="1" t="s">
        <v>82</v>
      </c>
      <c r="C868" s="2" t="str">
        <f>_xlfn.XLOOKUP(B868,线路DSP对应!A:A,线路DSP对应!B:B)</f>
        <v>STA_SAC_FCA</v>
      </c>
      <c r="D868" s="4" t="s">
        <v>156</v>
      </c>
      <c r="E868" s="2" t="str">
        <f>_xlfn.XLOOKUP(A868,转单情况!A:A,转单情况!B:B)</f>
        <v>否</v>
      </c>
      <c r="G868" s="28">
        <f>ROUND(_xlfn.XLOOKUP(A868,全量!A:A,全量!B:B,0)/7,1)</f>
        <v>0.6</v>
      </c>
      <c r="H868" s="2">
        <f>ROUND(_xlfn.XLOOKUP(A868,AE!A:A,AE!B:B,0)/7,1)</f>
        <v>0</v>
      </c>
      <c r="I868" s="2" t="str">
        <f>_xlfn.XLOOKUP(A868,SWFTX邮编覆盖!A:A,SWFTX邮编覆盖!B:B,"否")</f>
        <v>是</v>
      </c>
      <c r="J868" s="2" t="str">
        <f>_xlfn.XLOOKUP(A868,YW邮编覆盖!A:A,YW邮编覆盖!B:B,"否")</f>
        <v>是</v>
      </c>
    </row>
    <row r="869" spans="1:10" hidden="1">
      <c r="A869" s="3">
        <v>95648</v>
      </c>
      <c r="B869" s="1" t="s">
        <v>82</v>
      </c>
      <c r="C869" s="2" t="str">
        <f>_xlfn.XLOOKUP(B869,线路DSP对应!A:A,线路DSP对应!B:B)</f>
        <v>STA_SAC_FCA</v>
      </c>
      <c r="D869" s="4" t="s">
        <v>156</v>
      </c>
      <c r="E869" s="2" t="str">
        <f>_xlfn.XLOOKUP(A869,转单情况!A:A,转单情况!B:B)</f>
        <v>否</v>
      </c>
      <c r="G869" s="28">
        <f>ROUND(_xlfn.XLOOKUP(A869,全量!A:A,全量!B:B,0)/7,1)</f>
        <v>1.9</v>
      </c>
      <c r="H869" s="2">
        <f>ROUND(_xlfn.XLOOKUP(A869,AE!A:A,AE!B:B,0)/7,1)</f>
        <v>0.7</v>
      </c>
      <c r="I869" s="2" t="str">
        <f>_xlfn.XLOOKUP(A869,SWFTX邮编覆盖!A:A,SWFTX邮编覆盖!B:B,"否")</f>
        <v>是</v>
      </c>
      <c r="J869" s="2" t="str">
        <f>_xlfn.XLOOKUP(A869,YW邮编覆盖!A:A,YW邮编覆盖!B:B,"否")</f>
        <v>是</v>
      </c>
    </row>
    <row r="870" spans="1:10" hidden="1">
      <c r="A870" s="3">
        <v>95703</v>
      </c>
      <c r="B870" s="1" t="s">
        <v>82</v>
      </c>
      <c r="C870" s="2" t="str">
        <f>_xlfn.XLOOKUP(B870,线路DSP对应!A:A,线路DSP对应!B:B)</f>
        <v>STA_SAC_FCA</v>
      </c>
      <c r="D870" s="4" t="s">
        <v>156</v>
      </c>
      <c r="E870" s="2" t="str">
        <f>_xlfn.XLOOKUP(A870,转单情况!A:A,转单情况!B:B)</f>
        <v>否</v>
      </c>
      <c r="G870" s="28">
        <f>ROUND(_xlfn.XLOOKUP(A870,全量!A:A,全量!B:B,0)/7,1)</f>
        <v>1.4</v>
      </c>
      <c r="H870" s="2">
        <f>ROUND(_xlfn.XLOOKUP(A870,AE!A:A,AE!B:B,0)/7,1)</f>
        <v>0.3</v>
      </c>
      <c r="I870" s="2" t="str">
        <f>_xlfn.XLOOKUP(A870,SWFTX邮编覆盖!A:A,SWFTX邮编覆盖!B:B,"否")</f>
        <v>否</v>
      </c>
      <c r="J870" s="2" t="str">
        <f>_xlfn.XLOOKUP(A870,YW邮编覆盖!A:A,YW邮编覆盖!B:B,"否")</f>
        <v>否</v>
      </c>
    </row>
    <row r="871" spans="1:10" hidden="1">
      <c r="A871" s="3">
        <v>95603</v>
      </c>
      <c r="B871" s="1" t="s">
        <v>82</v>
      </c>
      <c r="C871" s="2" t="str">
        <f>_xlfn.XLOOKUP(B871,线路DSP对应!A:A,线路DSP对应!B:B)</f>
        <v>STA_SAC_FCA</v>
      </c>
      <c r="D871" s="4" t="s">
        <v>156</v>
      </c>
      <c r="E871" s="2" t="str">
        <f>_xlfn.XLOOKUP(A871,转单情况!A:A,转单情况!B:B)</f>
        <v>否</v>
      </c>
      <c r="G871" s="28">
        <f>ROUND(_xlfn.XLOOKUP(A871,全量!A:A,全量!B:B,0)/7,1)</f>
        <v>5.9</v>
      </c>
      <c r="H871" s="2">
        <f>ROUND(_xlfn.XLOOKUP(A871,AE!A:A,AE!B:B,0)/7,1)</f>
        <v>0</v>
      </c>
      <c r="I871" s="2" t="str">
        <f>_xlfn.XLOOKUP(A871,SWFTX邮编覆盖!A:A,SWFTX邮编覆盖!B:B,"否")</f>
        <v>否</v>
      </c>
      <c r="J871" s="2" t="str">
        <f>_xlfn.XLOOKUP(A871,YW邮编覆盖!A:A,YW邮编覆盖!B:B,"否")</f>
        <v>否</v>
      </c>
    </row>
    <row r="872" spans="1:10" hidden="1">
      <c r="A872" s="3">
        <v>95602</v>
      </c>
      <c r="B872" s="1" t="s">
        <v>82</v>
      </c>
      <c r="C872" s="2" t="str">
        <f>_xlfn.XLOOKUP(B872,线路DSP对应!A:A,线路DSP对应!B:B)</f>
        <v>STA_SAC_FCA</v>
      </c>
      <c r="D872" s="4" t="s">
        <v>156</v>
      </c>
      <c r="E872" s="2" t="str">
        <f>_xlfn.XLOOKUP(A872,转单情况!A:A,转单情况!B:B)</f>
        <v>否</v>
      </c>
      <c r="G872" s="28">
        <f>ROUND(_xlfn.XLOOKUP(A872,全量!A:A,全量!B:B,0)/7,1)</f>
        <v>19.399999999999999</v>
      </c>
      <c r="H872" s="2">
        <f>ROUND(_xlfn.XLOOKUP(A872,AE!A:A,AE!B:B,0)/7,1)</f>
        <v>4</v>
      </c>
      <c r="I872" s="2" t="str">
        <f>_xlfn.XLOOKUP(A872,SWFTX邮编覆盖!A:A,SWFTX邮编覆盖!B:B,"否")</f>
        <v>否</v>
      </c>
      <c r="J872" s="2" t="str">
        <f>_xlfn.XLOOKUP(A872,YW邮编覆盖!A:A,YW邮编覆盖!B:B,"否")</f>
        <v>否</v>
      </c>
    </row>
    <row r="873" spans="1:10" hidden="1">
      <c r="A873" s="3">
        <v>95722</v>
      </c>
      <c r="B873" s="1" t="s">
        <v>82</v>
      </c>
      <c r="C873" s="2" t="str">
        <f>_xlfn.XLOOKUP(B873,线路DSP对应!A:A,线路DSP对应!B:B)</f>
        <v>STA_SAC_FCA</v>
      </c>
      <c r="D873" s="4" t="s">
        <v>156</v>
      </c>
      <c r="E873" s="2" t="str">
        <f>_xlfn.XLOOKUP(A873,转单情况!A:A,转单情况!B:B)</f>
        <v>否</v>
      </c>
      <c r="G873" s="28">
        <f>ROUND(_xlfn.XLOOKUP(A873,全量!A:A,全量!B:B,0)/7,1)</f>
        <v>6</v>
      </c>
      <c r="H873" s="2">
        <f>ROUND(_xlfn.XLOOKUP(A873,AE!A:A,AE!B:B,0)/7,1)</f>
        <v>0.7</v>
      </c>
      <c r="I873" s="2" t="str">
        <f>_xlfn.XLOOKUP(A873,SWFTX邮编覆盖!A:A,SWFTX邮编覆盖!B:B,"否")</f>
        <v>否</v>
      </c>
      <c r="J873" s="2" t="str">
        <f>_xlfn.XLOOKUP(A873,YW邮编覆盖!A:A,YW邮编覆盖!B:B,"否")</f>
        <v>否</v>
      </c>
    </row>
    <row r="874" spans="1:10" hidden="1">
      <c r="A874" s="3">
        <v>95991</v>
      </c>
      <c r="B874" s="1" t="s">
        <v>82</v>
      </c>
      <c r="C874" s="2" t="str">
        <f>_xlfn.XLOOKUP(B874,线路DSP对应!A:A,线路DSP对应!B:B)</f>
        <v>STA_SAC_FCA</v>
      </c>
      <c r="D874" s="4" t="s">
        <v>156</v>
      </c>
      <c r="E874" s="2" t="str">
        <f>_xlfn.XLOOKUP(A874,转单情况!A:A,转单情况!B:B)</f>
        <v>否</v>
      </c>
      <c r="G874" s="28">
        <f>ROUND(_xlfn.XLOOKUP(A874,全量!A:A,全量!B:B,0)/7,1)</f>
        <v>10.1</v>
      </c>
      <c r="H874" s="2">
        <f>ROUND(_xlfn.XLOOKUP(A874,AE!A:A,AE!B:B,0)/7,1)</f>
        <v>0</v>
      </c>
      <c r="I874" s="2" t="str">
        <f>_xlfn.XLOOKUP(A874,SWFTX邮编覆盖!A:A,SWFTX邮编覆盖!B:B,"否")</f>
        <v>否</v>
      </c>
      <c r="J874" s="2" t="str">
        <f>_xlfn.XLOOKUP(A874,YW邮编覆盖!A:A,YW邮编覆盖!B:B,"否")</f>
        <v>否</v>
      </c>
    </row>
    <row r="875" spans="1:10" hidden="1">
      <c r="A875" s="3">
        <v>95961</v>
      </c>
      <c r="B875" s="1" t="s">
        <v>82</v>
      </c>
      <c r="C875" s="2" t="str">
        <f>_xlfn.XLOOKUP(B875,线路DSP对应!A:A,线路DSP对应!B:B)</f>
        <v>STA_SAC_FCA</v>
      </c>
      <c r="D875" s="4" t="s">
        <v>156</v>
      </c>
      <c r="E875" s="2" t="str">
        <f>_xlfn.XLOOKUP(A875,转单情况!A:A,转单情况!B:B)</f>
        <v>否</v>
      </c>
      <c r="G875" s="28">
        <f>ROUND(_xlfn.XLOOKUP(A875,全量!A:A,全量!B:B,0)/7,1)</f>
        <v>12.7</v>
      </c>
      <c r="H875" s="2">
        <f>ROUND(_xlfn.XLOOKUP(A875,AE!A:A,AE!B:B,0)/7,1)</f>
        <v>0</v>
      </c>
      <c r="I875" s="2" t="str">
        <f>_xlfn.XLOOKUP(A875,SWFTX邮编覆盖!A:A,SWFTX邮编覆盖!B:B,"否")</f>
        <v>否</v>
      </c>
      <c r="J875" s="2" t="str">
        <f>_xlfn.XLOOKUP(A875,YW邮编覆盖!A:A,YW邮编覆盖!B:B,"否")</f>
        <v>否</v>
      </c>
    </row>
    <row r="876" spans="1:10" hidden="1">
      <c r="A876" s="3">
        <v>95993</v>
      </c>
      <c r="B876" s="1" t="s">
        <v>82</v>
      </c>
      <c r="C876" s="2" t="str">
        <f>_xlfn.XLOOKUP(B876,线路DSP对应!A:A,线路DSP对应!B:B)</f>
        <v>STA_SAC_FCA</v>
      </c>
      <c r="D876" s="4" t="s">
        <v>156</v>
      </c>
      <c r="E876" s="2" t="str">
        <f>_xlfn.XLOOKUP(A876,转单情况!A:A,转单情况!B:B)</f>
        <v>否</v>
      </c>
      <c r="G876" s="28">
        <f>ROUND(_xlfn.XLOOKUP(A876,全量!A:A,全量!B:B,0)/7,1)</f>
        <v>10.4</v>
      </c>
      <c r="H876" s="2">
        <f>ROUND(_xlfn.XLOOKUP(A876,AE!A:A,AE!B:B,0)/7,1)</f>
        <v>0</v>
      </c>
      <c r="I876" s="2" t="str">
        <f>_xlfn.XLOOKUP(A876,SWFTX邮编覆盖!A:A,SWFTX邮编覆盖!B:B,"否")</f>
        <v>否</v>
      </c>
      <c r="J876" s="2" t="str">
        <f>_xlfn.XLOOKUP(A876,YW邮编覆盖!A:A,YW邮编覆盖!B:B,"否")</f>
        <v>否</v>
      </c>
    </row>
    <row r="877" spans="1:10" hidden="1">
      <c r="A877" s="3">
        <v>95901</v>
      </c>
      <c r="B877" s="1" t="s">
        <v>82</v>
      </c>
      <c r="C877" s="2" t="str">
        <f>_xlfn.XLOOKUP(B877,线路DSP对应!A:A,线路DSP对应!B:B)</f>
        <v>STA_SAC_FCA</v>
      </c>
      <c r="D877" s="4" t="s">
        <v>156</v>
      </c>
      <c r="E877" s="2" t="str">
        <f>_xlfn.XLOOKUP(A877,转单情况!A:A,转单情况!B:B)</f>
        <v>否</v>
      </c>
      <c r="G877" s="28">
        <f>ROUND(_xlfn.XLOOKUP(A877,全量!A:A,全量!B:B,0)/7,1)</f>
        <v>9.3000000000000007</v>
      </c>
      <c r="H877" s="2">
        <f>ROUND(_xlfn.XLOOKUP(A877,AE!A:A,AE!B:B,0)/7,1)</f>
        <v>0</v>
      </c>
      <c r="I877" s="2" t="str">
        <f>_xlfn.XLOOKUP(A877,SWFTX邮编覆盖!A:A,SWFTX邮编覆盖!B:B,"否")</f>
        <v>否</v>
      </c>
      <c r="J877" s="2" t="str">
        <f>_xlfn.XLOOKUP(A877,YW邮编覆盖!A:A,YW邮编覆盖!B:B,"否")</f>
        <v>否</v>
      </c>
    </row>
    <row r="878" spans="1:10" hidden="1">
      <c r="A878" s="3">
        <v>95815</v>
      </c>
      <c r="B878" s="1" t="s">
        <v>167</v>
      </c>
      <c r="C878" s="2" t="str">
        <f>_xlfn.XLOOKUP(B878,线路DSP对应!A:A,线路DSP对应!B:B)</f>
        <v>STA_SAC_MCA</v>
      </c>
      <c r="D878" s="4" t="s">
        <v>156</v>
      </c>
      <c r="E878" s="2" t="str">
        <f>_xlfn.XLOOKUP(A878,转单情况!A:A,转单情况!B:B)</f>
        <v>否</v>
      </c>
      <c r="G878" s="28">
        <f>ROUND(_xlfn.XLOOKUP(A878,全量!A:A,全量!B:B,0)/7,1)</f>
        <v>0.4</v>
      </c>
      <c r="H878" s="2">
        <f>ROUND(_xlfn.XLOOKUP(A878,AE!A:A,AE!B:B,0)/7,1)</f>
        <v>0</v>
      </c>
      <c r="I878" s="2" t="str">
        <f>_xlfn.XLOOKUP(A878,SWFTX邮编覆盖!A:A,SWFTX邮编覆盖!B:B,"否")</f>
        <v>是</v>
      </c>
      <c r="J878" s="2" t="str">
        <f>_xlfn.XLOOKUP(A878,YW邮编覆盖!A:A,YW邮编覆盖!B:B,"否")</f>
        <v>是</v>
      </c>
    </row>
    <row r="879" spans="1:10" hidden="1">
      <c r="A879" s="3">
        <v>95825</v>
      </c>
      <c r="B879" s="1" t="s">
        <v>167</v>
      </c>
      <c r="C879" s="2" t="str">
        <f>_xlfn.XLOOKUP(B879,线路DSP对应!A:A,线路DSP对应!B:B)</f>
        <v>STA_SAC_MCA</v>
      </c>
      <c r="D879" s="4" t="s">
        <v>156</v>
      </c>
      <c r="E879" s="2" t="str">
        <f>_xlfn.XLOOKUP(A879,转单情况!A:A,转单情况!B:B)</f>
        <v>否</v>
      </c>
      <c r="G879" s="28">
        <f>ROUND(_xlfn.XLOOKUP(A879,全量!A:A,全量!B:B,0)/7,1)</f>
        <v>0.1</v>
      </c>
      <c r="H879" s="2">
        <f>ROUND(_xlfn.XLOOKUP(A879,AE!A:A,AE!B:B,0)/7,1)</f>
        <v>0</v>
      </c>
      <c r="I879" s="2" t="str">
        <f>_xlfn.XLOOKUP(A879,SWFTX邮编覆盖!A:A,SWFTX邮编覆盖!B:B,"否")</f>
        <v>是</v>
      </c>
      <c r="J879" s="2" t="str">
        <f>_xlfn.XLOOKUP(A879,YW邮编覆盖!A:A,YW邮编覆盖!B:B,"否")</f>
        <v>是</v>
      </c>
    </row>
    <row r="880" spans="1:10" hidden="1">
      <c r="A880" s="3">
        <v>95821</v>
      </c>
      <c r="B880" s="1" t="s">
        <v>167</v>
      </c>
      <c r="C880" s="2" t="str">
        <f>_xlfn.XLOOKUP(B880,线路DSP对应!A:A,线路DSP对应!B:B)</f>
        <v>STA_SAC_MCA</v>
      </c>
      <c r="D880" s="4" t="s">
        <v>156</v>
      </c>
      <c r="E880" s="2" t="str">
        <f>_xlfn.XLOOKUP(A880,转单情况!A:A,转单情况!B:B)</f>
        <v>否</v>
      </c>
      <c r="G880" s="28">
        <f>ROUND(_xlfn.XLOOKUP(A880,全量!A:A,全量!B:B,0)/7,1)</f>
        <v>0.6</v>
      </c>
      <c r="H880" s="2">
        <f>ROUND(_xlfn.XLOOKUP(A880,AE!A:A,AE!B:B,0)/7,1)</f>
        <v>0.1</v>
      </c>
      <c r="I880" s="2" t="str">
        <f>_xlfn.XLOOKUP(A880,SWFTX邮编覆盖!A:A,SWFTX邮编覆盖!B:B,"否")</f>
        <v>是</v>
      </c>
      <c r="J880" s="2" t="str">
        <f>_xlfn.XLOOKUP(A880,YW邮编覆盖!A:A,YW邮编覆盖!B:B,"否")</f>
        <v>是</v>
      </c>
    </row>
    <row r="881" spans="1:10" hidden="1">
      <c r="A881" s="3">
        <v>95864</v>
      </c>
      <c r="B881" s="1" t="s">
        <v>167</v>
      </c>
      <c r="C881" s="2" t="str">
        <f>_xlfn.XLOOKUP(B881,线路DSP对应!A:A,线路DSP对应!B:B)</f>
        <v>STA_SAC_MCA</v>
      </c>
      <c r="D881" s="4" t="s">
        <v>156</v>
      </c>
      <c r="E881" s="2" t="str">
        <f>_xlfn.XLOOKUP(A881,转单情况!A:A,转单情况!B:B)</f>
        <v>SW</v>
      </c>
      <c r="G881" s="28">
        <f>ROUND(_xlfn.XLOOKUP(A881,全量!A:A,全量!B:B,0)/7,1)</f>
        <v>0.1</v>
      </c>
      <c r="H881" s="2">
        <f>ROUND(_xlfn.XLOOKUP(A881,AE!A:A,AE!B:B,0)/7,1)</f>
        <v>0</v>
      </c>
      <c r="I881" s="2" t="str">
        <f>_xlfn.XLOOKUP(A881,SWFTX邮编覆盖!A:A,SWFTX邮编覆盖!B:B,"否")</f>
        <v>是</v>
      </c>
      <c r="J881" s="2" t="str">
        <f>_xlfn.XLOOKUP(A881,YW邮编覆盖!A:A,YW邮编覆盖!B:B,"否")</f>
        <v>是</v>
      </c>
    </row>
    <row r="882" spans="1:10" hidden="1">
      <c r="A882" s="3">
        <v>95608</v>
      </c>
      <c r="B882" s="1" t="s">
        <v>167</v>
      </c>
      <c r="C882" s="2" t="str">
        <f>_xlfn.XLOOKUP(B882,线路DSP对应!A:A,线路DSP对应!B:B)</f>
        <v>STA_SAC_MCA</v>
      </c>
      <c r="D882" s="4" t="s">
        <v>156</v>
      </c>
      <c r="E882" s="2" t="str">
        <f>_xlfn.XLOOKUP(A882,转单情况!A:A,转单情况!B:B)</f>
        <v>否</v>
      </c>
      <c r="G882" s="28">
        <f>ROUND(_xlfn.XLOOKUP(A882,全量!A:A,全量!B:B,0)/7,1)</f>
        <v>0.9</v>
      </c>
      <c r="H882" s="2">
        <f>ROUND(_xlfn.XLOOKUP(A882,AE!A:A,AE!B:B,0)/7,1)</f>
        <v>0.3</v>
      </c>
      <c r="I882" s="2" t="str">
        <f>_xlfn.XLOOKUP(A882,SWFTX邮编覆盖!A:A,SWFTX邮编覆盖!B:B,"否")</f>
        <v>是</v>
      </c>
      <c r="J882" s="2" t="str">
        <f>_xlfn.XLOOKUP(A882,YW邮编覆盖!A:A,YW邮编覆盖!B:B,"否")</f>
        <v>是</v>
      </c>
    </row>
    <row r="883" spans="1:10" hidden="1">
      <c r="A883" s="3">
        <v>95841</v>
      </c>
      <c r="B883" s="1" t="s">
        <v>167</v>
      </c>
      <c r="C883" s="2" t="str">
        <f>_xlfn.XLOOKUP(B883,线路DSP对应!A:A,线路DSP对应!B:B)</f>
        <v>STA_SAC_MCA</v>
      </c>
      <c r="D883" s="4" t="s">
        <v>156</v>
      </c>
      <c r="E883" s="2" t="str">
        <f>_xlfn.XLOOKUP(A883,转单情况!A:A,转单情况!B:B)</f>
        <v>否</v>
      </c>
      <c r="G883" s="28">
        <f>ROUND(_xlfn.XLOOKUP(A883,全量!A:A,全量!B:B,0)/7,1)</f>
        <v>0.4</v>
      </c>
      <c r="H883" s="2">
        <f>ROUND(_xlfn.XLOOKUP(A883,AE!A:A,AE!B:B,0)/7,1)</f>
        <v>0</v>
      </c>
      <c r="I883" s="2" t="str">
        <f>_xlfn.XLOOKUP(A883,SWFTX邮编覆盖!A:A,SWFTX邮编覆盖!B:B,"否")</f>
        <v>是</v>
      </c>
      <c r="J883" s="2" t="str">
        <f>_xlfn.XLOOKUP(A883,YW邮编覆盖!A:A,YW邮编覆盖!B:B,"否")</f>
        <v>是</v>
      </c>
    </row>
    <row r="884" spans="1:10" hidden="1">
      <c r="A884" s="3">
        <v>95628</v>
      </c>
      <c r="B884" s="1" t="s">
        <v>167</v>
      </c>
      <c r="C884" s="2" t="str">
        <f>_xlfn.XLOOKUP(B884,线路DSP对应!A:A,线路DSP对应!B:B)</f>
        <v>STA_SAC_MCA</v>
      </c>
      <c r="D884" s="4" t="s">
        <v>156</v>
      </c>
      <c r="E884" s="2" t="str">
        <f>_xlfn.XLOOKUP(A884,转单情况!A:A,转单情况!B:B)</f>
        <v>否</v>
      </c>
      <c r="G884" s="28">
        <f>ROUND(_xlfn.XLOOKUP(A884,全量!A:A,全量!B:B,0)/7,1)</f>
        <v>1</v>
      </c>
      <c r="H884" s="2">
        <f>ROUND(_xlfn.XLOOKUP(A884,AE!A:A,AE!B:B,0)/7,1)</f>
        <v>0.6</v>
      </c>
      <c r="I884" s="2" t="str">
        <f>_xlfn.XLOOKUP(A884,SWFTX邮编覆盖!A:A,SWFTX邮编覆盖!B:B,"否")</f>
        <v>是</v>
      </c>
      <c r="J884" s="2" t="str">
        <f>_xlfn.XLOOKUP(A884,YW邮编覆盖!A:A,YW邮编覆盖!B:B,"否")</f>
        <v>是</v>
      </c>
    </row>
    <row r="885" spans="1:10" hidden="1">
      <c r="A885" s="3">
        <v>95621</v>
      </c>
      <c r="B885" s="1" t="s">
        <v>167</v>
      </c>
      <c r="C885" s="2" t="str">
        <f>_xlfn.XLOOKUP(B885,线路DSP对应!A:A,线路DSP对应!B:B)</f>
        <v>STA_SAC_MCA</v>
      </c>
      <c r="D885" s="4" t="s">
        <v>156</v>
      </c>
      <c r="E885" s="2" t="str">
        <f>_xlfn.XLOOKUP(A885,转单情况!A:A,转单情况!B:B)</f>
        <v>否</v>
      </c>
      <c r="G885" s="28">
        <f>ROUND(_xlfn.XLOOKUP(A885,全量!A:A,全量!B:B,0)/7,1)</f>
        <v>0.4</v>
      </c>
      <c r="H885" s="2">
        <f>ROUND(_xlfn.XLOOKUP(A885,AE!A:A,AE!B:B,0)/7,1)</f>
        <v>0</v>
      </c>
      <c r="I885" s="2" t="str">
        <f>_xlfn.XLOOKUP(A885,SWFTX邮编覆盖!A:A,SWFTX邮编覆盖!B:B,"否")</f>
        <v>是</v>
      </c>
      <c r="J885" s="2" t="str">
        <f>_xlfn.XLOOKUP(A885,YW邮编覆盖!A:A,YW邮编覆盖!B:B,"否")</f>
        <v>是</v>
      </c>
    </row>
    <row r="886" spans="1:10" hidden="1">
      <c r="A886" s="3">
        <v>95610</v>
      </c>
      <c r="B886" s="1" t="s">
        <v>167</v>
      </c>
      <c r="C886" s="2" t="str">
        <f>_xlfn.XLOOKUP(B886,线路DSP对应!A:A,线路DSP对应!B:B)</f>
        <v>STA_SAC_MCA</v>
      </c>
      <c r="D886" s="4" t="s">
        <v>156</v>
      </c>
      <c r="E886" s="2" t="str">
        <f>_xlfn.XLOOKUP(A886,转单情况!A:A,转单情况!B:B)</f>
        <v>否</v>
      </c>
      <c r="G886" s="28">
        <f>ROUND(_xlfn.XLOOKUP(A886,全量!A:A,全量!B:B,0)/7,1)</f>
        <v>1.1000000000000001</v>
      </c>
      <c r="H886" s="2">
        <f>ROUND(_xlfn.XLOOKUP(A886,AE!A:A,AE!B:B,0)/7,1)</f>
        <v>0</v>
      </c>
      <c r="I886" s="2" t="str">
        <f>_xlfn.XLOOKUP(A886,SWFTX邮编覆盖!A:A,SWFTX邮编覆盖!B:B,"否")</f>
        <v>是</v>
      </c>
      <c r="J886" s="2" t="str">
        <f>_xlfn.XLOOKUP(A886,YW邮编覆盖!A:A,YW邮编覆盖!B:B,"否")</f>
        <v>是</v>
      </c>
    </row>
    <row r="887" spans="1:10" hidden="1">
      <c r="A887" s="3">
        <v>95662</v>
      </c>
      <c r="B887" s="1" t="s">
        <v>167</v>
      </c>
      <c r="C887" s="2" t="str">
        <f>_xlfn.XLOOKUP(B887,线路DSP对应!A:A,线路DSP对应!B:B)</f>
        <v>STA_SAC_MCA</v>
      </c>
      <c r="D887" s="4" t="s">
        <v>156</v>
      </c>
      <c r="E887" s="2" t="str">
        <f>_xlfn.XLOOKUP(A887,转单情况!A:A,转单情况!B:B)</f>
        <v>否</v>
      </c>
      <c r="G887" s="28">
        <f>ROUND(_xlfn.XLOOKUP(A887,全量!A:A,全量!B:B,0)/7,1)</f>
        <v>0.4</v>
      </c>
      <c r="H887" s="2">
        <f>ROUND(_xlfn.XLOOKUP(A887,AE!A:A,AE!B:B,0)/7,1)</f>
        <v>0</v>
      </c>
      <c r="I887" s="2" t="str">
        <f>_xlfn.XLOOKUP(A887,SWFTX邮编覆盖!A:A,SWFTX邮编覆盖!B:B,"否")</f>
        <v>是</v>
      </c>
      <c r="J887" s="2" t="str">
        <f>_xlfn.XLOOKUP(A887,YW邮编覆盖!A:A,YW邮编覆盖!B:B,"否")</f>
        <v>是</v>
      </c>
    </row>
    <row r="888" spans="1:10" hidden="1">
      <c r="A888" s="3">
        <v>95618</v>
      </c>
      <c r="B888" s="1" t="s">
        <v>167</v>
      </c>
      <c r="C888" s="2" t="str">
        <f>_xlfn.XLOOKUP(B888,线路DSP对应!A:A,线路DSP对应!B:B)</f>
        <v>STA_SAC_MCA</v>
      </c>
      <c r="D888" s="4" t="s">
        <v>156</v>
      </c>
      <c r="E888" s="2" t="str">
        <f>_xlfn.XLOOKUP(A888,转单情况!A:A,转单情况!B:B)</f>
        <v>否</v>
      </c>
      <c r="G888" s="28">
        <f>ROUND(_xlfn.XLOOKUP(A888,全量!A:A,全量!B:B,0)/7,1)</f>
        <v>0.4</v>
      </c>
      <c r="H888" s="2">
        <f>ROUND(_xlfn.XLOOKUP(A888,AE!A:A,AE!B:B,0)/7,1)</f>
        <v>0.1</v>
      </c>
      <c r="I888" s="2" t="str">
        <f>_xlfn.XLOOKUP(A888,SWFTX邮编覆盖!A:A,SWFTX邮编覆盖!B:B,"否")</f>
        <v>是</v>
      </c>
      <c r="J888" s="2" t="str">
        <f>_xlfn.XLOOKUP(A888,YW邮编覆盖!A:A,YW邮编覆盖!B:B,"否")</f>
        <v>是</v>
      </c>
    </row>
    <row r="889" spans="1:10" hidden="1">
      <c r="A889" s="3">
        <v>95616</v>
      </c>
      <c r="B889" s="1" t="s">
        <v>167</v>
      </c>
      <c r="C889" s="2" t="str">
        <f>_xlfn.XLOOKUP(B889,线路DSP对应!A:A,线路DSP对应!B:B)</f>
        <v>STA_SAC_MCA</v>
      </c>
      <c r="D889" s="4" t="s">
        <v>156</v>
      </c>
      <c r="E889" s="2" t="str">
        <f>_xlfn.XLOOKUP(A889,转单情况!A:A,转单情况!B:B)</f>
        <v>否</v>
      </c>
      <c r="G889" s="28">
        <f>ROUND(_xlfn.XLOOKUP(A889,全量!A:A,全量!B:B,0)/7,1)</f>
        <v>9.6999999999999993</v>
      </c>
      <c r="H889" s="2">
        <f>ROUND(_xlfn.XLOOKUP(A889,AE!A:A,AE!B:B,0)/7,1)</f>
        <v>9.6</v>
      </c>
      <c r="I889" s="2" t="str">
        <f>_xlfn.XLOOKUP(A889,SWFTX邮编覆盖!A:A,SWFTX邮编覆盖!B:B,"否")</f>
        <v>是</v>
      </c>
      <c r="J889" s="2" t="str">
        <f>_xlfn.XLOOKUP(A889,YW邮编覆盖!A:A,YW邮编覆盖!B:B,"否")</f>
        <v>是</v>
      </c>
    </row>
    <row r="890" spans="1:10">
      <c r="A890" s="3">
        <v>95776</v>
      </c>
      <c r="B890" s="1" t="s">
        <v>167</v>
      </c>
      <c r="C890" s="2" t="str">
        <f>_xlfn.XLOOKUP(B890,线路DSP对应!A:A,线路DSP对应!B:B)</f>
        <v>STA_SAC_MCA</v>
      </c>
      <c r="D890" s="4" t="s">
        <v>156</v>
      </c>
      <c r="E890" s="2" t="str">
        <f>_xlfn.XLOOKUP(A890,转单情况!A:A,转单情况!B:B)</f>
        <v>否</v>
      </c>
      <c r="G890" s="28">
        <f>ROUND(_xlfn.XLOOKUP(A890,全量!A:A,全量!B:B,0)/7,1)</f>
        <v>6.7</v>
      </c>
      <c r="H890" s="2">
        <f>ROUND(_xlfn.XLOOKUP(A890,AE!A:A,AE!B:B,0)/7,1)</f>
        <v>0.1</v>
      </c>
      <c r="I890" s="2" t="str">
        <f>_xlfn.XLOOKUP(A890,SWFTX邮编覆盖!A:A,SWFTX邮编覆盖!B:B,"否")</f>
        <v>否</v>
      </c>
      <c r="J890" s="2" t="str">
        <f>_xlfn.XLOOKUP(A890,YW邮编覆盖!A:A,YW邮编覆盖!B:B,"否")</f>
        <v>是</v>
      </c>
    </row>
    <row r="891" spans="1:10">
      <c r="A891" s="3">
        <v>95695</v>
      </c>
      <c r="B891" s="1" t="s">
        <v>167</v>
      </c>
      <c r="C891" s="2" t="str">
        <f>_xlfn.XLOOKUP(B891,线路DSP对应!A:A,线路DSP对应!B:B)</f>
        <v>STA_SAC_MCA</v>
      </c>
      <c r="D891" s="4" t="s">
        <v>156</v>
      </c>
      <c r="E891" s="2" t="str">
        <f>_xlfn.XLOOKUP(A891,转单情况!A:A,转单情况!B:B)</f>
        <v>否</v>
      </c>
      <c r="G891" s="28">
        <f>ROUND(_xlfn.XLOOKUP(A891,全量!A:A,全量!B:B,0)/7,1)</f>
        <v>9.9</v>
      </c>
      <c r="H891" s="2">
        <f>ROUND(_xlfn.XLOOKUP(A891,AE!A:A,AE!B:B,0)/7,1)</f>
        <v>0</v>
      </c>
      <c r="I891" s="2" t="str">
        <f>_xlfn.XLOOKUP(A891,SWFTX邮编覆盖!A:A,SWFTX邮编覆盖!B:B,"否")</f>
        <v>否</v>
      </c>
      <c r="J891" s="2" t="str">
        <f>_xlfn.XLOOKUP(A891,YW邮编覆盖!A:A,YW邮编覆盖!B:B,"否")</f>
        <v>是</v>
      </c>
    </row>
    <row r="892" spans="1:10" hidden="1">
      <c r="A892" s="3">
        <v>95811</v>
      </c>
      <c r="B892" s="1" t="s">
        <v>85</v>
      </c>
      <c r="C892" s="2" t="str">
        <f>_xlfn.XLOOKUP(B892,线路DSP对应!A:A,线路DSP对应!B:B)</f>
        <v>STA_SAC_MCA</v>
      </c>
      <c r="D892" s="4" t="s">
        <v>156</v>
      </c>
      <c r="E892" s="2" t="str">
        <f>_xlfn.XLOOKUP(A892,转单情况!A:A,转单情况!B:B)</f>
        <v>SW</v>
      </c>
      <c r="G892" s="28">
        <f>ROUND(_xlfn.XLOOKUP(A892,全量!A:A,全量!B:B,0)/7,1)</f>
        <v>0.1</v>
      </c>
      <c r="H892" s="2">
        <f>ROUND(_xlfn.XLOOKUP(A892,AE!A:A,AE!B:B,0)/7,1)</f>
        <v>0</v>
      </c>
      <c r="I892" s="2" t="str">
        <f>_xlfn.XLOOKUP(A892,SWFTX邮编覆盖!A:A,SWFTX邮编覆盖!B:B,"否")</f>
        <v>是</v>
      </c>
      <c r="J892" s="2" t="str">
        <f>_xlfn.XLOOKUP(A892,YW邮编覆盖!A:A,YW邮编覆盖!B:B,"否")</f>
        <v>是</v>
      </c>
    </row>
    <row r="893" spans="1:10" hidden="1">
      <c r="A893" s="3">
        <v>95814</v>
      </c>
      <c r="B893" s="1" t="s">
        <v>85</v>
      </c>
      <c r="C893" s="2" t="str">
        <f>_xlfn.XLOOKUP(B893,线路DSP对应!A:A,线路DSP对应!B:B)</f>
        <v>STA_SAC_MCA</v>
      </c>
      <c r="D893" s="4" t="s">
        <v>156</v>
      </c>
      <c r="E893" s="2" t="str">
        <f>_xlfn.XLOOKUP(A893,转单情况!A:A,转单情况!B:B)</f>
        <v>否</v>
      </c>
      <c r="G893" s="28">
        <f>ROUND(_xlfn.XLOOKUP(A893,全量!A:A,全量!B:B,0)/7,1)</f>
        <v>0.1</v>
      </c>
      <c r="H893" s="2">
        <f>ROUND(_xlfn.XLOOKUP(A893,AE!A:A,AE!B:B,0)/7,1)</f>
        <v>0</v>
      </c>
      <c r="I893" s="2" t="str">
        <f>_xlfn.XLOOKUP(A893,SWFTX邮编覆盖!A:A,SWFTX邮编覆盖!B:B,"否")</f>
        <v>是</v>
      </c>
      <c r="J893" s="2" t="str">
        <f>_xlfn.XLOOKUP(A893,YW邮编覆盖!A:A,YW邮编覆盖!B:B,"否")</f>
        <v>否</v>
      </c>
    </row>
    <row r="894" spans="1:10" hidden="1">
      <c r="A894" s="3">
        <v>95816</v>
      </c>
      <c r="B894" s="1" t="s">
        <v>85</v>
      </c>
      <c r="C894" s="2" t="str">
        <f>_xlfn.XLOOKUP(B894,线路DSP对应!A:A,线路DSP对应!B:B)</f>
        <v>STA_SAC_MCA</v>
      </c>
      <c r="D894" s="4" t="s">
        <v>156</v>
      </c>
      <c r="E894" s="2" t="str">
        <f>_xlfn.XLOOKUP(A894,转单情况!A:A,转单情况!B:B)</f>
        <v>否</v>
      </c>
      <c r="G894" s="28">
        <f>ROUND(_xlfn.XLOOKUP(A894,全量!A:A,全量!B:B,0)/7,1)</f>
        <v>0</v>
      </c>
      <c r="H894" s="2">
        <f>ROUND(_xlfn.XLOOKUP(A894,AE!A:A,AE!B:B,0)/7,1)</f>
        <v>0</v>
      </c>
      <c r="I894" s="2" t="str">
        <f>_xlfn.XLOOKUP(A894,SWFTX邮编覆盖!A:A,SWFTX邮编覆盖!B:B,"否")</f>
        <v>是</v>
      </c>
      <c r="J894" s="2" t="str">
        <f>_xlfn.XLOOKUP(A894,YW邮编覆盖!A:A,YW邮编覆盖!B:B,"否")</f>
        <v>是</v>
      </c>
    </row>
    <row r="895" spans="1:10" hidden="1">
      <c r="A895" s="3">
        <v>95817</v>
      </c>
      <c r="B895" s="1" t="s">
        <v>85</v>
      </c>
      <c r="C895" s="2" t="str">
        <f>_xlfn.XLOOKUP(B895,线路DSP对应!A:A,线路DSP对应!B:B)</f>
        <v>STA_SAC_MCA</v>
      </c>
      <c r="D895" s="4" t="s">
        <v>156</v>
      </c>
      <c r="E895" s="2" t="str">
        <f>_xlfn.XLOOKUP(A895,转单情况!A:A,转单情况!B:B)</f>
        <v>否</v>
      </c>
      <c r="G895" s="28">
        <f>ROUND(_xlfn.XLOOKUP(A895,全量!A:A,全量!B:B,0)/7,1)</f>
        <v>0.1</v>
      </c>
      <c r="H895" s="2">
        <f>ROUND(_xlfn.XLOOKUP(A895,AE!A:A,AE!B:B,0)/7,1)</f>
        <v>0</v>
      </c>
      <c r="I895" s="2" t="str">
        <f>_xlfn.XLOOKUP(A895,SWFTX邮编覆盖!A:A,SWFTX邮编覆盖!B:B,"否")</f>
        <v>是</v>
      </c>
      <c r="J895" s="2" t="str">
        <f>_xlfn.XLOOKUP(A895,YW邮编覆盖!A:A,YW邮编覆盖!B:B,"否")</f>
        <v>是</v>
      </c>
    </row>
    <row r="896" spans="1:10" hidden="1">
      <c r="A896" s="3">
        <v>95818</v>
      </c>
      <c r="B896" s="1" t="s">
        <v>85</v>
      </c>
      <c r="C896" s="2" t="str">
        <f>_xlfn.XLOOKUP(B896,线路DSP对应!A:A,线路DSP对应!B:B)</f>
        <v>STA_SAC_MCA</v>
      </c>
      <c r="D896" s="4" t="s">
        <v>156</v>
      </c>
      <c r="E896" s="2" t="str">
        <f>_xlfn.XLOOKUP(A896,转单情况!A:A,转单情况!B:B)</f>
        <v>否</v>
      </c>
      <c r="G896" s="28">
        <f>ROUND(_xlfn.XLOOKUP(A896,全量!A:A,全量!B:B,0)/7,1)</f>
        <v>0.1</v>
      </c>
      <c r="H896" s="2">
        <f>ROUND(_xlfn.XLOOKUP(A896,AE!A:A,AE!B:B,0)/7,1)</f>
        <v>0</v>
      </c>
      <c r="I896" s="2" t="str">
        <f>_xlfn.XLOOKUP(A896,SWFTX邮编覆盖!A:A,SWFTX邮编覆盖!B:B,"否")</f>
        <v>是</v>
      </c>
      <c r="J896" s="2" t="str">
        <f>_xlfn.XLOOKUP(A896,YW邮编覆盖!A:A,YW邮编覆盖!B:B,"否")</f>
        <v>是</v>
      </c>
    </row>
    <row r="897" spans="1:10" hidden="1">
      <c r="A897" s="3">
        <v>95819</v>
      </c>
      <c r="B897" s="1" t="s">
        <v>85</v>
      </c>
      <c r="C897" s="2" t="str">
        <f>_xlfn.XLOOKUP(B897,线路DSP对应!A:A,线路DSP对应!B:B)</f>
        <v>STA_SAC_MCA</v>
      </c>
      <c r="D897" s="4" t="s">
        <v>156</v>
      </c>
      <c r="E897" s="2" t="str">
        <f>_xlfn.XLOOKUP(A897,转单情况!A:A,转单情况!B:B)</f>
        <v>SW</v>
      </c>
      <c r="G897" s="28">
        <f>ROUND(_xlfn.XLOOKUP(A897,全量!A:A,全量!B:B,0)/7,1)</f>
        <v>0.3</v>
      </c>
      <c r="H897" s="2">
        <f>ROUND(_xlfn.XLOOKUP(A897,AE!A:A,AE!B:B,0)/7,1)</f>
        <v>0.1</v>
      </c>
      <c r="I897" s="2" t="str">
        <f>_xlfn.XLOOKUP(A897,SWFTX邮编覆盖!A:A,SWFTX邮编覆盖!B:B,"否")</f>
        <v>是</v>
      </c>
      <c r="J897" s="2" t="str">
        <f>_xlfn.XLOOKUP(A897,YW邮编覆盖!A:A,YW邮编覆盖!B:B,"否")</f>
        <v>是</v>
      </c>
    </row>
    <row r="898" spans="1:10" hidden="1">
      <c r="A898" s="3">
        <v>95824</v>
      </c>
      <c r="B898" s="1" t="s">
        <v>85</v>
      </c>
      <c r="C898" s="2" t="str">
        <f>_xlfn.XLOOKUP(B898,线路DSP对应!A:A,线路DSP对应!B:B)</f>
        <v>STA_SAC_MCA</v>
      </c>
      <c r="D898" s="4" t="s">
        <v>156</v>
      </c>
      <c r="E898" s="2" t="str">
        <f>_xlfn.XLOOKUP(A898,转单情况!A:A,转单情况!B:B)</f>
        <v>否</v>
      </c>
      <c r="G898" s="28">
        <f>ROUND(_xlfn.XLOOKUP(A898,全量!A:A,全量!B:B,0)/7,1)</f>
        <v>0.3</v>
      </c>
      <c r="H898" s="2">
        <f>ROUND(_xlfn.XLOOKUP(A898,AE!A:A,AE!B:B,0)/7,1)</f>
        <v>0.1</v>
      </c>
      <c r="I898" s="2" t="str">
        <f>_xlfn.XLOOKUP(A898,SWFTX邮编覆盖!A:A,SWFTX邮编覆盖!B:B,"否")</f>
        <v>是</v>
      </c>
      <c r="J898" s="2" t="str">
        <f>_xlfn.XLOOKUP(A898,YW邮编覆盖!A:A,YW邮编覆盖!B:B,"否")</f>
        <v>是</v>
      </c>
    </row>
    <row r="899" spans="1:10" hidden="1">
      <c r="A899" s="3">
        <v>95820</v>
      </c>
      <c r="B899" s="1" t="s">
        <v>85</v>
      </c>
      <c r="C899" s="2" t="str">
        <f>_xlfn.XLOOKUP(B899,线路DSP对应!A:A,线路DSP对应!B:B)</f>
        <v>STA_SAC_MCA</v>
      </c>
      <c r="D899" s="4" t="s">
        <v>156</v>
      </c>
      <c r="E899" s="2" t="str">
        <f>_xlfn.XLOOKUP(A899,转单情况!A:A,转单情况!B:B)</f>
        <v>否</v>
      </c>
      <c r="G899" s="28">
        <f>ROUND(_xlfn.XLOOKUP(A899,全量!A:A,全量!B:B,0)/7,1)</f>
        <v>0.6</v>
      </c>
      <c r="H899" s="2">
        <f>ROUND(_xlfn.XLOOKUP(A899,AE!A:A,AE!B:B,0)/7,1)</f>
        <v>0</v>
      </c>
      <c r="I899" s="2" t="str">
        <f>_xlfn.XLOOKUP(A899,SWFTX邮编覆盖!A:A,SWFTX邮编覆盖!B:B,"否")</f>
        <v>是</v>
      </c>
      <c r="J899" s="2" t="str">
        <f>_xlfn.XLOOKUP(A899,YW邮编覆盖!A:A,YW邮编覆盖!B:B,"否")</f>
        <v>是</v>
      </c>
    </row>
    <row r="900" spans="1:10" hidden="1">
      <c r="A900" s="3">
        <v>95826</v>
      </c>
      <c r="B900" s="1" t="s">
        <v>85</v>
      </c>
      <c r="C900" s="2" t="str">
        <f>_xlfn.XLOOKUP(B900,线路DSP对应!A:A,线路DSP对应!B:B)</f>
        <v>STA_SAC_MCA</v>
      </c>
      <c r="D900" s="4" t="s">
        <v>156</v>
      </c>
      <c r="E900" s="2" t="str">
        <f>_xlfn.XLOOKUP(A900,转单情况!A:A,转单情况!B:B)</f>
        <v>否</v>
      </c>
      <c r="G900" s="28">
        <f>ROUND(_xlfn.XLOOKUP(A900,全量!A:A,全量!B:B,0)/7,1)</f>
        <v>0.1</v>
      </c>
      <c r="H900" s="2">
        <f>ROUND(_xlfn.XLOOKUP(A900,AE!A:A,AE!B:B,0)/7,1)</f>
        <v>0</v>
      </c>
      <c r="I900" s="2" t="str">
        <f>_xlfn.XLOOKUP(A900,SWFTX邮编覆盖!A:A,SWFTX邮编覆盖!B:B,"否")</f>
        <v>是</v>
      </c>
      <c r="J900" s="2" t="str">
        <f>_xlfn.XLOOKUP(A900,YW邮编覆盖!A:A,YW邮编覆盖!B:B,"否")</f>
        <v>是</v>
      </c>
    </row>
    <row r="901" spans="1:10" hidden="1">
      <c r="A901" s="3">
        <v>95827</v>
      </c>
      <c r="B901" s="1" t="s">
        <v>85</v>
      </c>
      <c r="C901" s="2" t="str">
        <f>_xlfn.XLOOKUP(B901,线路DSP对应!A:A,线路DSP对应!B:B)</f>
        <v>STA_SAC_MCA</v>
      </c>
      <c r="D901" s="4" t="s">
        <v>156</v>
      </c>
      <c r="E901" s="2" t="str">
        <f>_xlfn.XLOOKUP(A901,转单情况!A:A,转单情况!B:B)</f>
        <v>否</v>
      </c>
      <c r="G901" s="28">
        <f>ROUND(_xlfn.XLOOKUP(A901,全量!A:A,全量!B:B,0)/7,1)</f>
        <v>0.1</v>
      </c>
      <c r="H901" s="2">
        <f>ROUND(_xlfn.XLOOKUP(A901,AE!A:A,AE!B:B,0)/7,1)</f>
        <v>0</v>
      </c>
      <c r="I901" s="2" t="str">
        <f>_xlfn.XLOOKUP(A901,SWFTX邮编覆盖!A:A,SWFTX邮编覆盖!B:B,"否")</f>
        <v>是</v>
      </c>
      <c r="J901" s="2" t="str">
        <f>_xlfn.XLOOKUP(A901,YW邮编覆盖!A:A,YW邮编覆盖!B:B,"否")</f>
        <v>是</v>
      </c>
    </row>
    <row r="902" spans="1:10" hidden="1">
      <c r="A902" s="3">
        <v>95828</v>
      </c>
      <c r="B902" s="1" t="s">
        <v>85</v>
      </c>
      <c r="C902" s="2" t="str">
        <f>_xlfn.XLOOKUP(B902,线路DSP对应!A:A,线路DSP对应!B:B)</f>
        <v>STA_SAC_MCA</v>
      </c>
      <c r="D902" s="4" t="s">
        <v>156</v>
      </c>
      <c r="E902" s="2" t="str">
        <f>_xlfn.XLOOKUP(A902,转单情况!A:A,转单情况!B:B)</f>
        <v>否</v>
      </c>
      <c r="G902" s="28">
        <f>ROUND(_xlfn.XLOOKUP(A902,全量!A:A,全量!B:B,0)/7,1)</f>
        <v>2.2999999999999998</v>
      </c>
      <c r="H902" s="2">
        <f>ROUND(_xlfn.XLOOKUP(A902,AE!A:A,AE!B:B,0)/7,1)</f>
        <v>0.3</v>
      </c>
      <c r="I902" s="2" t="str">
        <f>_xlfn.XLOOKUP(A902,SWFTX邮编覆盖!A:A,SWFTX邮编覆盖!B:B,"否")</f>
        <v>是</v>
      </c>
      <c r="J902" s="2" t="str">
        <f>_xlfn.XLOOKUP(A902,YW邮编覆盖!A:A,YW邮编覆盖!B:B,"否")</f>
        <v>是</v>
      </c>
    </row>
    <row r="903" spans="1:10" hidden="1">
      <c r="A903" s="3">
        <v>95829</v>
      </c>
      <c r="B903" s="1" t="s">
        <v>85</v>
      </c>
      <c r="C903" s="2" t="str">
        <f>_xlfn.XLOOKUP(B903,线路DSP对应!A:A,线路DSP对应!B:B)</f>
        <v>STA_SAC_MCA</v>
      </c>
      <c r="D903" s="4" t="s">
        <v>156</v>
      </c>
      <c r="E903" s="2" t="str">
        <f>_xlfn.XLOOKUP(A903,转单情况!A:A,转单情况!B:B)</f>
        <v>否</v>
      </c>
      <c r="G903" s="28">
        <f>ROUND(_xlfn.XLOOKUP(A903,全量!A:A,全量!B:B,0)/7,1)</f>
        <v>1.6</v>
      </c>
      <c r="H903" s="2">
        <f>ROUND(_xlfn.XLOOKUP(A903,AE!A:A,AE!B:B,0)/7,1)</f>
        <v>0.4</v>
      </c>
      <c r="I903" s="2" t="str">
        <f>_xlfn.XLOOKUP(A903,SWFTX邮编覆盖!A:A,SWFTX邮编覆盖!B:B,"否")</f>
        <v>是</v>
      </c>
      <c r="J903" s="2" t="str">
        <f>_xlfn.XLOOKUP(A903,YW邮编覆盖!A:A,YW邮编覆盖!B:B,"否")</f>
        <v>是</v>
      </c>
    </row>
    <row r="904" spans="1:10" hidden="1">
      <c r="A904" s="3">
        <v>95670</v>
      </c>
      <c r="B904" s="1" t="s">
        <v>85</v>
      </c>
      <c r="C904" s="2" t="str">
        <f>_xlfn.XLOOKUP(B904,线路DSP对应!A:A,线路DSP对应!B:B)</f>
        <v>STA_SAC_MCA</v>
      </c>
      <c r="D904" s="4" t="s">
        <v>156</v>
      </c>
      <c r="E904" s="2" t="str">
        <f>_xlfn.XLOOKUP(A904,转单情况!A:A,转单情况!B:B)</f>
        <v>否</v>
      </c>
      <c r="G904" s="28">
        <f>ROUND(_xlfn.XLOOKUP(A904,全量!A:A,全量!B:B,0)/7,1)</f>
        <v>0.3</v>
      </c>
      <c r="H904" s="2">
        <f>ROUND(_xlfn.XLOOKUP(A904,AE!A:A,AE!B:B,0)/7,1)</f>
        <v>0</v>
      </c>
      <c r="I904" s="2" t="str">
        <f>_xlfn.XLOOKUP(A904,SWFTX邮编覆盖!A:A,SWFTX邮编覆盖!B:B,"否")</f>
        <v>是</v>
      </c>
      <c r="J904" s="2" t="str">
        <f>_xlfn.XLOOKUP(A904,YW邮编覆盖!A:A,YW邮编覆盖!B:B,"否")</f>
        <v>是</v>
      </c>
    </row>
    <row r="905" spans="1:10" hidden="1">
      <c r="A905" s="3">
        <v>95655</v>
      </c>
      <c r="B905" s="1" t="s">
        <v>85</v>
      </c>
      <c r="C905" s="2" t="str">
        <f>_xlfn.XLOOKUP(B905,线路DSP对应!A:A,线路DSP对应!B:B)</f>
        <v>STA_SAC_MCA</v>
      </c>
      <c r="D905" s="4" t="s">
        <v>156</v>
      </c>
      <c r="E905" s="2" t="str">
        <f>_xlfn.XLOOKUP(A905,转单情况!A:A,转单情况!B:B)</f>
        <v>否</v>
      </c>
      <c r="G905" s="28">
        <f>ROUND(_xlfn.XLOOKUP(A905,全量!A:A,全量!B:B,0)/7,1)</f>
        <v>0</v>
      </c>
      <c r="H905" s="2">
        <f>ROUND(_xlfn.XLOOKUP(A905,AE!A:A,AE!B:B,0)/7,1)</f>
        <v>0</v>
      </c>
      <c r="I905" s="2" t="str">
        <f>_xlfn.XLOOKUP(A905,SWFTX邮编覆盖!A:A,SWFTX邮编覆盖!B:B,"否")</f>
        <v>是</v>
      </c>
      <c r="J905" s="2" t="str">
        <f>_xlfn.XLOOKUP(A905,YW邮编覆盖!A:A,YW邮编覆盖!B:B,"否")</f>
        <v>是</v>
      </c>
    </row>
    <row r="906" spans="1:10" hidden="1">
      <c r="A906" s="3">
        <v>95742</v>
      </c>
      <c r="B906" s="1" t="s">
        <v>85</v>
      </c>
      <c r="C906" s="2" t="str">
        <f>_xlfn.XLOOKUP(B906,线路DSP对应!A:A,线路DSP对应!B:B)</f>
        <v>STA_SAC_MCA</v>
      </c>
      <c r="D906" s="4" t="s">
        <v>156</v>
      </c>
      <c r="E906" s="2" t="str">
        <f>_xlfn.XLOOKUP(A906,转单情况!A:A,转单情况!B:B)</f>
        <v>否</v>
      </c>
      <c r="G906" s="28">
        <f>ROUND(_xlfn.XLOOKUP(A906,全量!A:A,全量!B:B,0)/7,1)</f>
        <v>0.7</v>
      </c>
      <c r="H906" s="2">
        <f>ROUND(_xlfn.XLOOKUP(A906,AE!A:A,AE!B:B,0)/7,1)</f>
        <v>0.1</v>
      </c>
      <c r="I906" s="2" t="str">
        <f>_xlfn.XLOOKUP(A906,SWFTX邮编覆盖!A:A,SWFTX邮编覆盖!B:B,"否")</f>
        <v>是</v>
      </c>
      <c r="J906" s="2" t="str">
        <f>_xlfn.XLOOKUP(A906,YW邮编覆盖!A:A,YW邮编覆盖!B:B,"否")</f>
        <v>是</v>
      </c>
    </row>
    <row r="907" spans="1:10" hidden="1">
      <c r="A907" s="3">
        <v>95630</v>
      </c>
      <c r="B907" s="1" t="s">
        <v>85</v>
      </c>
      <c r="C907" s="2" t="str">
        <f>_xlfn.XLOOKUP(B907,线路DSP对应!A:A,线路DSP对应!B:B)</f>
        <v>STA_SAC_MCA</v>
      </c>
      <c r="D907" s="4" t="s">
        <v>156</v>
      </c>
      <c r="E907" s="2" t="str">
        <f>_xlfn.XLOOKUP(A907,转单情况!A:A,转单情况!B:B)</f>
        <v>SW</v>
      </c>
      <c r="G907" s="28">
        <f>ROUND(_xlfn.XLOOKUP(A907,全量!A:A,全量!B:B,0)/7,1)</f>
        <v>1.1000000000000001</v>
      </c>
      <c r="H907" s="2">
        <f>ROUND(_xlfn.XLOOKUP(A907,AE!A:A,AE!B:B,0)/7,1)</f>
        <v>0.3</v>
      </c>
      <c r="I907" s="2" t="str">
        <f>_xlfn.XLOOKUP(A907,SWFTX邮编覆盖!A:A,SWFTX邮编覆盖!B:B,"否")</f>
        <v>是</v>
      </c>
      <c r="J907" s="2" t="str">
        <f>_xlfn.XLOOKUP(A907,YW邮编覆盖!A:A,YW邮编覆盖!B:B,"否")</f>
        <v>是</v>
      </c>
    </row>
    <row r="908" spans="1:10" hidden="1">
      <c r="A908" s="3">
        <v>95831</v>
      </c>
      <c r="B908" s="1" t="s">
        <v>86</v>
      </c>
      <c r="C908" s="2" t="str">
        <f>_xlfn.XLOOKUP(B908,线路DSP对应!A:A,线路DSP对应!B:B)</f>
        <v>STA_SAC_FCA</v>
      </c>
      <c r="D908" s="4" t="s">
        <v>156</v>
      </c>
      <c r="E908" s="2" t="str">
        <f>_xlfn.XLOOKUP(A908,转单情况!A:A,转单情况!B:B)</f>
        <v>否</v>
      </c>
      <c r="G908" s="28">
        <f>ROUND(_xlfn.XLOOKUP(A908,全量!A:A,全量!B:B,0)/7,1)</f>
        <v>0.1</v>
      </c>
      <c r="H908" s="2">
        <f>ROUND(_xlfn.XLOOKUP(A908,AE!A:A,AE!B:B,0)/7,1)</f>
        <v>0</v>
      </c>
      <c r="I908" s="2" t="str">
        <f>_xlfn.XLOOKUP(A908,SWFTX邮编覆盖!A:A,SWFTX邮编覆盖!B:B,"否")</f>
        <v>是</v>
      </c>
      <c r="J908" s="2" t="str">
        <f>_xlfn.XLOOKUP(A908,YW邮编覆盖!A:A,YW邮编覆盖!B:B,"否")</f>
        <v>是</v>
      </c>
    </row>
    <row r="909" spans="1:10" hidden="1">
      <c r="A909" s="3">
        <v>95822</v>
      </c>
      <c r="B909" s="1" t="s">
        <v>86</v>
      </c>
      <c r="C909" s="2" t="str">
        <f>_xlfn.XLOOKUP(B909,线路DSP对应!A:A,线路DSP对应!B:B)</f>
        <v>STA_SAC_FCA</v>
      </c>
      <c r="D909" s="4" t="s">
        <v>156</v>
      </c>
      <c r="E909" s="2" t="str">
        <f>_xlfn.XLOOKUP(A909,转单情况!A:A,转单情况!B:B)</f>
        <v>否</v>
      </c>
      <c r="G909" s="28">
        <f>ROUND(_xlfn.XLOOKUP(A909,全量!A:A,全量!B:B,0)/7,1)</f>
        <v>0.6</v>
      </c>
      <c r="H909" s="2">
        <f>ROUND(_xlfn.XLOOKUP(A909,AE!A:A,AE!B:B,0)/7,1)</f>
        <v>0.1</v>
      </c>
      <c r="I909" s="2" t="str">
        <f>_xlfn.XLOOKUP(A909,SWFTX邮编覆盖!A:A,SWFTX邮编覆盖!B:B,"否")</f>
        <v>是</v>
      </c>
      <c r="J909" s="2" t="str">
        <f>_xlfn.XLOOKUP(A909,YW邮编覆盖!A:A,YW邮编覆盖!B:B,"否")</f>
        <v>是</v>
      </c>
    </row>
    <row r="910" spans="1:10" hidden="1">
      <c r="A910" s="3">
        <v>95832</v>
      </c>
      <c r="B910" s="1" t="s">
        <v>86</v>
      </c>
      <c r="C910" s="2" t="str">
        <f>_xlfn.XLOOKUP(B910,线路DSP对应!A:A,线路DSP对应!B:B)</f>
        <v>STA_SAC_FCA</v>
      </c>
      <c r="D910" s="4" t="s">
        <v>156</v>
      </c>
      <c r="E910" s="2" t="str">
        <f>_xlfn.XLOOKUP(A910,转单情况!A:A,转单情况!B:B)</f>
        <v>否</v>
      </c>
      <c r="G910" s="28">
        <f>ROUND(_xlfn.XLOOKUP(A910,全量!A:A,全量!B:B,0)/7,1)</f>
        <v>0.3</v>
      </c>
      <c r="H910" s="2">
        <f>ROUND(_xlfn.XLOOKUP(A910,AE!A:A,AE!B:B,0)/7,1)</f>
        <v>0</v>
      </c>
      <c r="I910" s="2" t="str">
        <f>_xlfn.XLOOKUP(A910,SWFTX邮编覆盖!A:A,SWFTX邮编覆盖!B:B,"否")</f>
        <v>是</v>
      </c>
      <c r="J910" s="2" t="str">
        <f>_xlfn.XLOOKUP(A910,YW邮编覆盖!A:A,YW邮编覆盖!B:B,"否")</f>
        <v>是</v>
      </c>
    </row>
    <row r="911" spans="1:10" hidden="1">
      <c r="A911" s="3">
        <v>95823</v>
      </c>
      <c r="B911" s="1" t="s">
        <v>86</v>
      </c>
      <c r="C911" s="2" t="str">
        <f>_xlfn.XLOOKUP(B911,线路DSP对应!A:A,线路DSP对应!B:B)</f>
        <v>STA_SAC_FCA</v>
      </c>
      <c r="D911" s="4" t="s">
        <v>156</v>
      </c>
      <c r="E911" s="2" t="str">
        <f>_xlfn.XLOOKUP(A911,转单情况!A:A,转单情况!B:B)</f>
        <v>否</v>
      </c>
      <c r="G911" s="28">
        <f>ROUND(_xlfn.XLOOKUP(A911,全量!A:A,全量!B:B,0)/7,1)</f>
        <v>1.7</v>
      </c>
      <c r="H911" s="2">
        <f>ROUND(_xlfn.XLOOKUP(A911,AE!A:A,AE!B:B,0)/7,1)</f>
        <v>0</v>
      </c>
      <c r="I911" s="2" t="str">
        <f>_xlfn.XLOOKUP(A911,SWFTX邮编覆盖!A:A,SWFTX邮编覆盖!B:B,"否")</f>
        <v>是</v>
      </c>
      <c r="J911" s="2" t="str">
        <f>_xlfn.XLOOKUP(A911,YW邮编覆盖!A:A,YW邮编覆盖!B:B,"否")</f>
        <v>是</v>
      </c>
    </row>
    <row r="912" spans="1:10" hidden="1">
      <c r="A912" s="3">
        <v>95758</v>
      </c>
      <c r="B912" s="1" t="s">
        <v>86</v>
      </c>
      <c r="C912" s="2" t="str">
        <f>_xlfn.XLOOKUP(B912,线路DSP对应!A:A,线路DSP对应!B:B)</f>
        <v>STA_SAC_FCA</v>
      </c>
      <c r="D912" s="4" t="s">
        <v>156</v>
      </c>
      <c r="E912" s="2" t="str">
        <f>_xlfn.XLOOKUP(A912,转单情况!A:A,转单情况!B:B)</f>
        <v>否</v>
      </c>
      <c r="G912" s="28">
        <f>ROUND(_xlfn.XLOOKUP(A912,全量!A:A,全量!B:B,0)/7,1)</f>
        <v>1.1000000000000001</v>
      </c>
      <c r="H912" s="2">
        <f>ROUND(_xlfn.XLOOKUP(A912,AE!A:A,AE!B:B,0)/7,1)</f>
        <v>0.1</v>
      </c>
      <c r="I912" s="2" t="str">
        <f>_xlfn.XLOOKUP(A912,SWFTX邮编覆盖!A:A,SWFTX邮编覆盖!B:B,"否")</f>
        <v>是</v>
      </c>
      <c r="J912" s="2" t="str">
        <f>_xlfn.XLOOKUP(A912,YW邮编覆盖!A:A,YW邮编覆盖!B:B,"否")</f>
        <v>是</v>
      </c>
    </row>
    <row r="913" spans="1:10" hidden="1">
      <c r="A913" s="3">
        <v>95639</v>
      </c>
      <c r="B913" s="1" t="s">
        <v>86</v>
      </c>
      <c r="C913" s="2" t="str">
        <f>_xlfn.XLOOKUP(B913,线路DSP对应!A:A,线路DSP对应!B:B)</f>
        <v>STA_SAC_FCA</v>
      </c>
      <c r="D913" s="4" t="s">
        <v>156</v>
      </c>
      <c r="E913" s="2" t="str">
        <f>_xlfn.XLOOKUP(A913,转单情况!A:A,转单情况!B:B)</f>
        <v>否</v>
      </c>
      <c r="G913" s="28">
        <f>ROUND(_xlfn.XLOOKUP(A913,全量!A:A,全量!B:B,0)/7,1)</f>
        <v>0</v>
      </c>
      <c r="H913" s="2">
        <f>ROUND(_xlfn.XLOOKUP(A913,AE!A:A,AE!B:B,0)/7,1)</f>
        <v>0</v>
      </c>
      <c r="I913" s="2" t="str">
        <f>_xlfn.XLOOKUP(A913,SWFTX邮编覆盖!A:A,SWFTX邮编覆盖!B:B,"否")</f>
        <v>否</v>
      </c>
      <c r="J913" s="2" t="str">
        <f>_xlfn.XLOOKUP(A913,YW邮编覆盖!A:A,YW邮编覆盖!B:B,"否")</f>
        <v>否</v>
      </c>
    </row>
    <row r="914" spans="1:10" hidden="1">
      <c r="A914" s="3">
        <v>95757</v>
      </c>
      <c r="B914" s="1" t="s">
        <v>86</v>
      </c>
      <c r="C914" s="2" t="str">
        <f>_xlfn.XLOOKUP(B914,线路DSP对应!A:A,线路DSP对应!B:B)</f>
        <v>STA_SAC_FCA</v>
      </c>
      <c r="D914" s="4" t="s">
        <v>156</v>
      </c>
      <c r="E914" s="2" t="str">
        <f>_xlfn.XLOOKUP(A914,转单情况!A:A,转单情况!B:B)</f>
        <v>否</v>
      </c>
      <c r="G914" s="28">
        <f>ROUND(_xlfn.XLOOKUP(A914,全量!A:A,全量!B:B,0)/7,1)</f>
        <v>1.1000000000000001</v>
      </c>
      <c r="H914" s="2">
        <f>ROUND(_xlfn.XLOOKUP(A914,AE!A:A,AE!B:B,0)/7,1)</f>
        <v>0</v>
      </c>
      <c r="I914" s="2" t="str">
        <f>_xlfn.XLOOKUP(A914,SWFTX邮编覆盖!A:A,SWFTX邮编覆盖!B:B,"否")</f>
        <v>是</v>
      </c>
      <c r="J914" s="2" t="str">
        <f>_xlfn.XLOOKUP(A914,YW邮编覆盖!A:A,YW邮编覆盖!B:B,"否")</f>
        <v>是</v>
      </c>
    </row>
    <row r="915" spans="1:10" hidden="1">
      <c r="A915" s="3">
        <v>95624</v>
      </c>
      <c r="B915" s="1" t="s">
        <v>86</v>
      </c>
      <c r="C915" s="2" t="str">
        <f>_xlfn.XLOOKUP(B915,线路DSP对应!A:A,线路DSP对应!B:B)</f>
        <v>STA_SAC_FCA</v>
      </c>
      <c r="D915" s="4" t="s">
        <v>156</v>
      </c>
      <c r="E915" s="2" t="str">
        <f>_xlfn.XLOOKUP(A915,转单情况!A:A,转单情况!B:B)</f>
        <v>否</v>
      </c>
      <c r="G915" s="28">
        <f>ROUND(_xlfn.XLOOKUP(A915,全量!A:A,全量!B:B,0)/7,1)</f>
        <v>1.4</v>
      </c>
      <c r="H915" s="2">
        <f>ROUND(_xlfn.XLOOKUP(A915,AE!A:A,AE!B:B,0)/7,1)</f>
        <v>0</v>
      </c>
      <c r="I915" s="2" t="str">
        <f>_xlfn.XLOOKUP(A915,SWFTX邮编覆盖!A:A,SWFTX邮编覆盖!B:B,"否")</f>
        <v>是</v>
      </c>
      <c r="J915" s="2" t="str">
        <f>_xlfn.XLOOKUP(A915,YW邮编覆盖!A:A,YW邮编覆盖!B:B,"否")</f>
        <v>是</v>
      </c>
    </row>
    <row r="916" spans="1:10" hidden="1">
      <c r="A916" s="3">
        <v>95691</v>
      </c>
      <c r="B916" s="1" t="s">
        <v>86</v>
      </c>
      <c r="C916" s="2" t="str">
        <f>_xlfn.XLOOKUP(B916,线路DSP对应!A:A,线路DSP对应!B:B)</f>
        <v>STA_SAC_FCA</v>
      </c>
      <c r="D916" s="4" t="s">
        <v>156</v>
      </c>
      <c r="E916" s="2" t="str">
        <f>_xlfn.XLOOKUP(A916,转单情况!A:A,转单情况!B:B)</f>
        <v>否</v>
      </c>
      <c r="G916" s="28">
        <f>ROUND(_xlfn.XLOOKUP(A916,全量!A:A,全量!B:B,0)/7,1)</f>
        <v>0.3</v>
      </c>
      <c r="H916" s="2">
        <f>ROUND(_xlfn.XLOOKUP(A916,AE!A:A,AE!B:B,0)/7,1)</f>
        <v>0</v>
      </c>
      <c r="I916" s="2" t="str">
        <f>_xlfn.XLOOKUP(A916,SWFTX邮编覆盖!A:A,SWFTX邮编覆盖!B:B,"否")</f>
        <v>是</v>
      </c>
      <c r="J916" s="2" t="str">
        <f>_xlfn.XLOOKUP(A916,YW邮编覆盖!A:A,YW邮编覆盖!B:B,"否")</f>
        <v>是</v>
      </c>
    </row>
    <row r="917" spans="1:10" hidden="1">
      <c r="A917" s="3">
        <v>95605</v>
      </c>
      <c r="B917" s="1" t="s">
        <v>86</v>
      </c>
      <c r="C917" s="2" t="str">
        <f>_xlfn.XLOOKUP(B917,线路DSP对应!A:A,线路DSP对应!B:B)</f>
        <v>STA_SAC_FCA</v>
      </c>
      <c r="D917" s="4" t="s">
        <v>156</v>
      </c>
      <c r="E917" s="2" t="str">
        <f>_xlfn.XLOOKUP(A917,转单情况!A:A,转单情况!B:B)</f>
        <v>否</v>
      </c>
      <c r="G917" s="28">
        <f>ROUND(_xlfn.XLOOKUP(A917,全量!A:A,全量!B:B,0)/7,1)</f>
        <v>0.7</v>
      </c>
      <c r="H917" s="2">
        <f>ROUND(_xlfn.XLOOKUP(A917,AE!A:A,AE!B:B,0)/7,1)</f>
        <v>0</v>
      </c>
      <c r="I917" s="2" t="str">
        <f>_xlfn.XLOOKUP(A917,SWFTX邮编覆盖!A:A,SWFTX邮编覆盖!B:B,"否")</f>
        <v>是</v>
      </c>
      <c r="J917" s="2" t="str">
        <f>_xlfn.XLOOKUP(A917,YW邮编覆盖!A:A,YW邮编覆盖!B:B,"否")</f>
        <v>是</v>
      </c>
    </row>
    <row r="918" spans="1:10" hidden="1">
      <c r="A918" s="3">
        <v>95834</v>
      </c>
      <c r="B918" s="1" t="s">
        <v>86</v>
      </c>
      <c r="C918" s="2" t="str">
        <f>_xlfn.XLOOKUP(B918,线路DSP对应!A:A,线路DSP对应!B:B)</f>
        <v>STA_SAC_FCA</v>
      </c>
      <c r="D918" s="4" t="s">
        <v>156</v>
      </c>
      <c r="E918" s="2" t="str">
        <f>_xlfn.XLOOKUP(A918,转单情况!A:A,转单情况!B:B)</f>
        <v>否</v>
      </c>
      <c r="G918" s="28">
        <f>ROUND(_xlfn.XLOOKUP(A918,全量!A:A,全量!B:B,0)/7,1)</f>
        <v>0.9</v>
      </c>
      <c r="H918" s="2">
        <f>ROUND(_xlfn.XLOOKUP(A918,AE!A:A,AE!B:B,0)/7,1)</f>
        <v>0.1</v>
      </c>
      <c r="I918" s="2" t="str">
        <f>_xlfn.XLOOKUP(A918,SWFTX邮编覆盖!A:A,SWFTX邮编覆盖!B:B,"否")</f>
        <v>是</v>
      </c>
      <c r="J918" s="2" t="str">
        <f>_xlfn.XLOOKUP(A918,YW邮编覆盖!A:A,YW邮编覆盖!B:B,"否")</f>
        <v>是</v>
      </c>
    </row>
    <row r="919" spans="1:10" hidden="1">
      <c r="A919" s="3">
        <v>95835</v>
      </c>
      <c r="B919" s="1" t="s">
        <v>86</v>
      </c>
      <c r="C919" s="2" t="str">
        <f>_xlfn.XLOOKUP(B919,线路DSP对应!A:A,线路DSP对应!B:B)</f>
        <v>STA_SAC_FCA</v>
      </c>
      <c r="D919" s="4" t="s">
        <v>156</v>
      </c>
      <c r="E919" s="2" t="str">
        <f>_xlfn.XLOOKUP(A919,转单情况!A:A,转单情况!B:B)</f>
        <v>否</v>
      </c>
      <c r="G919" s="28">
        <f>ROUND(_xlfn.XLOOKUP(A919,全量!A:A,全量!B:B,0)/7,1)</f>
        <v>0.7</v>
      </c>
      <c r="H919" s="2">
        <f>ROUND(_xlfn.XLOOKUP(A919,AE!A:A,AE!B:B,0)/7,1)</f>
        <v>0.1</v>
      </c>
      <c r="I919" s="2" t="str">
        <f>_xlfn.XLOOKUP(A919,SWFTX邮编覆盖!A:A,SWFTX邮编覆盖!B:B,"否")</f>
        <v>是</v>
      </c>
      <c r="J919" s="2" t="str">
        <f>_xlfn.XLOOKUP(A919,YW邮编覆盖!A:A,YW邮编覆盖!B:B,"否")</f>
        <v>是</v>
      </c>
    </row>
    <row r="920" spans="1:10" hidden="1">
      <c r="A920" s="3">
        <v>95837</v>
      </c>
      <c r="B920" s="1" t="s">
        <v>86</v>
      </c>
      <c r="C920" s="2" t="str">
        <f>_xlfn.XLOOKUP(B920,线路DSP对应!A:A,线路DSP对应!B:B)</f>
        <v>STA_SAC_FCA</v>
      </c>
      <c r="D920" s="4" t="s">
        <v>156</v>
      </c>
      <c r="E920" s="2" t="str">
        <f>_xlfn.XLOOKUP(A920,转单情况!A:A,转单情况!B:B)</f>
        <v>否</v>
      </c>
      <c r="G920" s="28">
        <f>ROUND(_xlfn.XLOOKUP(A920,全量!A:A,全量!B:B,0)/7,1)</f>
        <v>1.3</v>
      </c>
      <c r="H920" s="2">
        <f>ROUND(_xlfn.XLOOKUP(A920,AE!A:A,AE!B:B,0)/7,1)</f>
        <v>0</v>
      </c>
      <c r="I920" s="2" t="str">
        <f>_xlfn.XLOOKUP(A920,SWFTX邮编覆盖!A:A,SWFTX邮编覆盖!B:B,"否")</f>
        <v>否</v>
      </c>
      <c r="J920" s="2" t="str">
        <f>_xlfn.XLOOKUP(A920,YW邮编覆盖!A:A,YW邮编覆盖!B:B,"否")</f>
        <v>否</v>
      </c>
    </row>
    <row r="921" spans="1:10" hidden="1">
      <c r="A921" s="3">
        <v>95833</v>
      </c>
      <c r="B921" s="1" t="s">
        <v>86</v>
      </c>
      <c r="C921" s="2" t="str">
        <f>_xlfn.XLOOKUP(B921,线路DSP对应!A:A,线路DSP对应!B:B)</f>
        <v>STA_SAC_FCA</v>
      </c>
      <c r="D921" s="4" t="s">
        <v>156</v>
      </c>
      <c r="E921" s="2" t="str">
        <f>_xlfn.XLOOKUP(A921,转单情况!A:A,转单情况!B:B)</f>
        <v>否</v>
      </c>
      <c r="G921" s="28">
        <f>ROUND(_xlfn.XLOOKUP(A921,全量!A:A,全量!B:B,0)/7,1)</f>
        <v>0.7</v>
      </c>
      <c r="H921" s="2">
        <f>ROUND(_xlfn.XLOOKUP(A921,AE!A:A,AE!B:B,0)/7,1)</f>
        <v>0.3</v>
      </c>
      <c r="I921" s="2" t="str">
        <f>_xlfn.XLOOKUP(A921,SWFTX邮编覆盖!A:A,SWFTX邮编覆盖!B:B,"否")</f>
        <v>是</v>
      </c>
      <c r="J921" s="2" t="str">
        <f>_xlfn.XLOOKUP(A921,YW邮编覆盖!A:A,YW邮编覆盖!B:B,"否")</f>
        <v>是</v>
      </c>
    </row>
    <row r="922" spans="1:10" hidden="1">
      <c r="A922" s="3">
        <v>92154</v>
      </c>
      <c r="B922" s="1" t="s">
        <v>65</v>
      </c>
      <c r="C922" s="2" t="str">
        <f>_xlfn.XLOOKUP(B922,线路DSP对应!A:A,线路DSP对应!B:B)</f>
        <v>STA_LAX_ChinaOcean</v>
      </c>
      <c r="D922" s="4" t="s">
        <v>151</v>
      </c>
      <c r="E922" s="2" t="str">
        <f>_xlfn.XLOOKUP(A922,转单情况!A:A,转单情况!B:B)</f>
        <v>SW</v>
      </c>
      <c r="F922" s="29"/>
      <c r="G922" s="28">
        <f>ROUND(_xlfn.XLOOKUP(A922,全量!A:A,全量!B:B,0)/7,1)</f>
        <v>1.3</v>
      </c>
      <c r="H922" s="2">
        <f>ROUND(_xlfn.XLOOKUP(A922,AE!A:A,AE!B:B,0)/7,1)</f>
        <v>0</v>
      </c>
      <c r="I922" s="2" t="str">
        <f>_xlfn.XLOOKUP(A922,SWFTX邮编覆盖!A:A,SWFTX邮编覆盖!B:B,"否")</f>
        <v>是</v>
      </c>
      <c r="J922" s="2" t="str">
        <f>_xlfn.XLOOKUP(A922,YW邮编覆盖!A:A,YW邮编覆盖!B:B,"否")</f>
        <v>是</v>
      </c>
    </row>
    <row r="923" spans="1:10" hidden="1">
      <c r="A923" s="3">
        <v>91932</v>
      </c>
      <c r="B923" s="1" t="s">
        <v>65</v>
      </c>
      <c r="C923" s="2" t="str">
        <f>_xlfn.XLOOKUP(B923,线路DSP对应!A:A,线路DSP对应!B:B)</f>
        <v>STA_LAX_ChinaOcean</v>
      </c>
      <c r="D923" s="4" t="s">
        <v>151</v>
      </c>
      <c r="E923" s="2" t="str">
        <f>_xlfn.XLOOKUP(A923,转单情况!A:A,转单情况!B:B)</f>
        <v>SW</v>
      </c>
      <c r="F923" s="29"/>
      <c r="G923" s="28">
        <f>ROUND(_xlfn.XLOOKUP(A923,全量!A:A,全量!B:B,0)/7,1)</f>
        <v>0.3</v>
      </c>
      <c r="H923" s="2">
        <f>ROUND(_xlfn.XLOOKUP(A923,AE!A:A,AE!B:B,0)/7,1)</f>
        <v>0</v>
      </c>
      <c r="I923" s="2" t="str">
        <f>_xlfn.XLOOKUP(A923,SWFTX邮编覆盖!A:A,SWFTX邮编覆盖!B:B,"否")</f>
        <v>是</v>
      </c>
      <c r="J923" s="2" t="str">
        <f>_xlfn.XLOOKUP(A923,YW邮编覆盖!A:A,YW邮编覆盖!B:B,"否")</f>
        <v>是</v>
      </c>
    </row>
    <row r="924" spans="1:10" hidden="1">
      <c r="A924" s="3">
        <v>92173</v>
      </c>
      <c r="B924" s="1" t="s">
        <v>65</v>
      </c>
      <c r="C924" s="2" t="str">
        <f>_xlfn.XLOOKUP(B924,线路DSP对应!A:A,线路DSP对应!B:B)</f>
        <v>STA_LAX_ChinaOcean</v>
      </c>
      <c r="D924" s="4" t="s">
        <v>151</v>
      </c>
      <c r="E924" s="2" t="str">
        <f>_xlfn.XLOOKUP(A924,转单情况!A:A,转单情况!B:B)</f>
        <v>SW</v>
      </c>
      <c r="F924" s="29"/>
      <c r="G924" s="28">
        <f>ROUND(_xlfn.XLOOKUP(A924,全量!A:A,全量!B:B,0)/7,1)</f>
        <v>0.6</v>
      </c>
      <c r="H924" s="2">
        <f>ROUND(_xlfn.XLOOKUP(A924,AE!A:A,AE!B:B,0)/7,1)</f>
        <v>0</v>
      </c>
      <c r="I924" s="2" t="str">
        <f>_xlfn.XLOOKUP(A924,SWFTX邮编覆盖!A:A,SWFTX邮编覆盖!B:B,"否")</f>
        <v>是</v>
      </c>
      <c r="J924" s="2" t="str">
        <f>_xlfn.XLOOKUP(A924,YW邮编覆盖!A:A,YW邮编覆盖!B:B,"否")</f>
        <v>否</v>
      </c>
    </row>
    <row r="925" spans="1:10" hidden="1">
      <c r="A925" s="3">
        <v>91913</v>
      </c>
      <c r="B925" s="1" t="s">
        <v>67</v>
      </c>
      <c r="C925" s="2" t="str">
        <f>_xlfn.XLOOKUP(B925,线路DSP对应!A:A,线路DSP对应!B:B)</f>
        <v>STA_LAX_ChinaOcean</v>
      </c>
      <c r="D925" s="4" t="s">
        <v>151</v>
      </c>
      <c r="E925" s="2" t="str">
        <f>_xlfn.XLOOKUP(A925,转单情况!A:A,转单情况!B:B)</f>
        <v>SW</v>
      </c>
      <c r="F925" s="29"/>
      <c r="G925" s="28">
        <f>ROUND(_xlfn.XLOOKUP(A925,全量!A:A,全量!B:B,0)/7,1)</f>
        <v>0.7</v>
      </c>
      <c r="H925" s="2">
        <f>ROUND(_xlfn.XLOOKUP(A925,AE!A:A,AE!B:B,0)/7,1)</f>
        <v>0</v>
      </c>
      <c r="I925" s="2" t="str">
        <f>_xlfn.XLOOKUP(A925,SWFTX邮编覆盖!A:A,SWFTX邮编覆盖!B:B,"否")</f>
        <v>是</v>
      </c>
      <c r="J925" s="2" t="str">
        <f>_xlfn.XLOOKUP(A925,YW邮编覆盖!A:A,YW邮编覆盖!B:B,"否")</f>
        <v>是</v>
      </c>
    </row>
    <row r="926" spans="1:10" hidden="1">
      <c r="A926" s="3">
        <v>91911</v>
      </c>
      <c r="B926" s="1" t="s">
        <v>67</v>
      </c>
      <c r="C926" s="2" t="str">
        <f>_xlfn.XLOOKUP(B926,线路DSP对应!A:A,线路DSP对应!B:B)</f>
        <v>STA_LAX_ChinaOcean</v>
      </c>
      <c r="D926" s="4" t="s">
        <v>151</v>
      </c>
      <c r="E926" s="2" t="str">
        <f>_xlfn.XLOOKUP(A926,转单情况!A:A,转单情况!B:B)</f>
        <v>SW</v>
      </c>
      <c r="F926" s="29"/>
      <c r="G926" s="28">
        <f>ROUND(_xlfn.XLOOKUP(A926,全量!A:A,全量!B:B,0)/7,1)</f>
        <v>0.7</v>
      </c>
      <c r="H926" s="2">
        <f>ROUND(_xlfn.XLOOKUP(A926,AE!A:A,AE!B:B,0)/7,1)</f>
        <v>0</v>
      </c>
      <c r="I926" s="2" t="str">
        <f>_xlfn.XLOOKUP(A926,SWFTX邮编覆盖!A:A,SWFTX邮编覆盖!B:B,"否")</f>
        <v>是</v>
      </c>
      <c r="J926" s="2" t="str">
        <f>_xlfn.XLOOKUP(A926,YW邮编覆盖!A:A,YW邮编覆盖!B:B,"否")</f>
        <v>是</v>
      </c>
    </row>
    <row r="927" spans="1:10" hidden="1">
      <c r="A927" s="3">
        <v>91915</v>
      </c>
      <c r="B927" s="1" t="s">
        <v>67</v>
      </c>
      <c r="C927" s="2" t="str">
        <f>_xlfn.XLOOKUP(B927,线路DSP对应!A:A,线路DSP对应!B:B)</f>
        <v>STA_LAX_ChinaOcean</v>
      </c>
      <c r="D927" s="4" t="s">
        <v>151</v>
      </c>
      <c r="E927" s="2" t="str">
        <f>_xlfn.XLOOKUP(A927,转单情况!A:A,转单情况!B:B)</f>
        <v>SW</v>
      </c>
      <c r="F927" s="29"/>
      <c r="G927" s="28">
        <f>ROUND(_xlfn.XLOOKUP(A927,全量!A:A,全量!B:B,0)/7,1)</f>
        <v>0.3</v>
      </c>
      <c r="H927" s="2">
        <f>ROUND(_xlfn.XLOOKUP(A927,AE!A:A,AE!B:B,0)/7,1)</f>
        <v>0</v>
      </c>
      <c r="I927" s="2" t="str">
        <f>_xlfn.XLOOKUP(A927,SWFTX邮编覆盖!A:A,SWFTX邮编覆盖!B:B,"否")</f>
        <v>是</v>
      </c>
      <c r="J927" s="2" t="str">
        <f>_xlfn.XLOOKUP(A927,YW邮编覆盖!A:A,YW邮编覆盖!B:B,"否")</f>
        <v>是</v>
      </c>
    </row>
    <row r="928" spans="1:10" hidden="1">
      <c r="A928" s="3">
        <v>92135</v>
      </c>
      <c r="B928" s="1" t="s">
        <v>68</v>
      </c>
      <c r="C928" s="2" t="str">
        <f>_xlfn.XLOOKUP(B928,线路DSP对应!A:A,线路DSP对应!B:B)</f>
        <v>STA_SD_FastShip</v>
      </c>
      <c r="D928" s="4" t="s">
        <v>151</v>
      </c>
      <c r="E928" s="2" t="str">
        <f>_xlfn.XLOOKUP(A928,转单情况!A:A,转单情况!B:B)</f>
        <v>否</v>
      </c>
      <c r="G928" s="28">
        <f>ROUND(_xlfn.XLOOKUP(A928,全量!A:A,全量!B:B,0)/7,1)</f>
        <v>0</v>
      </c>
      <c r="H928" s="2">
        <f>ROUND(_xlfn.XLOOKUP(A928,AE!A:A,AE!B:B,0)/7,1)</f>
        <v>0</v>
      </c>
      <c r="I928" s="2" t="str">
        <f>_xlfn.XLOOKUP(A928,SWFTX邮编覆盖!A:A,SWFTX邮编覆盖!B:B,"否")</f>
        <v>否</v>
      </c>
      <c r="J928" s="2" t="str">
        <f>_xlfn.XLOOKUP(A928,YW邮编覆盖!A:A,YW邮编覆盖!B:B,"否")</f>
        <v>否</v>
      </c>
    </row>
    <row r="929" spans="1:10" hidden="1">
      <c r="A929" s="3">
        <v>92118</v>
      </c>
      <c r="B929" s="1" t="s">
        <v>68</v>
      </c>
      <c r="C929" s="2" t="str">
        <f>_xlfn.XLOOKUP(B929,线路DSP对应!A:A,线路DSP对应!B:B)</f>
        <v>STA_SD_FastShip</v>
      </c>
      <c r="D929" s="4" t="s">
        <v>151</v>
      </c>
      <c r="E929" s="2" t="str">
        <f>_xlfn.XLOOKUP(A929,转单情况!A:A,转单情况!B:B)</f>
        <v>否</v>
      </c>
      <c r="G929" s="28">
        <f>ROUND(_xlfn.XLOOKUP(A929,全量!A:A,全量!B:B,0)/7,1)</f>
        <v>28.9</v>
      </c>
      <c r="H929" s="2">
        <f>ROUND(_xlfn.XLOOKUP(A929,AE!A:A,AE!B:B,0)/7,1)</f>
        <v>3.3</v>
      </c>
      <c r="I929" s="2" t="str">
        <f>_xlfn.XLOOKUP(A929,SWFTX邮编覆盖!A:A,SWFTX邮编覆盖!B:B,"否")</f>
        <v>否</v>
      </c>
      <c r="J929" s="2" t="str">
        <f>_xlfn.XLOOKUP(A929,YW邮编覆盖!A:A,YW邮编覆盖!B:B,"否")</f>
        <v>否</v>
      </c>
    </row>
    <row r="930" spans="1:10" hidden="1">
      <c r="A930" s="3">
        <v>91950</v>
      </c>
      <c r="B930" s="1" t="s">
        <v>68</v>
      </c>
      <c r="C930" s="2" t="str">
        <f>_xlfn.XLOOKUP(B930,线路DSP对应!A:A,线路DSP对应!B:B)</f>
        <v>STA_SD_FastShip</v>
      </c>
      <c r="D930" s="4" t="s">
        <v>151</v>
      </c>
      <c r="E930" s="2" t="str">
        <f>_xlfn.XLOOKUP(A930,转单情况!A:A,转单情况!B:B)</f>
        <v>SW</v>
      </c>
      <c r="F930" s="29"/>
      <c r="G930" s="28">
        <f>ROUND(_xlfn.XLOOKUP(A930,全量!A:A,全量!B:B,0)/7,1)</f>
        <v>0</v>
      </c>
      <c r="H930" s="2">
        <f>ROUND(_xlfn.XLOOKUP(A930,AE!A:A,AE!B:B,0)/7,1)</f>
        <v>0</v>
      </c>
      <c r="I930" s="2" t="str">
        <f>_xlfn.XLOOKUP(A930,SWFTX邮编覆盖!A:A,SWFTX邮编覆盖!B:B,"否")</f>
        <v>是</v>
      </c>
      <c r="J930" s="2" t="str">
        <f>_xlfn.XLOOKUP(A930,YW邮编覆盖!A:A,YW邮编覆盖!B:B,"否")</f>
        <v>是</v>
      </c>
    </row>
    <row r="931" spans="1:10" hidden="1">
      <c r="A931" s="3">
        <v>92139</v>
      </c>
      <c r="B931" s="1" t="s">
        <v>68</v>
      </c>
      <c r="C931" s="2" t="str">
        <f>_xlfn.XLOOKUP(B931,线路DSP对应!A:A,线路DSP对应!B:B)</f>
        <v>STA_SD_FastShip</v>
      </c>
      <c r="D931" s="4" t="s">
        <v>151</v>
      </c>
      <c r="E931" s="2" t="str">
        <f>_xlfn.XLOOKUP(A931,转单情况!A:A,转单情况!B:B)</f>
        <v>SW</v>
      </c>
      <c r="F931" s="29"/>
      <c r="G931" s="28">
        <f>ROUND(_xlfn.XLOOKUP(A931,全量!A:A,全量!B:B,0)/7,1)</f>
        <v>0.1</v>
      </c>
      <c r="H931" s="2">
        <f>ROUND(_xlfn.XLOOKUP(A931,AE!A:A,AE!B:B,0)/7,1)</f>
        <v>0</v>
      </c>
      <c r="I931" s="2" t="str">
        <f>_xlfn.XLOOKUP(A931,SWFTX邮编覆盖!A:A,SWFTX邮编覆盖!B:B,"否")</f>
        <v>是</v>
      </c>
      <c r="J931" s="2" t="str">
        <f>_xlfn.XLOOKUP(A931,YW邮编覆盖!A:A,YW邮编覆盖!B:B,"否")</f>
        <v>是</v>
      </c>
    </row>
    <row r="932" spans="1:10" hidden="1">
      <c r="A932" s="3">
        <v>92102</v>
      </c>
      <c r="B932" s="1" t="s">
        <v>68</v>
      </c>
      <c r="C932" s="2" t="str">
        <f>_xlfn.XLOOKUP(B932,线路DSP对应!A:A,线路DSP对应!B:B)</f>
        <v>STA_SD_FastShip</v>
      </c>
      <c r="D932" s="4" t="s">
        <v>151</v>
      </c>
      <c r="E932" s="2" t="str">
        <f>_xlfn.XLOOKUP(A932,转单情况!A:A,转单情况!B:B)</f>
        <v>SW</v>
      </c>
      <c r="F932" s="29"/>
      <c r="G932" s="28">
        <f>ROUND(_xlfn.XLOOKUP(A932,全量!A:A,全量!B:B,0)/7,1)</f>
        <v>0.6</v>
      </c>
      <c r="H932" s="2">
        <f>ROUND(_xlfn.XLOOKUP(A932,AE!A:A,AE!B:B,0)/7,1)</f>
        <v>0</v>
      </c>
      <c r="I932" s="2" t="str">
        <f>_xlfn.XLOOKUP(A932,SWFTX邮编覆盖!A:A,SWFTX邮编覆盖!B:B,"否")</f>
        <v>是</v>
      </c>
      <c r="J932" s="2" t="str">
        <f>_xlfn.XLOOKUP(A932,YW邮编覆盖!A:A,YW邮编覆盖!B:B,"否")</f>
        <v>是</v>
      </c>
    </row>
    <row r="933" spans="1:10" hidden="1">
      <c r="A933" s="3">
        <v>92113</v>
      </c>
      <c r="B933" s="1" t="s">
        <v>68</v>
      </c>
      <c r="C933" s="2" t="str">
        <f>_xlfn.XLOOKUP(B933,线路DSP对应!A:A,线路DSP对应!B:B)</f>
        <v>STA_SD_FastShip</v>
      </c>
      <c r="D933" s="4" t="s">
        <v>151</v>
      </c>
      <c r="E933" s="2" t="str">
        <f>_xlfn.XLOOKUP(A933,转单情况!A:A,转单情况!B:B)</f>
        <v>SW</v>
      </c>
      <c r="F933" s="29"/>
      <c r="G933" s="28">
        <f>ROUND(_xlfn.XLOOKUP(A933,全量!A:A,全量!B:B,0)/7,1)</f>
        <v>0.7</v>
      </c>
      <c r="H933" s="2">
        <f>ROUND(_xlfn.XLOOKUP(A933,AE!A:A,AE!B:B,0)/7,1)</f>
        <v>0</v>
      </c>
      <c r="I933" s="2" t="str">
        <f>_xlfn.XLOOKUP(A933,SWFTX邮编覆盖!A:A,SWFTX邮编覆盖!B:B,"否")</f>
        <v>是</v>
      </c>
      <c r="J933" s="2" t="str">
        <f>_xlfn.XLOOKUP(A933,YW邮编覆盖!A:A,YW邮编覆盖!B:B,"否")</f>
        <v>是</v>
      </c>
    </row>
    <row r="934" spans="1:10" hidden="1">
      <c r="A934" s="3">
        <v>92114</v>
      </c>
      <c r="B934" s="1" t="s">
        <v>68</v>
      </c>
      <c r="C934" s="2" t="str">
        <f>_xlfn.XLOOKUP(B934,线路DSP对应!A:A,线路DSP对应!B:B)</f>
        <v>STA_SD_FastShip</v>
      </c>
      <c r="D934" s="4" t="s">
        <v>151</v>
      </c>
      <c r="E934" s="2" t="str">
        <f>_xlfn.XLOOKUP(A934,转单情况!A:A,转单情况!B:B)</f>
        <v>SW</v>
      </c>
      <c r="F934" s="29"/>
      <c r="G934" s="28">
        <f>ROUND(_xlfn.XLOOKUP(A934,全量!A:A,全量!B:B,0)/7,1)</f>
        <v>0.4</v>
      </c>
      <c r="H934" s="2">
        <f>ROUND(_xlfn.XLOOKUP(A934,AE!A:A,AE!B:B,0)/7,1)</f>
        <v>0</v>
      </c>
      <c r="I934" s="2" t="str">
        <f>_xlfn.XLOOKUP(A934,SWFTX邮编覆盖!A:A,SWFTX邮编覆盖!B:B,"否")</f>
        <v>是</v>
      </c>
      <c r="J934" s="2" t="str">
        <f>_xlfn.XLOOKUP(A934,YW邮编覆盖!A:A,YW邮编覆盖!B:B,"否")</f>
        <v>是</v>
      </c>
    </row>
    <row r="935" spans="1:10" hidden="1">
      <c r="A935" s="3">
        <v>91914</v>
      </c>
      <c r="B935" s="1" t="s">
        <v>68</v>
      </c>
      <c r="C935" s="2" t="str">
        <f>_xlfn.XLOOKUP(B935,线路DSP对应!A:A,线路DSP对应!B:B)</f>
        <v>STA_SD_FastShip</v>
      </c>
      <c r="D935" s="4" t="s">
        <v>151</v>
      </c>
      <c r="E935" s="2" t="str">
        <f>_xlfn.XLOOKUP(A935,转单情况!A:A,转单情况!B:B)</f>
        <v>SW</v>
      </c>
      <c r="G935" s="28">
        <f>ROUND(_xlfn.XLOOKUP(A935,全量!A:A,全量!B:B,0)/7,1)</f>
        <v>0.4</v>
      </c>
      <c r="H935" s="2">
        <f>ROUND(_xlfn.XLOOKUP(A935,AE!A:A,AE!B:B,0)/7,1)</f>
        <v>0</v>
      </c>
      <c r="I935" s="2" t="str">
        <f>_xlfn.XLOOKUP(A935,SWFTX邮编覆盖!A:A,SWFTX邮编覆盖!B:B,"否")</f>
        <v>是</v>
      </c>
      <c r="J935" s="2" t="str">
        <f>_xlfn.XLOOKUP(A935,YW邮编覆盖!A:A,YW邮编覆盖!B:B,"否")</f>
        <v>是</v>
      </c>
    </row>
    <row r="936" spans="1:10" hidden="1">
      <c r="A936" s="3">
        <v>91902</v>
      </c>
      <c r="B936" s="1" t="s">
        <v>68</v>
      </c>
      <c r="C936" s="2" t="str">
        <f>_xlfn.XLOOKUP(B936,线路DSP对应!A:A,线路DSP对应!B:B)</f>
        <v>STA_SD_FastShip</v>
      </c>
      <c r="D936" s="4" t="s">
        <v>151</v>
      </c>
      <c r="E936" s="2" t="str">
        <f>_xlfn.XLOOKUP(A936,转单情况!A:A,转单情况!B:B)</f>
        <v>SW</v>
      </c>
      <c r="G936" s="28">
        <f>ROUND(_xlfn.XLOOKUP(A936,全量!A:A,全量!B:B,0)/7,1)</f>
        <v>0.3</v>
      </c>
      <c r="H936" s="2">
        <f>ROUND(_xlfn.XLOOKUP(A936,AE!A:A,AE!B:B,0)/7,1)</f>
        <v>0</v>
      </c>
      <c r="I936" s="2" t="str">
        <f>_xlfn.XLOOKUP(A936,SWFTX邮编覆盖!A:A,SWFTX邮编覆盖!B:B,"否")</f>
        <v>是</v>
      </c>
      <c r="J936" s="2" t="str">
        <f>_xlfn.XLOOKUP(A936,YW邮编覆盖!A:A,YW邮编覆盖!B:B,"否")</f>
        <v>是</v>
      </c>
    </row>
    <row r="937" spans="1:10" hidden="1">
      <c r="A937" s="3">
        <v>91910</v>
      </c>
      <c r="B937" s="1" t="s">
        <v>68</v>
      </c>
      <c r="C937" s="2" t="str">
        <f>_xlfn.XLOOKUP(B937,线路DSP对应!A:A,线路DSP对应!B:B)</f>
        <v>STA_SD_FastShip</v>
      </c>
      <c r="D937" s="4" t="s">
        <v>151</v>
      </c>
      <c r="E937" s="2" t="str">
        <f>_xlfn.XLOOKUP(A937,转单情况!A:A,转单情况!B:B)</f>
        <v>SW</v>
      </c>
      <c r="F937" s="29"/>
      <c r="G937" s="28">
        <f>ROUND(_xlfn.XLOOKUP(A937,全量!A:A,全量!B:B,0)/7,1)</f>
        <v>0.6</v>
      </c>
      <c r="H937" s="2">
        <f>ROUND(_xlfn.XLOOKUP(A937,AE!A:A,AE!B:B,0)/7,1)</f>
        <v>0</v>
      </c>
      <c r="I937" s="2" t="str">
        <f>_xlfn.XLOOKUP(A937,SWFTX邮编覆盖!A:A,SWFTX邮编覆盖!B:B,"否")</f>
        <v>是</v>
      </c>
      <c r="J937" s="2" t="str">
        <f>_xlfn.XLOOKUP(A937,YW邮编覆盖!A:A,YW邮编覆盖!B:B,"否")</f>
        <v>是</v>
      </c>
    </row>
    <row r="938" spans="1:10" hidden="1">
      <c r="A938" s="3">
        <v>92024</v>
      </c>
      <c r="B938" s="1" t="s">
        <v>69</v>
      </c>
      <c r="C938" s="2" t="str">
        <f>_xlfn.XLOOKUP(B938,线路DSP对应!A:A,线路DSP对应!B:B)</f>
        <v>STA_SD_FastShip</v>
      </c>
      <c r="D938" s="4" t="s">
        <v>151</v>
      </c>
      <c r="E938" s="2" t="str">
        <f>_xlfn.XLOOKUP(A938,转单情况!A:A,转单情况!B:B)</f>
        <v>SW</v>
      </c>
      <c r="G938" s="28">
        <f>ROUND(_xlfn.XLOOKUP(A938,全量!A:A,全量!B:B,0)/7,1)</f>
        <v>0.4</v>
      </c>
      <c r="H938" s="2">
        <f>ROUND(_xlfn.XLOOKUP(A938,AE!A:A,AE!B:B,0)/7,1)</f>
        <v>0</v>
      </c>
      <c r="I938" s="2" t="str">
        <f>_xlfn.XLOOKUP(A938,SWFTX邮编覆盖!A:A,SWFTX邮编覆盖!B:B,"否")</f>
        <v>是</v>
      </c>
      <c r="J938" s="2" t="str">
        <f>_xlfn.XLOOKUP(A938,YW邮编覆盖!A:A,YW邮编覆盖!B:B,"否")</f>
        <v>是</v>
      </c>
    </row>
    <row r="939" spans="1:10" hidden="1">
      <c r="A939" s="3">
        <v>92007</v>
      </c>
      <c r="B939" s="1" t="s">
        <v>69</v>
      </c>
      <c r="C939" s="2" t="str">
        <f>_xlfn.XLOOKUP(B939,线路DSP对应!A:A,线路DSP对应!B:B)</f>
        <v>STA_SD_FastShip</v>
      </c>
      <c r="D939" s="4" t="s">
        <v>151</v>
      </c>
      <c r="E939" s="2" t="str">
        <f>_xlfn.XLOOKUP(A939,转单情况!A:A,转单情况!B:B)</f>
        <v>SW</v>
      </c>
      <c r="G939" s="28">
        <f>ROUND(_xlfn.XLOOKUP(A939,全量!A:A,全量!B:B,0)/7,1)</f>
        <v>0</v>
      </c>
      <c r="H939" s="2">
        <f>ROUND(_xlfn.XLOOKUP(A939,AE!A:A,AE!B:B,0)/7,1)</f>
        <v>0</v>
      </c>
      <c r="I939" s="2" t="str">
        <f>_xlfn.XLOOKUP(A939,SWFTX邮编覆盖!A:A,SWFTX邮编覆盖!B:B,"否")</f>
        <v>是</v>
      </c>
      <c r="J939" s="2" t="str">
        <f>_xlfn.XLOOKUP(A939,YW邮编覆盖!A:A,YW邮编覆盖!B:B,"否")</f>
        <v>是</v>
      </c>
    </row>
    <row r="940" spans="1:10" hidden="1">
      <c r="A940" s="3">
        <v>92008</v>
      </c>
      <c r="B940" s="1" t="s">
        <v>69</v>
      </c>
      <c r="C940" s="2" t="str">
        <f>_xlfn.XLOOKUP(B940,线路DSP对应!A:A,线路DSP对应!B:B)</f>
        <v>STA_SD_FastShip</v>
      </c>
      <c r="D940" s="4" t="s">
        <v>151</v>
      </c>
      <c r="E940" s="2" t="str">
        <f>_xlfn.XLOOKUP(A940,转单情况!A:A,转单情况!B:B)</f>
        <v>SW</v>
      </c>
      <c r="G940" s="28">
        <f>ROUND(_xlfn.XLOOKUP(A940,全量!A:A,全量!B:B,0)/7,1)</f>
        <v>0.1</v>
      </c>
      <c r="H940" s="2">
        <f>ROUND(_xlfn.XLOOKUP(A940,AE!A:A,AE!B:B,0)/7,1)</f>
        <v>0</v>
      </c>
      <c r="I940" s="2" t="str">
        <f>_xlfn.XLOOKUP(A940,SWFTX邮编覆盖!A:A,SWFTX邮编覆盖!B:B,"否")</f>
        <v>是</v>
      </c>
      <c r="J940" s="2" t="str">
        <f>_xlfn.XLOOKUP(A940,YW邮编覆盖!A:A,YW邮编覆盖!B:B,"否")</f>
        <v>是</v>
      </c>
    </row>
    <row r="941" spans="1:10" hidden="1">
      <c r="A941" s="3">
        <v>92009</v>
      </c>
      <c r="B941" s="1" t="s">
        <v>69</v>
      </c>
      <c r="C941" s="2" t="str">
        <f>_xlfn.XLOOKUP(B941,线路DSP对应!A:A,线路DSP对应!B:B)</f>
        <v>STA_SD_FastShip</v>
      </c>
      <c r="D941" s="4" t="s">
        <v>151</v>
      </c>
      <c r="E941" s="2" t="str">
        <f>_xlfn.XLOOKUP(A941,转单情况!A:A,转单情况!B:B)</f>
        <v>SW</v>
      </c>
      <c r="G941" s="28">
        <f>ROUND(_xlfn.XLOOKUP(A941,全量!A:A,全量!B:B,0)/7,1)</f>
        <v>0.6</v>
      </c>
      <c r="H941" s="2">
        <f>ROUND(_xlfn.XLOOKUP(A941,AE!A:A,AE!B:B,0)/7,1)</f>
        <v>0</v>
      </c>
      <c r="I941" s="2" t="str">
        <f>_xlfn.XLOOKUP(A941,SWFTX邮编覆盖!A:A,SWFTX邮编覆盖!B:B,"否")</f>
        <v>是</v>
      </c>
      <c r="J941" s="2" t="str">
        <f>_xlfn.XLOOKUP(A941,YW邮编覆盖!A:A,YW邮编覆盖!B:B,"否")</f>
        <v>是</v>
      </c>
    </row>
    <row r="942" spans="1:10" hidden="1">
      <c r="A942" s="3">
        <v>92010</v>
      </c>
      <c r="B942" s="1" t="s">
        <v>69</v>
      </c>
      <c r="C942" s="2" t="str">
        <f>_xlfn.XLOOKUP(B942,线路DSP对应!A:A,线路DSP对应!B:B)</f>
        <v>STA_SD_FastShip</v>
      </c>
      <c r="D942" s="4" t="s">
        <v>151</v>
      </c>
      <c r="E942" s="2" t="str">
        <f>_xlfn.XLOOKUP(A942,转单情况!A:A,转单情况!B:B)</f>
        <v>SW</v>
      </c>
      <c r="G942" s="28">
        <f>ROUND(_xlfn.XLOOKUP(A942,全量!A:A,全量!B:B,0)/7,1)</f>
        <v>5.7</v>
      </c>
      <c r="H942" s="2">
        <f>ROUND(_xlfn.XLOOKUP(A942,AE!A:A,AE!B:B,0)/7,1)</f>
        <v>5.6</v>
      </c>
      <c r="I942" s="2" t="str">
        <f>_xlfn.XLOOKUP(A942,SWFTX邮编覆盖!A:A,SWFTX邮编覆盖!B:B,"否")</f>
        <v>是</v>
      </c>
      <c r="J942" s="2" t="str">
        <f>_xlfn.XLOOKUP(A942,YW邮编覆盖!A:A,YW邮编覆盖!B:B,"否")</f>
        <v>是</v>
      </c>
    </row>
    <row r="943" spans="1:10" hidden="1">
      <c r="A943" s="3">
        <v>92011</v>
      </c>
      <c r="B943" s="1" t="s">
        <v>69</v>
      </c>
      <c r="C943" s="2" t="str">
        <f>_xlfn.XLOOKUP(B943,线路DSP对应!A:A,线路DSP对应!B:B)</f>
        <v>STA_SD_FastShip</v>
      </c>
      <c r="D943" s="4" t="s">
        <v>151</v>
      </c>
      <c r="E943" s="2" t="str">
        <f>_xlfn.XLOOKUP(A943,转单情况!A:A,转单情况!B:B)</f>
        <v>SW</v>
      </c>
      <c r="G943" s="28">
        <f>ROUND(_xlfn.XLOOKUP(A943,全量!A:A,全量!B:B,0)/7,1)</f>
        <v>0.3</v>
      </c>
      <c r="H943" s="2">
        <f>ROUND(_xlfn.XLOOKUP(A943,AE!A:A,AE!B:B,0)/7,1)</f>
        <v>0</v>
      </c>
      <c r="I943" s="2" t="str">
        <f>_xlfn.XLOOKUP(A943,SWFTX邮编覆盖!A:A,SWFTX邮编覆盖!B:B,"否")</f>
        <v>是</v>
      </c>
      <c r="J943" s="2" t="str">
        <f>_xlfn.XLOOKUP(A943,YW邮编覆盖!A:A,YW邮编覆盖!B:B,"否")</f>
        <v>是</v>
      </c>
    </row>
    <row r="944" spans="1:10" hidden="1">
      <c r="A944" s="3">
        <v>92069</v>
      </c>
      <c r="B944" s="1" t="s">
        <v>69</v>
      </c>
      <c r="C944" s="2" t="str">
        <f>_xlfn.XLOOKUP(B944,线路DSP对应!A:A,线路DSP对应!B:B)</f>
        <v>STA_SD_FastShip</v>
      </c>
      <c r="D944" s="4" t="s">
        <v>151</v>
      </c>
      <c r="E944" s="2" t="str">
        <f>_xlfn.XLOOKUP(A944,转单情况!A:A,转单情况!B:B)</f>
        <v>SW</v>
      </c>
      <c r="G944" s="28">
        <f>ROUND(_xlfn.XLOOKUP(A944,全量!A:A,全量!B:B,0)/7,1)</f>
        <v>0.3</v>
      </c>
      <c r="H944" s="2">
        <f>ROUND(_xlfn.XLOOKUP(A944,AE!A:A,AE!B:B,0)/7,1)</f>
        <v>0</v>
      </c>
      <c r="I944" s="2" t="str">
        <f>_xlfn.XLOOKUP(A944,SWFTX邮编覆盖!A:A,SWFTX邮编覆盖!B:B,"否")</f>
        <v>是</v>
      </c>
      <c r="J944" s="2" t="str">
        <f>_xlfn.XLOOKUP(A944,YW邮编覆盖!A:A,YW邮编覆盖!B:B,"否")</f>
        <v>是</v>
      </c>
    </row>
    <row r="945" spans="1:10" hidden="1">
      <c r="A945" s="3">
        <v>92078</v>
      </c>
      <c r="B945" s="1" t="s">
        <v>69</v>
      </c>
      <c r="C945" s="2" t="str">
        <f>_xlfn.XLOOKUP(B945,线路DSP对应!A:A,线路DSP对应!B:B)</f>
        <v>STA_SD_FastShip</v>
      </c>
      <c r="D945" s="4" t="s">
        <v>151</v>
      </c>
      <c r="E945" s="2" t="str">
        <f>_xlfn.XLOOKUP(A945,转单情况!A:A,转单情况!B:B)</f>
        <v>SW</v>
      </c>
      <c r="G945" s="28">
        <f>ROUND(_xlfn.XLOOKUP(A945,全量!A:A,全量!B:B,0)/7,1)</f>
        <v>0.4</v>
      </c>
      <c r="H945" s="2">
        <f>ROUND(_xlfn.XLOOKUP(A945,AE!A:A,AE!B:B,0)/7,1)</f>
        <v>0</v>
      </c>
      <c r="I945" s="2" t="str">
        <f>_xlfn.XLOOKUP(A945,SWFTX邮编覆盖!A:A,SWFTX邮编覆盖!B:B,"否")</f>
        <v>是</v>
      </c>
      <c r="J945" s="2" t="str">
        <f>_xlfn.XLOOKUP(A945,YW邮编覆盖!A:A,YW邮编覆盖!B:B,"否")</f>
        <v>是</v>
      </c>
    </row>
    <row r="946" spans="1:10" hidden="1">
      <c r="A946" s="3">
        <v>92096</v>
      </c>
      <c r="B946" s="1" t="s">
        <v>69</v>
      </c>
      <c r="C946" s="2" t="str">
        <f>_xlfn.XLOOKUP(B946,线路DSP对应!A:A,线路DSP对应!B:B)</f>
        <v>STA_SD_FastShip</v>
      </c>
      <c r="D946" s="4" t="s">
        <v>151</v>
      </c>
      <c r="E946" s="2" t="str">
        <f>_xlfn.XLOOKUP(A946,转单情况!A:A,转单情况!B:B)</f>
        <v>SW</v>
      </c>
      <c r="G946" s="28">
        <f>ROUND(_xlfn.XLOOKUP(A946,全量!A:A,全量!B:B,0)/7,1)</f>
        <v>0</v>
      </c>
      <c r="H946" s="2">
        <f>ROUND(_xlfn.XLOOKUP(A946,AE!A:A,AE!B:B,0)/7,1)</f>
        <v>0</v>
      </c>
      <c r="I946" s="2" t="str">
        <f>_xlfn.XLOOKUP(A946,SWFTX邮编覆盖!A:A,SWFTX邮编覆盖!B:B,"否")</f>
        <v>是</v>
      </c>
      <c r="J946" s="2" t="str">
        <f>_xlfn.XLOOKUP(A946,YW邮编覆盖!A:A,YW邮编覆盖!B:B,"否")</f>
        <v>是</v>
      </c>
    </row>
    <row r="947" spans="1:10" hidden="1">
      <c r="A947" s="3">
        <v>92110</v>
      </c>
      <c r="B947" s="1" t="s">
        <v>70</v>
      </c>
      <c r="C947" s="2" t="str">
        <f>_xlfn.XLOOKUP(B947,线路DSP对应!A:A,线路DSP对应!B:B)</f>
        <v>STA_LAX_FDE</v>
      </c>
      <c r="D947" s="4" t="s">
        <v>151</v>
      </c>
      <c r="E947" s="2" t="str">
        <f>_xlfn.XLOOKUP(A947,转单情况!A:A,转单情况!B:B)</f>
        <v>SW</v>
      </c>
      <c r="F947" s="29"/>
      <c r="G947" s="28">
        <f>ROUND(_xlfn.XLOOKUP(A947,全量!A:A,全量!B:B,0)/7,1)</f>
        <v>0.4</v>
      </c>
      <c r="H947" s="2">
        <f>ROUND(_xlfn.XLOOKUP(A947,AE!A:A,AE!B:B,0)/7,1)</f>
        <v>0</v>
      </c>
      <c r="I947" s="2" t="str">
        <f>_xlfn.XLOOKUP(A947,SWFTX邮编覆盖!A:A,SWFTX邮编覆盖!B:B,"否")</f>
        <v>是</v>
      </c>
      <c r="J947" s="2" t="str">
        <f>_xlfn.XLOOKUP(A947,YW邮编覆盖!A:A,YW邮编覆盖!B:B,"否")</f>
        <v>是</v>
      </c>
    </row>
    <row r="948" spans="1:10" hidden="1">
      <c r="A948" s="3">
        <v>92132</v>
      </c>
      <c r="B948" s="1" t="s">
        <v>70</v>
      </c>
      <c r="C948" s="2" t="str">
        <f>_xlfn.XLOOKUP(B948,线路DSP对应!A:A,线路DSP对应!B:B)</f>
        <v>STA_LAX_FDE</v>
      </c>
      <c r="D948" s="4" t="s">
        <v>151</v>
      </c>
      <c r="E948" s="2" t="str">
        <f>_xlfn.XLOOKUP(A948,转单情况!A:A,转单情况!B:B)</f>
        <v>否</v>
      </c>
      <c r="F948" s="2" t="s">
        <v>202</v>
      </c>
      <c r="G948" s="28">
        <f>ROUND(_xlfn.XLOOKUP(A948,全量!A:A,全量!B:B,0)/7,1)</f>
        <v>0</v>
      </c>
      <c r="H948" s="2">
        <f>ROUND(_xlfn.XLOOKUP(A948,AE!A:A,AE!B:B,0)/7,1)</f>
        <v>0</v>
      </c>
      <c r="I948" s="2" t="str">
        <f>_xlfn.XLOOKUP(A948,SWFTX邮编覆盖!A:A,SWFTX邮编覆盖!B:B,"否")</f>
        <v>否</v>
      </c>
      <c r="J948" s="2" t="str">
        <f>_xlfn.XLOOKUP(A948,YW邮编覆盖!A:A,YW邮编覆盖!B:B,"否")</f>
        <v>否</v>
      </c>
    </row>
    <row r="949" spans="1:10">
      <c r="A949" s="3">
        <v>92108</v>
      </c>
      <c r="B949" s="1" t="s">
        <v>70</v>
      </c>
      <c r="C949" s="2" t="str">
        <f>_xlfn.XLOOKUP(B949,线路DSP对应!A:A,线路DSP对应!B:B)</f>
        <v>STA_LAX_FDE</v>
      </c>
      <c r="D949" s="4" t="s">
        <v>151</v>
      </c>
      <c r="E949" s="2" t="str">
        <f>_xlfn.XLOOKUP(A949,转单情况!A:A,转单情况!B:B)</f>
        <v>YW</v>
      </c>
      <c r="G949" s="28">
        <f>ROUND(_xlfn.XLOOKUP(A949,全量!A:A,全量!B:B,0)/7,1)</f>
        <v>0.3</v>
      </c>
      <c r="H949" s="2">
        <f>ROUND(_xlfn.XLOOKUP(A949,AE!A:A,AE!B:B,0)/7,1)</f>
        <v>0</v>
      </c>
      <c r="I949" s="2" t="str">
        <f>_xlfn.XLOOKUP(A949,SWFTX邮编覆盖!A:A,SWFTX邮编覆盖!B:B,"否")</f>
        <v>否</v>
      </c>
      <c r="J949" s="2" t="str">
        <f>_xlfn.XLOOKUP(A949,YW邮编覆盖!A:A,YW邮编覆盖!B:B,"否")</f>
        <v>是</v>
      </c>
    </row>
    <row r="950" spans="1:10" hidden="1">
      <c r="A950" s="3">
        <v>92101</v>
      </c>
      <c r="B950" s="1" t="s">
        <v>70</v>
      </c>
      <c r="C950" s="2" t="str">
        <f>_xlfn.XLOOKUP(B950,线路DSP对应!A:A,线路DSP对应!B:B)</f>
        <v>STA_LAX_FDE</v>
      </c>
      <c r="D950" s="4" t="s">
        <v>151</v>
      </c>
      <c r="E950" s="2" t="str">
        <f>_xlfn.XLOOKUP(A950,转单情况!A:A,转单情况!B:B)</f>
        <v>SW</v>
      </c>
      <c r="G950" s="28">
        <f>ROUND(_xlfn.XLOOKUP(A950,全量!A:A,全量!B:B,0)/7,1)</f>
        <v>0.6</v>
      </c>
      <c r="H950" s="2">
        <f>ROUND(_xlfn.XLOOKUP(A950,AE!A:A,AE!B:B,0)/7,1)</f>
        <v>0</v>
      </c>
      <c r="I950" s="2" t="str">
        <f>_xlfn.XLOOKUP(A950,SWFTX邮编覆盖!A:A,SWFTX邮编覆盖!B:B,"否")</f>
        <v>是</v>
      </c>
      <c r="J950" s="2" t="str">
        <f>_xlfn.XLOOKUP(A950,YW邮编覆盖!A:A,YW邮编覆盖!B:B,"否")</f>
        <v>否</v>
      </c>
    </row>
    <row r="951" spans="1:10" hidden="1">
      <c r="A951" s="3">
        <v>92134</v>
      </c>
      <c r="B951" s="1" t="s">
        <v>70</v>
      </c>
      <c r="C951" s="2" t="str">
        <f>_xlfn.XLOOKUP(B951,线路DSP对应!A:A,线路DSP对应!B:B)</f>
        <v>STA_LAX_FDE</v>
      </c>
      <c r="D951" s="4" t="s">
        <v>151</v>
      </c>
      <c r="E951" s="2" t="str">
        <f>_xlfn.XLOOKUP(A951,转单情况!A:A,转单情况!B:B)</f>
        <v>否</v>
      </c>
      <c r="F951" s="2" t="s">
        <v>202</v>
      </c>
      <c r="G951" s="28">
        <f>ROUND(_xlfn.XLOOKUP(A951,全量!A:A,全量!B:B,0)/7,1)</f>
        <v>0</v>
      </c>
      <c r="H951" s="2">
        <f>ROUND(_xlfn.XLOOKUP(A951,AE!A:A,AE!B:B,0)/7,1)</f>
        <v>0</v>
      </c>
      <c r="I951" s="2" t="str">
        <f>_xlfn.XLOOKUP(A951,SWFTX邮编覆盖!A:A,SWFTX邮编覆盖!B:B,"否")</f>
        <v>否</v>
      </c>
      <c r="J951" s="2" t="str">
        <f>_xlfn.XLOOKUP(A951,YW邮编覆盖!A:A,YW邮编覆盖!B:B,"否")</f>
        <v>否</v>
      </c>
    </row>
    <row r="952" spans="1:10" hidden="1">
      <c r="A952" s="3">
        <v>92140</v>
      </c>
      <c r="B952" s="1" t="s">
        <v>70</v>
      </c>
      <c r="C952" s="2" t="str">
        <f>_xlfn.XLOOKUP(B952,线路DSP对应!A:A,线路DSP对应!B:B)</f>
        <v>STA_LAX_FDE</v>
      </c>
      <c r="D952" s="4" t="s">
        <v>151</v>
      </c>
      <c r="E952" s="2" t="str">
        <f>_xlfn.XLOOKUP(A952,转单情况!A:A,转单情况!B:B)</f>
        <v>SW</v>
      </c>
      <c r="G952" s="28">
        <f>ROUND(_xlfn.XLOOKUP(A952,全量!A:A,全量!B:B,0)/7,1)</f>
        <v>0</v>
      </c>
      <c r="H952" s="2">
        <f>ROUND(_xlfn.XLOOKUP(A952,AE!A:A,AE!B:B,0)/7,1)</f>
        <v>0</v>
      </c>
      <c r="I952" s="2" t="str">
        <f>_xlfn.XLOOKUP(A952,SWFTX邮编覆盖!A:A,SWFTX邮编覆盖!B:B,"否")</f>
        <v>是</v>
      </c>
      <c r="J952" s="2" t="str">
        <f>_xlfn.XLOOKUP(A952,YW邮编覆盖!A:A,YW邮编覆盖!B:B,"否")</f>
        <v>否</v>
      </c>
    </row>
    <row r="953" spans="1:10" hidden="1">
      <c r="A953" s="3">
        <v>92103</v>
      </c>
      <c r="B953" s="1" t="s">
        <v>70</v>
      </c>
      <c r="C953" s="2" t="str">
        <f>_xlfn.XLOOKUP(B953,线路DSP对应!A:A,线路DSP对应!B:B)</f>
        <v>STA_LAX_FDE</v>
      </c>
      <c r="D953" s="4" t="s">
        <v>151</v>
      </c>
      <c r="E953" s="2" t="str">
        <f>_xlfn.XLOOKUP(A953,转单情况!A:A,转单情况!B:B)</f>
        <v>SW</v>
      </c>
      <c r="G953" s="28">
        <f>ROUND(_xlfn.XLOOKUP(A953,全量!A:A,全量!B:B,0)/7,1)</f>
        <v>0.3</v>
      </c>
      <c r="H953" s="2">
        <f>ROUND(_xlfn.XLOOKUP(A953,AE!A:A,AE!B:B,0)/7,1)</f>
        <v>0</v>
      </c>
      <c r="I953" s="2" t="str">
        <f>_xlfn.XLOOKUP(A953,SWFTX邮编覆盖!A:A,SWFTX邮编覆盖!B:B,"否")</f>
        <v>是</v>
      </c>
      <c r="J953" s="2" t="str">
        <f>_xlfn.XLOOKUP(A953,YW邮编覆盖!A:A,YW邮编覆盖!B:B,"否")</f>
        <v>是</v>
      </c>
    </row>
    <row r="954" spans="1:10" hidden="1">
      <c r="A954" s="3">
        <v>92104</v>
      </c>
      <c r="B954" s="1" t="s">
        <v>70</v>
      </c>
      <c r="C954" s="2" t="str">
        <f>_xlfn.XLOOKUP(B954,线路DSP对应!A:A,线路DSP对应!B:B)</f>
        <v>STA_LAX_FDE</v>
      </c>
      <c r="D954" s="4" t="s">
        <v>151</v>
      </c>
      <c r="E954" s="2" t="str">
        <f>_xlfn.XLOOKUP(A954,转单情况!A:A,转单情况!B:B)</f>
        <v>SW</v>
      </c>
      <c r="F954" s="29"/>
      <c r="G954" s="28">
        <f>ROUND(_xlfn.XLOOKUP(A954,全量!A:A,全量!B:B,0)/7,1)</f>
        <v>0.4</v>
      </c>
      <c r="H954" s="2">
        <f>ROUND(_xlfn.XLOOKUP(A954,AE!A:A,AE!B:B,0)/7,1)</f>
        <v>0</v>
      </c>
      <c r="I954" s="2" t="str">
        <f>_xlfn.XLOOKUP(A954,SWFTX邮编覆盖!A:A,SWFTX邮编覆盖!B:B,"否")</f>
        <v>是</v>
      </c>
      <c r="J954" s="2" t="str">
        <f>_xlfn.XLOOKUP(A954,YW邮编覆盖!A:A,YW邮编覆盖!B:B,"否")</f>
        <v>是</v>
      </c>
    </row>
    <row r="955" spans="1:10" hidden="1">
      <c r="A955" s="3">
        <v>92116</v>
      </c>
      <c r="B955" s="1" t="s">
        <v>70</v>
      </c>
      <c r="C955" s="2" t="str">
        <f>_xlfn.XLOOKUP(B955,线路DSP对应!A:A,线路DSP对应!B:B)</f>
        <v>STA_LAX_FDE</v>
      </c>
      <c r="D955" s="4" t="s">
        <v>151</v>
      </c>
      <c r="E955" s="2" t="str">
        <f>_xlfn.XLOOKUP(A955,转单情况!A:A,转单情况!B:B)</f>
        <v>SW</v>
      </c>
      <c r="F955" s="29"/>
      <c r="G955" s="28">
        <f>ROUND(_xlfn.XLOOKUP(A955,全量!A:A,全量!B:B,0)/7,1)</f>
        <v>0.3</v>
      </c>
      <c r="H955" s="2">
        <f>ROUND(_xlfn.XLOOKUP(A955,AE!A:A,AE!B:B,0)/7,1)</f>
        <v>0</v>
      </c>
      <c r="I955" s="2" t="str">
        <f>_xlfn.XLOOKUP(A955,SWFTX邮编覆盖!A:A,SWFTX邮编覆盖!B:B,"否")</f>
        <v>是</v>
      </c>
      <c r="J955" s="2" t="str">
        <f>_xlfn.XLOOKUP(A955,YW邮编覆盖!A:A,YW邮编覆盖!B:B,"否")</f>
        <v>是</v>
      </c>
    </row>
    <row r="956" spans="1:10" hidden="1">
      <c r="A956" s="3">
        <v>92105</v>
      </c>
      <c r="B956" s="1" t="s">
        <v>70</v>
      </c>
      <c r="C956" s="2" t="str">
        <f>_xlfn.XLOOKUP(B956,线路DSP对应!A:A,线路DSP对应!B:B)</f>
        <v>STA_LAX_FDE</v>
      </c>
      <c r="D956" s="4" t="s">
        <v>151</v>
      </c>
      <c r="E956" s="2" t="str">
        <f>_xlfn.XLOOKUP(A956,转单情况!A:A,转单情况!B:B)</f>
        <v>SW</v>
      </c>
      <c r="F956" s="29"/>
      <c r="G956" s="28">
        <f>ROUND(_xlfn.XLOOKUP(A956,全量!A:A,全量!B:B,0)/7,1)</f>
        <v>0.7</v>
      </c>
      <c r="H956" s="2">
        <f>ROUND(_xlfn.XLOOKUP(A956,AE!A:A,AE!B:B,0)/7,1)</f>
        <v>0</v>
      </c>
      <c r="I956" s="2" t="str">
        <f>_xlfn.XLOOKUP(A956,SWFTX邮编覆盖!A:A,SWFTX邮编覆盖!B:B,"否")</f>
        <v>是</v>
      </c>
      <c r="J956" s="2" t="str">
        <f>_xlfn.XLOOKUP(A956,YW邮编覆盖!A:A,YW邮编覆盖!B:B,"否")</f>
        <v>是</v>
      </c>
    </row>
    <row r="957" spans="1:10" hidden="1">
      <c r="A957" s="3">
        <v>92115</v>
      </c>
      <c r="B957" s="1" t="s">
        <v>70</v>
      </c>
      <c r="C957" s="2" t="str">
        <f>_xlfn.XLOOKUP(B957,线路DSP对应!A:A,线路DSP对应!B:B)</f>
        <v>STA_LAX_FDE</v>
      </c>
      <c r="D957" s="4" t="s">
        <v>151</v>
      </c>
      <c r="E957" s="2" t="str">
        <f>_xlfn.XLOOKUP(A957,转单情况!A:A,转单情况!B:B)</f>
        <v>SW</v>
      </c>
      <c r="F957" s="29"/>
      <c r="G957" s="28">
        <f>ROUND(_xlfn.XLOOKUP(A957,全量!A:A,全量!B:B,0)/7,1)</f>
        <v>0.9</v>
      </c>
      <c r="H957" s="2">
        <f>ROUND(_xlfn.XLOOKUP(A957,AE!A:A,AE!B:B,0)/7,1)</f>
        <v>0</v>
      </c>
      <c r="I957" s="2" t="str">
        <f>_xlfn.XLOOKUP(A957,SWFTX邮编覆盖!A:A,SWFTX邮编覆盖!B:B,"否")</f>
        <v>是</v>
      </c>
      <c r="J957" s="2" t="str">
        <f>_xlfn.XLOOKUP(A957,YW邮编覆盖!A:A,YW邮编覆盖!B:B,"否")</f>
        <v>是</v>
      </c>
    </row>
    <row r="958" spans="1:10" hidden="1">
      <c r="A958" s="3">
        <v>92107</v>
      </c>
      <c r="B958" s="1" t="s">
        <v>75</v>
      </c>
      <c r="C958" s="2" t="str">
        <f>_xlfn.XLOOKUP(B958,线路DSP对应!A:A,线路DSP对应!B:B)</f>
        <v>STA_SD_FastShip</v>
      </c>
      <c r="D958" s="4" t="s">
        <v>151</v>
      </c>
      <c r="E958" s="2" t="str">
        <f>_xlfn.XLOOKUP(A958,转单情况!A:A,转单情况!B:B)</f>
        <v>SW</v>
      </c>
      <c r="F958" s="29"/>
      <c r="G958" s="28">
        <f>ROUND(_xlfn.XLOOKUP(A958,全量!A:A,全量!B:B,0)/7,1)</f>
        <v>0</v>
      </c>
      <c r="H958" s="2">
        <f>ROUND(_xlfn.XLOOKUP(A958,AE!A:A,AE!B:B,0)/7,1)</f>
        <v>0</v>
      </c>
      <c r="I958" s="2" t="str">
        <f>_xlfn.XLOOKUP(A958,SWFTX邮编覆盖!A:A,SWFTX邮编覆盖!B:B,"否")</f>
        <v>是</v>
      </c>
      <c r="J958" s="2" t="str">
        <f>_xlfn.XLOOKUP(A958,YW邮编覆盖!A:A,YW邮编覆盖!B:B,"否")</f>
        <v>是</v>
      </c>
    </row>
    <row r="959" spans="1:10" hidden="1">
      <c r="A959" s="3">
        <v>92147</v>
      </c>
      <c r="B959" s="1" t="s">
        <v>75</v>
      </c>
      <c r="C959" s="2" t="str">
        <f>_xlfn.XLOOKUP(B959,线路DSP对应!A:A,线路DSP对应!B:B)</f>
        <v>STA_SD_FastShip</v>
      </c>
      <c r="D959" s="4" t="s">
        <v>151</v>
      </c>
      <c r="E959" s="2" t="str">
        <f>_xlfn.XLOOKUP(A959,转单情况!A:A,转单情况!B:B)</f>
        <v>否</v>
      </c>
      <c r="F959" s="2" t="s">
        <v>202</v>
      </c>
      <c r="G959" s="28">
        <f>ROUND(_xlfn.XLOOKUP(A959,全量!A:A,全量!B:B,0)/7,1)</f>
        <v>0</v>
      </c>
      <c r="H959" s="2">
        <f>ROUND(_xlfn.XLOOKUP(A959,AE!A:A,AE!B:B,0)/7,1)</f>
        <v>0</v>
      </c>
      <c r="I959" s="2" t="str">
        <f>_xlfn.XLOOKUP(A959,SWFTX邮编覆盖!A:A,SWFTX邮编覆盖!B:B,"否")</f>
        <v>否</v>
      </c>
      <c r="J959" s="2" t="str">
        <f>_xlfn.XLOOKUP(A959,YW邮编覆盖!A:A,YW邮编覆盖!B:B,"否")</f>
        <v>否</v>
      </c>
    </row>
    <row r="960" spans="1:10" hidden="1">
      <c r="A960" s="3">
        <v>92106</v>
      </c>
      <c r="B960" s="1" t="s">
        <v>75</v>
      </c>
      <c r="C960" s="2" t="str">
        <f>_xlfn.XLOOKUP(B960,线路DSP对应!A:A,线路DSP对应!B:B)</f>
        <v>STA_SD_FastShip</v>
      </c>
      <c r="D960" s="4" t="s">
        <v>151</v>
      </c>
      <c r="E960" s="2" t="str">
        <f>_xlfn.XLOOKUP(A960,转单情况!A:A,转单情况!B:B)</f>
        <v>SW</v>
      </c>
      <c r="F960" s="29"/>
      <c r="G960" s="28">
        <f>ROUND(_xlfn.XLOOKUP(A960,全量!A:A,全量!B:B,0)/7,1)</f>
        <v>0.6</v>
      </c>
      <c r="H960" s="2">
        <f>ROUND(_xlfn.XLOOKUP(A960,AE!A:A,AE!B:B,0)/7,1)</f>
        <v>0</v>
      </c>
      <c r="I960" s="2" t="str">
        <f>_xlfn.XLOOKUP(A960,SWFTX邮编覆盖!A:A,SWFTX邮编覆盖!B:B,"否")</f>
        <v>是</v>
      </c>
      <c r="J960" s="2" t="str">
        <f>_xlfn.XLOOKUP(A960,YW邮编覆盖!A:A,YW邮编覆盖!B:B,"否")</f>
        <v>是</v>
      </c>
    </row>
    <row r="961" spans="1:10" hidden="1">
      <c r="A961" s="3">
        <v>92111</v>
      </c>
      <c r="B961" s="1" t="s">
        <v>75</v>
      </c>
      <c r="C961" s="2" t="str">
        <f>_xlfn.XLOOKUP(B961,线路DSP对应!A:A,线路DSP对应!B:B)</f>
        <v>STA_SD_FastShip</v>
      </c>
      <c r="D961" s="4" t="s">
        <v>151</v>
      </c>
      <c r="E961" s="2" t="str">
        <f>_xlfn.XLOOKUP(A961,转单情况!A:A,转单情况!B:B)</f>
        <v>SW</v>
      </c>
      <c r="F961" s="29"/>
      <c r="G961" s="28">
        <f>ROUND(_xlfn.XLOOKUP(A961,全量!A:A,全量!B:B,0)/7,1)</f>
        <v>0.3</v>
      </c>
      <c r="H961" s="2">
        <f>ROUND(_xlfn.XLOOKUP(A961,AE!A:A,AE!B:B,0)/7,1)</f>
        <v>0</v>
      </c>
      <c r="I961" s="2" t="str">
        <f>_xlfn.XLOOKUP(A961,SWFTX邮编覆盖!A:A,SWFTX邮编覆盖!B:B,"否")</f>
        <v>是</v>
      </c>
      <c r="J961" s="2" t="str">
        <f>_xlfn.XLOOKUP(A961,YW邮编覆盖!A:A,YW邮编覆盖!B:B,"否")</f>
        <v>是</v>
      </c>
    </row>
    <row r="962" spans="1:10" hidden="1">
      <c r="A962" s="3">
        <v>92117</v>
      </c>
      <c r="B962" s="1" t="s">
        <v>75</v>
      </c>
      <c r="C962" s="2" t="str">
        <f>_xlfn.XLOOKUP(B962,线路DSP对应!A:A,线路DSP对应!B:B)</f>
        <v>STA_SD_FastShip</v>
      </c>
      <c r="D962" s="4" t="s">
        <v>151</v>
      </c>
      <c r="E962" s="2" t="str">
        <f>_xlfn.XLOOKUP(A962,转单情况!A:A,转单情况!B:B)</f>
        <v>SW</v>
      </c>
      <c r="F962" s="29"/>
      <c r="G962" s="28">
        <f>ROUND(_xlfn.XLOOKUP(A962,全量!A:A,全量!B:B,0)/7,1)</f>
        <v>0.4</v>
      </c>
      <c r="H962" s="2">
        <f>ROUND(_xlfn.XLOOKUP(A962,AE!A:A,AE!B:B,0)/7,1)</f>
        <v>0</v>
      </c>
      <c r="I962" s="2" t="str">
        <f>_xlfn.XLOOKUP(A962,SWFTX邮编覆盖!A:A,SWFTX邮编覆盖!B:B,"否")</f>
        <v>是</v>
      </c>
      <c r="J962" s="2" t="str">
        <f>_xlfn.XLOOKUP(A962,YW邮编覆盖!A:A,YW邮编覆盖!B:B,"否")</f>
        <v>是</v>
      </c>
    </row>
    <row r="963" spans="1:10" hidden="1">
      <c r="A963" s="3">
        <v>92037</v>
      </c>
      <c r="B963" s="1" t="s">
        <v>76</v>
      </c>
      <c r="C963" s="2" t="str">
        <f>_xlfn.XLOOKUP(B963,线路DSP对应!A:A,线路DSP对应!B:B)</f>
        <v>STA_LAX_ChinaOcean</v>
      </c>
      <c r="D963" s="4" t="s">
        <v>151</v>
      </c>
      <c r="E963" s="2" t="str">
        <f>_xlfn.XLOOKUP(A963,转单情况!A:A,转单情况!B:B)</f>
        <v>SW</v>
      </c>
      <c r="G963" s="28">
        <f>ROUND(_xlfn.XLOOKUP(A963,全量!A:A,全量!B:B,0)/7,1)</f>
        <v>0.3</v>
      </c>
      <c r="H963" s="2">
        <f>ROUND(_xlfn.XLOOKUP(A963,AE!A:A,AE!B:B,0)/7,1)</f>
        <v>0</v>
      </c>
      <c r="I963" s="2" t="str">
        <f>_xlfn.XLOOKUP(A963,SWFTX邮编覆盖!A:A,SWFTX邮编覆盖!B:B,"否")</f>
        <v>是</v>
      </c>
      <c r="J963" s="2" t="str">
        <f>_xlfn.XLOOKUP(A963,YW邮编覆盖!A:A,YW邮编覆盖!B:B,"否")</f>
        <v>是</v>
      </c>
    </row>
    <row r="964" spans="1:10" hidden="1">
      <c r="A964" s="3">
        <v>92109</v>
      </c>
      <c r="B964" s="1" t="s">
        <v>76</v>
      </c>
      <c r="C964" s="2" t="str">
        <f>_xlfn.XLOOKUP(B964,线路DSP对应!A:A,线路DSP对应!B:B)</f>
        <v>STA_LAX_ChinaOcean</v>
      </c>
      <c r="D964" s="4" t="s">
        <v>151</v>
      </c>
      <c r="E964" s="2" t="str">
        <f>_xlfn.XLOOKUP(A964,转单情况!A:A,转单情况!B:B)</f>
        <v>SW</v>
      </c>
      <c r="G964" s="28">
        <f>ROUND(_xlfn.XLOOKUP(A964,全量!A:A,全量!B:B,0)/7,1)</f>
        <v>0.3</v>
      </c>
      <c r="H964" s="2">
        <f>ROUND(_xlfn.XLOOKUP(A964,AE!A:A,AE!B:B,0)/7,1)</f>
        <v>0</v>
      </c>
      <c r="I964" s="2" t="str">
        <f>_xlfn.XLOOKUP(A964,SWFTX邮编覆盖!A:A,SWFTX邮编覆盖!B:B,"否")</f>
        <v>是</v>
      </c>
      <c r="J964" s="2" t="str">
        <f>_xlfn.XLOOKUP(A964,YW邮编覆盖!A:A,YW邮编覆盖!B:B,"否")</f>
        <v>否</v>
      </c>
    </row>
    <row r="965" spans="1:10" hidden="1">
      <c r="A965" s="3">
        <v>92121</v>
      </c>
      <c r="B965" s="1" t="s">
        <v>76</v>
      </c>
      <c r="C965" s="2" t="str">
        <f>_xlfn.XLOOKUP(B965,线路DSP对应!A:A,线路DSP对应!B:B)</f>
        <v>STA_LAX_ChinaOcean</v>
      </c>
      <c r="D965" s="4" t="s">
        <v>151</v>
      </c>
      <c r="E965" s="2" t="str">
        <f>_xlfn.XLOOKUP(A965,转单情况!A:A,转单情况!B:B)</f>
        <v>SW</v>
      </c>
      <c r="G965" s="28">
        <f>ROUND(_xlfn.XLOOKUP(A965,全量!A:A,全量!B:B,0)/7,1)</f>
        <v>0.4</v>
      </c>
      <c r="H965" s="2">
        <f>ROUND(_xlfn.XLOOKUP(A965,AE!A:A,AE!B:B,0)/7,1)</f>
        <v>0</v>
      </c>
      <c r="I965" s="2" t="str">
        <f>_xlfn.XLOOKUP(A965,SWFTX邮编覆盖!A:A,SWFTX邮编覆盖!B:B,"否")</f>
        <v>是</v>
      </c>
      <c r="J965" s="2" t="str">
        <f>_xlfn.XLOOKUP(A965,YW邮编覆盖!A:A,YW邮编覆盖!B:B,"否")</f>
        <v>是</v>
      </c>
    </row>
    <row r="966" spans="1:10" hidden="1">
      <c r="A966" s="3">
        <v>92122</v>
      </c>
      <c r="B966" s="1" t="s">
        <v>76</v>
      </c>
      <c r="C966" s="2" t="str">
        <f>_xlfn.XLOOKUP(B966,线路DSP对应!A:A,线路DSP对应!B:B)</f>
        <v>STA_LAX_ChinaOcean</v>
      </c>
      <c r="D966" s="4" t="s">
        <v>151</v>
      </c>
      <c r="E966" s="2" t="str">
        <f>_xlfn.XLOOKUP(A966,转单情况!A:A,转单情况!B:B)</f>
        <v>SW</v>
      </c>
      <c r="G966" s="28">
        <f>ROUND(_xlfn.XLOOKUP(A966,全量!A:A,全量!B:B,0)/7,1)</f>
        <v>0.1</v>
      </c>
      <c r="H966" s="2">
        <f>ROUND(_xlfn.XLOOKUP(A966,AE!A:A,AE!B:B,0)/7,1)</f>
        <v>0</v>
      </c>
      <c r="I966" s="2" t="str">
        <f>_xlfn.XLOOKUP(A966,SWFTX邮编覆盖!A:A,SWFTX邮编覆盖!B:B,"否")</f>
        <v>是</v>
      </c>
      <c r="J966" s="2" t="str">
        <f>_xlfn.XLOOKUP(A966,YW邮编覆盖!A:A,YW邮编覆盖!B:B,"否")</f>
        <v>是</v>
      </c>
    </row>
    <row r="967" spans="1:10" hidden="1">
      <c r="A967" s="3">
        <v>92092</v>
      </c>
      <c r="B967" s="1" t="s">
        <v>76</v>
      </c>
      <c r="C967" s="2" t="str">
        <f>_xlfn.XLOOKUP(B967,线路DSP对应!A:A,线路DSP对应!B:B)</f>
        <v>STA_LAX_ChinaOcean</v>
      </c>
      <c r="D967" s="4" t="s">
        <v>151</v>
      </c>
      <c r="E967" s="2" t="str">
        <f>_xlfn.XLOOKUP(A967,转单情况!A:A,转单情况!B:B)</f>
        <v>SW</v>
      </c>
      <c r="G967" s="28">
        <f>ROUND(_xlfn.XLOOKUP(A967,全量!A:A,全量!B:B,0)/7,1)</f>
        <v>1.3</v>
      </c>
      <c r="H967" s="2">
        <f>ROUND(_xlfn.XLOOKUP(A967,AE!A:A,AE!B:B,0)/7,1)</f>
        <v>1.3</v>
      </c>
      <c r="I967" s="2" t="str">
        <f>_xlfn.XLOOKUP(A967,SWFTX邮编覆盖!A:A,SWFTX邮编覆盖!B:B,"否")</f>
        <v>是</v>
      </c>
      <c r="J967" s="2" t="str">
        <f>_xlfn.XLOOKUP(A967,YW邮编覆盖!A:A,YW邮编覆盖!B:B,"否")</f>
        <v>是</v>
      </c>
    </row>
    <row r="968" spans="1:10" hidden="1">
      <c r="A968" s="3">
        <v>92093</v>
      </c>
      <c r="B968" s="1" t="s">
        <v>76</v>
      </c>
      <c r="C968" s="2" t="str">
        <f>_xlfn.XLOOKUP(B968,线路DSP对应!A:A,线路DSP对应!B:B)</f>
        <v>STA_LAX_ChinaOcean</v>
      </c>
      <c r="D968" s="4" t="s">
        <v>151</v>
      </c>
      <c r="E968" s="2" t="str">
        <f>_xlfn.XLOOKUP(A968,转单情况!A:A,转单情况!B:B)</f>
        <v>SW</v>
      </c>
      <c r="G968" s="28">
        <f>ROUND(_xlfn.XLOOKUP(A968,全量!A:A,全量!B:B,0)/7,1)</f>
        <v>0.1</v>
      </c>
      <c r="H968" s="2">
        <f>ROUND(_xlfn.XLOOKUP(A968,AE!A:A,AE!B:B,0)/7,1)</f>
        <v>0.1</v>
      </c>
      <c r="I968" s="2" t="str">
        <f>_xlfn.XLOOKUP(A968,SWFTX邮编覆盖!A:A,SWFTX邮编覆盖!B:B,"否")</f>
        <v>是</v>
      </c>
      <c r="J968" s="2" t="str">
        <f>_xlfn.XLOOKUP(A968,YW邮编覆盖!A:A,YW邮编覆盖!B:B,"否")</f>
        <v>是</v>
      </c>
    </row>
    <row r="969" spans="1:10" hidden="1">
      <c r="A969" s="3">
        <v>92126</v>
      </c>
      <c r="B969" s="1" t="s">
        <v>77</v>
      </c>
      <c r="C969" s="2" t="str">
        <f>_xlfn.XLOOKUP(B969,线路DSP对应!A:A,线路DSP对应!B:B)</f>
        <v>STA_LAX_FDE</v>
      </c>
      <c r="D969" s="4" t="s">
        <v>151</v>
      </c>
      <c r="E969" s="2" t="str">
        <f>_xlfn.XLOOKUP(A969,转单情况!A:A,转单情况!B:B)</f>
        <v>否</v>
      </c>
      <c r="G969" s="28">
        <f>ROUND(_xlfn.XLOOKUP(A969,全量!A:A,全量!B:B,0)/7,1)</f>
        <v>0.9</v>
      </c>
      <c r="H969" s="2">
        <f>ROUND(_xlfn.XLOOKUP(A969,AE!A:A,AE!B:B,0)/7,1)</f>
        <v>0</v>
      </c>
      <c r="I969" s="2" t="str">
        <f>_xlfn.XLOOKUP(A969,SWFTX邮编覆盖!A:A,SWFTX邮编覆盖!B:B,"否")</f>
        <v>是</v>
      </c>
      <c r="J969" s="2" t="str">
        <f>_xlfn.XLOOKUP(A969,YW邮编覆盖!A:A,YW邮编覆盖!B:B,"否")</f>
        <v>是</v>
      </c>
    </row>
    <row r="970" spans="1:10" hidden="1">
      <c r="A970" s="3">
        <v>92129</v>
      </c>
      <c r="B970" s="1" t="s">
        <v>77</v>
      </c>
      <c r="C970" s="2" t="str">
        <f>_xlfn.XLOOKUP(B970,线路DSP对应!A:A,线路DSP对应!B:B)</f>
        <v>STA_LAX_FDE</v>
      </c>
      <c r="D970" s="4" t="s">
        <v>151</v>
      </c>
      <c r="E970" s="2" t="str">
        <f>_xlfn.XLOOKUP(A970,转单情况!A:A,转单情况!B:B)</f>
        <v>否</v>
      </c>
      <c r="G970" s="28">
        <f>ROUND(_xlfn.XLOOKUP(A970,全量!A:A,全量!B:B,0)/7,1)</f>
        <v>0.4</v>
      </c>
      <c r="H970" s="2">
        <f>ROUND(_xlfn.XLOOKUP(A970,AE!A:A,AE!B:B,0)/7,1)</f>
        <v>0</v>
      </c>
      <c r="I970" s="2" t="str">
        <f>_xlfn.XLOOKUP(A970,SWFTX邮编覆盖!A:A,SWFTX邮编覆盖!B:B,"否")</f>
        <v>是</v>
      </c>
      <c r="J970" s="2" t="str">
        <f>_xlfn.XLOOKUP(A970,YW邮编覆盖!A:A,YW邮编覆盖!B:B,"否")</f>
        <v>是</v>
      </c>
    </row>
    <row r="971" spans="1:10" hidden="1">
      <c r="A971" s="3">
        <v>92131</v>
      </c>
      <c r="B971" s="1" t="s">
        <v>77</v>
      </c>
      <c r="C971" s="2" t="str">
        <f>_xlfn.XLOOKUP(B971,线路DSP对应!A:A,线路DSP对应!B:B)</f>
        <v>STA_LAX_FDE</v>
      </c>
      <c r="D971" s="4" t="s">
        <v>151</v>
      </c>
      <c r="E971" s="2" t="str">
        <f>_xlfn.XLOOKUP(A971,转单情况!A:A,转单情况!B:B)</f>
        <v>否</v>
      </c>
      <c r="G971" s="28">
        <f>ROUND(_xlfn.XLOOKUP(A971,全量!A:A,全量!B:B,0)/7,1)</f>
        <v>0</v>
      </c>
      <c r="H971" s="2">
        <f>ROUND(_xlfn.XLOOKUP(A971,AE!A:A,AE!B:B,0)/7,1)</f>
        <v>0</v>
      </c>
      <c r="I971" s="2" t="str">
        <f>_xlfn.XLOOKUP(A971,SWFTX邮编覆盖!A:A,SWFTX邮编覆盖!B:B,"否")</f>
        <v>是</v>
      </c>
      <c r="J971" s="2" t="str">
        <f>_xlfn.XLOOKUP(A971,YW邮编覆盖!A:A,YW邮编覆盖!B:B,"否")</f>
        <v>否</v>
      </c>
    </row>
    <row r="972" spans="1:10" hidden="1">
      <c r="A972" s="3">
        <v>92130</v>
      </c>
      <c r="B972" s="1" t="s">
        <v>77</v>
      </c>
      <c r="C972" s="2" t="str">
        <f>_xlfn.XLOOKUP(B972,线路DSP对应!A:A,线路DSP对应!B:B)</f>
        <v>STA_LAX_FDE</v>
      </c>
      <c r="D972" s="4" t="s">
        <v>151</v>
      </c>
      <c r="E972" s="2" t="str">
        <f>_xlfn.XLOOKUP(A972,转单情况!A:A,转单情况!B:B)</f>
        <v>否</v>
      </c>
      <c r="G972" s="28">
        <f>ROUND(_xlfn.XLOOKUP(A972,全量!A:A,全量!B:B,0)/7,1)</f>
        <v>1.3</v>
      </c>
      <c r="H972" s="2">
        <f>ROUND(_xlfn.XLOOKUP(A972,AE!A:A,AE!B:B,0)/7,1)</f>
        <v>0</v>
      </c>
      <c r="I972" s="2" t="str">
        <f>_xlfn.XLOOKUP(A972,SWFTX邮编覆盖!A:A,SWFTX邮编覆盖!B:B,"否")</f>
        <v>是</v>
      </c>
      <c r="J972" s="2" t="str">
        <f>_xlfn.XLOOKUP(A972,YW邮编覆盖!A:A,YW邮编覆盖!B:B,"否")</f>
        <v>是</v>
      </c>
    </row>
    <row r="973" spans="1:10" hidden="1">
      <c r="A973" s="3">
        <v>92014</v>
      </c>
      <c r="B973" s="1" t="s">
        <v>77</v>
      </c>
      <c r="C973" s="2" t="str">
        <f>_xlfn.XLOOKUP(B973,线路DSP对应!A:A,线路DSP对应!B:B)</f>
        <v>STA_LAX_FDE</v>
      </c>
      <c r="D973" s="4" t="s">
        <v>151</v>
      </c>
      <c r="E973" s="2" t="str">
        <f>_xlfn.XLOOKUP(A973,转单情况!A:A,转单情况!B:B)</f>
        <v>SW</v>
      </c>
      <c r="G973" s="28">
        <f>ROUND(_xlfn.XLOOKUP(A973,全量!A:A,全量!B:B,0)/7,1)</f>
        <v>0.1</v>
      </c>
      <c r="H973" s="2">
        <f>ROUND(_xlfn.XLOOKUP(A973,AE!A:A,AE!B:B,0)/7,1)</f>
        <v>0</v>
      </c>
      <c r="I973" s="2" t="str">
        <f>_xlfn.XLOOKUP(A973,SWFTX邮编覆盖!A:A,SWFTX邮编覆盖!B:B,"否")</f>
        <v>是</v>
      </c>
      <c r="J973" s="2" t="str">
        <f>_xlfn.XLOOKUP(A973,YW邮编覆盖!A:A,YW邮编覆盖!B:B,"否")</f>
        <v>是</v>
      </c>
    </row>
    <row r="974" spans="1:10" hidden="1">
      <c r="A974" s="3">
        <v>92075</v>
      </c>
      <c r="B974" s="1" t="s">
        <v>77</v>
      </c>
      <c r="C974" s="2" t="str">
        <f>_xlfn.XLOOKUP(B974,线路DSP对应!A:A,线路DSP对应!B:B)</f>
        <v>STA_LAX_FDE</v>
      </c>
      <c r="D974" s="4" t="s">
        <v>151</v>
      </c>
      <c r="E974" s="2" t="str">
        <f>_xlfn.XLOOKUP(A974,转单情况!A:A,转单情况!B:B)</f>
        <v>SW</v>
      </c>
      <c r="G974" s="28">
        <f>ROUND(_xlfn.XLOOKUP(A974,全量!A:A,全量!B:B,0)/7,1)</f>
        <v>0.3</v>
      </c>
      <c r="H974" s="2">
        <f>ROUND(_xlfn.XLOOKUP(A974,AE!A:A,AE!B:B,0)/7,1)</f>
        <v>0</v>
      </c>
      <c r="I974" s="2" t="str">
        <f>_xlfn.XLOOKUP(A974,SWFTX邮编覆盖!A:A,SWFTX邮编覆盖!B:B,"否")</f>
        <v>是</v>
      </c>
      <c r="J974" s="2" t="str">
        <f>_xlfn.XLOOKUP(A974,YW邮编覆盖!A:A,YW邮编覆盖!B:B,"否")</f>
        <v>是</v>
      </c>
    </row>
    <row r="975" spans="1:10" hidden="1">
      <c r="A975" s="3">
        <v>92067</v>
      </c>
      <c r="B975" s="1" t="s">
        <v>77</v>
      </c>
      <c r="C975" s="2" t="str">
        <f>_xlfn.XLOOKUP(B975,线路DSP对应!A:A,线路DSP对应!B:B)</f>
        <v>STA_LAX_FDE</v>
      </c>
      <c r="D975" s="4" t="s">
        <v>151</v>
      </c>
      <c r="E975" s="2" t="str">
        <f>_xlfn.XLOOKUP(A975,转单情况!A:A,转单情况!B:B)</f>
        <v>SW</v>
      </c>
      <c r="G975" s="28">
        <f>ROUND(_xlfn.XLOOKUP(A975,全量!A:A,全量!B:B,0)/7,1)</f>
        <v>0</v>
      </c>
      <c r="H975" s="2">
        <f>ROUND(_xlfn.XLOOKUP(A975,AE!A:A,AE!B:B,0)/7,1)</f>
        <v>0</v>
      </c>
      <c r="I975" s="2" t="str">
        <f>_xlfn.XLOOKUP(A975,SWFTX邮编覆盖!A:A,SWFTX邮编覆盖!B:B,"否")</f>
        <v>是</v>
      </c>
      <c r="J975" s="2" t="str">
        <f>_xlfn.XLOOKUP(A975,YW邮编覆盖!A:A,YW邮编覆盖!B:B,"否")</f>
        <v>是</v>
      </c>
    </row>
    <row r="976" spans="1:10" hidden="1">
      <c r="A976" s="3">
        <v>92091</v>
      </c>
      <c r="B976" s="1" t="s">
        <v>77</v>
      </c>
      <c r="C976" s="2" t="str">
        <f>_xlfn.XLOOKUP(B976,线路DSP对应!A:A,线路DSP对应!B:B)</f>
        <v>STA_LAX_FDE</v>
      </c>
      <c r="D976" s="4" t="s">
        <v>151</v>
      </c>
      <c r="E976" s="2" t="str">
        <f>_xlfn.XLOOKUP(A976,转单情况!A:A,转单情况!B:B)</f>
        <v>SW</v>
      </c>
      <c r="G976" s="28">
        <f>ROUND(_xlfn.XLOOKUP(A976,全量!A:A,全量!B:B,0)/7,1)</f>
        <v>0</v>
      </c>
      <c r="H976" s="2">
        <f>ROUND(_xlfn.XLOOKUP(A976,AE!A:A,AE!B:B,0)/7,1)</f>
        <v>0</v>
      </c>
      <c r="I976" s="2" t="str">
        <f>_xlfn.XLOOKUP(A976,SWFTX邮编覆盖!A:A,SWFTX邮编覆盖!B:B,"否")</f>
        <v>是</v>
      </c>
      <c r="J976" s="2" t="str">
        <f>_xlfn.XLOOKUP(A976,YW邮编覆盖!A:A,YW邮编覆盖!B:B,"否")</f>
        <v>是</v>
      </c>
    </row>
    <row r="977" spans="1:10" hidden="1">
      <c r="A977" s="3">
        <v>92025</v>
      </c>
      <c r="B977" s="1" t="s">
        <v>78</v>
      </c>
      <c r="C977" s="2" t="str">
        <f>_xlfn.XLOOKUP(B977,线路DSP对应!A:A,线路DSP对应!B:B)</f>
        <v>STA_LAX_FDE</v>
      </c>
      <c r="D977" s="4" t="s">
        <v>151</v>
      </c>
      <c r="E977" s="2" t="str">
        <f>_xlfn.XLOOKUP(A977,转单情况!A:A,转单情况!B:B)</f>
        <v>SW</v>
      </c>
      <c r="G977" s="28">
        <f>ROUND(_xlfn.XLOOKUP(A977,全量!A:A,全量!B:B,0)/7,1)</f>
        <v>1</v>
      </c>
      <c r="H977" s="2">
        <f>ROUND(_xlfn.XLOOKUP(A977,AE!A:A,AE!B:B,0)/7,1)</f>
        <v>0</v>
      </c>
      <c r="I977" s="2" t="str">
        <f>_xlfn.XLOOKUP(A977,SWFTX邮编覆盖!A:A,SWFTX邮编覆盖!B:B,"否")</f>
        <v>是</v>
      </c>
      <c r="J977" s="2" t="str">
        <f>_xlfn.XLOOKUP(A977,YW邮编覆盖!A:A,YW邮编覆盖!B:B,"否")</f>
        <v>是</v>
      </c>
    </row>
    <row r="978" spans="1:10" hidden="1">
      <c r="A978" s="3">
        <v>92026</v>
      </c>
      <c r="B978" s="1" t="s">
        <v>78</v>
      </c>
      <c r="C978" s="2" t="str">
        <f>_xlfn.XLOOKUP(B978,线路DSP对应!A:A,线路DSP对应!B:B)</f>
        <v>STA_LAX_FDE</v>
      </c>
      <c r="D978" s="4" t="s">
        <v>151</v>
      </c>
      <c r="E978" s="2" t="str">
        <f>_xlfn.XLOOKUP(A978,转单情况!A:A,转单情况!B:B)</f>
        <v>否</v>
      </c>
      <c r="G978" s="28">
        <f>ROUND(_xlfn.XLOOKUP(A978,全量!A:A,全量!B:B,0)/7,1)</f>
        <v>10.9</v>
      </c>
      <c r="H978" s="2">
        <f>ROUND(_xlfn.XLOOKUP(A978,AE!A:A,AE!B:B,0)/7,1)</f>
        <v>0</v>
      </c>
      <c r="I978" s="2" t="str">
        <f>_xlfn.XLOOKUP(A978,SWFTX邮编覆盖!A:A,SWFTX邮编覆盖!B:B,"否")</f>
        <v>否</v>
      </c>
      <c r="J978" s="2" t="str">
        <f>_xlfn.XLOOKUP(A978,YW邮编覆盖!A:A,YW邮编覆盖!B:B,"否")</f>
        <v>否</v>
      </c>
    </row>
    <row r="979" spans="1:10" hidden="1">
      <c r="A979" s="3">
        <v>92027</v>
      </c>
      <c r="B979" s="1" t="s">
        <v>78</v>
      </c>
      <c r="C979" s="2" t="str">
        <f>_xlfn.XLOOKUP(B979,线路DSP对应!A:A,线路DSP对应!B:B)</f>
        <v>STA_LAX_FDE</v>
      </c>
      <c r="D979" s="4" t="s">
        <v>151</v>
      </c>
      <c r="E979" s="2" t="str">
        <f>_xlfn.XLOOKUP(A979,转单情况!A:A,转单情况!B:B)</f>
        <v>SW</v>
      </c>
      <c r="G979" s="28">
        <f>ROUND(_xlfn.XLOOKUP(A979,全量!A:A,全量!B:B,0)/7,1)</f>
        <v>0.7</v>
      </c>
      <c r="H979" s="2">
        <f>ROUND(_xlfn.XLOOKUP(A979,AE!A:A,AE!B:B,0)/7,1)</f>
        <v>0</v>
      </c>
      <c r="I979" s="2" t="str">
        <f>_xlfn.XLOOKUP(A979,SWFTX邮编覆盖!A:A,SWFTX邮编覆盖!B:B,"否")</f>
        <v>是</v>
      </c>
      <c r="J979" s="2" t="str">
        <f>_xlfn.XLOOKUP(A979,YW邮编覆盖!A:A,YW邮编覆盖!B:B,"否")</f>
        <v>否</v>
      </c>
    </row>
    <row r="980" spans="1:10" hidden="1">
      <c r="A980" s="3">
        <v>92029</v>
      </c>
      <c r="B980" s="1" t="s">
        <v>78</v>
      </c>
      <c r="C980" s="2" t="str">
        <f>_xlfn.XLOOKUP(B980,线路DSP对应!A:A,线路DSP对应!B:B)</f>
        <v>STA_LAX_FDE</v>
      </c>
      <c r="D980" s="4" t="s">
        <v>151</v>
      </c>
      <c r="E980" s="2" t="str">
        <f>_xlfn.XLOOKUP(A980,转单情况!A:A,转单情况!B:B)</f>
        <v>SW</v>
      </c>
      <c r="G980" s="28">
        <f>ROUND(_xlfn.XLOOKUP(A980,全量!A:A,全量!B:B,0)/7,1)</f>
        <v>0.3</v>
      </c>
      <c r="H980" s="2">
        <f>ROUND(_xlfn.XLOOKUP(A980,AE!A:A,AE!B:B,0)/7,1)</f>
        <v>0</v>
      </c>
      <c r="I980" s="2" t="str">
        <f>_xlfn.XLOOKUP(A980,SWFTX邮编覆盖!A:A,SWFTX邮编覆盖!B:B,"否")</f>
        <v>是</v>
      </c>
      <c r="J980" s="2" t="str">
        <f>_xlfn.XLOOKUP(A980,YW邮编覆盖!A:A,YW邮编覆盖!B:B,"否")</f>
        <v>否</v>
      </c>
    </row>
    <row r="981" spans="1:10" hidden="1">
      <c r="A981" s="3">
        <v>92127</v>
      </c>
      <c r="B981" s="1" t="s">
        <v>78</v>
      </c>
      <c r="C981" s="2" t="str">
        <f>_xlfn.XLOOKUP(B981,线路DSP对应!A:A,线路DSP对应!B:B)</f>
        <v>STA_LAX_FDE</v>
      </c>
      <c r="D981" s="4" t="s">
        <v>151</v>
      </c>
      <c r="E981" s="2" t="str">
        <f>_xlfn.XLOOKUP(A981,转单情况!A:A,转单情况!B:B)</f>
        <v>SW</v>
      </c>
      <c r="G981" s="28">
        <f>ROUND(_xlfn.XLOOKUP(A981,全量!A:A,全量!B:B,0)/7,1)</f>
        <v>0.4</v>
      </c>
      <c r="H981" s="2">
        <f>ROUND(_xlfn.XLOOKUP(A981,AE!A:A,AE!B:B,0)/7,1)</f>
        <v>0</v>
      </c>
      <c r="I981" s="2" t="str">
        <f>_xlfn.XLOOKUP(A981,SWFTX邮编覆盖!A:A,SWFTX邮编覆盖!B:B,"否")</f>
        <v>是</v>
      </c>
      <c r="J981" s="2" t="str">
        <f>_xlfn.XLOOKUP(A981,YW邮编覆盖!A:A,YW邮编覆盖!B:B,"否")</f>
        <v>是</v>
      </c>
    </row>
    <row r="982" spans="1:10" hidden="1">
      <c r="A982" s="3">
        <v>92128</v>
      </c>
      <c r="B982" s="1" t="s">
        <v>78</v>
      </c>
      <c r="C982" s="2" t="str">
        <f>_xlfn.XLOOKUP(B982,线路DSP对应!A:A,线路DSP对应!B:B)</f>
        <v>STA_LAX_FDE</v>
      </c>
      <c r="D982" s="4" t="s">
        <v>151</v>
      </c>
      <c r="E982" s="2" t="str">
        <f>_xlfn.XLOOKUP(A982,转单情况!A:A,转单情况!B:B)</f>
        <v>SW</v>
      </c>
      <c r="G982" s="28">
        <f>ROUND(_xlfn.XLOOKUP(A982,全量!A:A,全量!B:B,0)/7,1)</f>
        <v>0.3</v>
      </c>
      <c r="H982" s="2">
        <f>ROUND(_xlfn.XLOOKUP(A982,AE!A:A,AE!B:B,0)/7,1)</f>
        <v>0</v>
      </c>
      <c r="I982" s="2" t="str">
        <f>_xlfn.XLOOKUP(A982,SWFTX邮编覆盖!A:A,SWFTX邮编覆盖!B:B,"否")</f>
        <v>是</v>
      </c>
      <c r="J982" s="2" t="str">
        <f>_xlfn.XLOOKUP(A982,YW邮编覆盖!A:A,YW邮编覆盖!B:B,"否")</f>
        <v>是</v>
      </c>
    </row>
    <row r="983" spans="1:10" hidden="1">
      <c r="A983" s="3">
        <v>92064</v>
      </c>
      <c r="B983" s="1" t="s">
        <v>78</v>
      </c>
      <c r="C983" s="2" t="str">
        <f>_xlfn.XLOOKUP(B983,线路DSP对应!A:A,线路DSP对应!B:B)</f>
        <v>STA_LAX_FDE</v>
      </c>
      <c r="D983" s="4" t="s">
        <v>151</v>
      </c>
      <c r="E983" s="2" t="str">
        <f>_xlfn.XLOOKUP(A983,转单情况!A:A,转单情况!B:B)</f>
        <v>SW</v>
      </c>
      <c r="G983" s="28">
        <f>ROUND(_xlfn.XLOOKUP(A983,全量!A:A,全量!B:B,0)/7,1)</f>
        <v>0.3</v>
      </c>
      <c r="H983" s="2">
        <f>ROUND(_xlfn.XLOOKUP(A983,AE!A:A,AE!B:B,0)/7,1)</f>
        <v>0</v>
      </c>
      <c r="I983" s="2" t="str">
        <f>_xlfn.XLOOKUP(A983,SWFTX邮编覆盖!A:A,SWFTX邮编覆盖!B:B,"否")</f>
        <v>是</v>
      </c>
      <c r="J983" s="2" t="str">
        <f>_xlfn.XLOOKUP(A983,YW邮编覆盖!A:A,YW邮编覆盖!B:B,"否")</f>
        <v>是</v>
      </c>
    </row>
    <row r="984" spans="1:10" hidden="1">
      <c r="A984" s="3">
        <v>92056</v>
      </c>
      <c r="B984" s="1" t="s">
        <v>79</v>
      </c>
      <c r="C984" s="2" t="str">
        <f>_xlfn.XLOOKUP(B984,线路DSP对应!A:A,线路DSP对应!B:B)</f>
        <v>STA_LAX_ChinaOcean</v>
      </c>
      <c r="D984" s="4" t="s">
        <v>151</v>
      </c>
      <c r="E984" s="2" t="str">
        <f>_xlfn.XLOOKUP(A984,转单情况!A:A,转单情况!B:B)</f>
        <v>SW</v>
      </c>
      <c r="F984" s="29"/>
      <c r="G984" s="28">
        <f>ROUND(_xlfn.XLOOKUP(A984,全量!A:A,全量!B:B,0)/7,1)</f>
        <v>0.6</v>
      </c>
      <c r="H984" s="2">
        <f>ROUND(_xlfn.XLOOKUP(A984,AE!A:A,AE!B:B,0)/7,1)</f>
        <v>0</v>
      </c>
      <c r="I984" s="2" t="str">
        <f>_xlfn.XLOOKUP(A984,SWFTX邮编覆盖!A:A,SWFTX邮编覆盖!B:B,"否")</f>
        <v>是</v>
      </c>
      <c r="J984" s="2" t="str">
        <f>_xlfn.XLOOKUP(A984,YW邮编覆盖!A:A,YW邮编覆盖!B:B,"否")</f>
        <v>是</v>
      </c>
    </row>
    <row r="985" spans="1:10" hidden="1">
      <c r="A985" s="3">
        <v>92054</v>
      </c>
      <c r="B985" s="1" t="s">
        <v>79</v>
      </c>
      <c r="C985" s="2" t="str">
        <f>_xlfn.XLOOKUP(B985,线路DSP对应!A:A,线路DSP对应!B:B)</f>
        <v>STA_LAX_ChinaOcean</v>
      </c>
      <c r="D985" s="4" t="s">
        <v>151</v>
      </c>
      <c r="E985" s="2" t="str">
        <f>_xlfn.XLOOKUP(A985,转单情况!A:A,转单情况!B:B)</f>
        <v>SW</v>
      </c>
      <c r="F985" s="29"/>
      <c r="G985" s="28">
        <f>ROUND(_xlfn.XLOOKUP(A985,全量!A:A,全量!B:B,0)/7,1)</f>
        <v>0.3</v>
      </c>
      <c r="H985" s="2">
        <f>ROUND(_xlfn.XLOOKUP(A985,AE!A:A,AE!B:B,0)/7,1)</f>
        <v>0</v>
      </c>
      <c r="I985" s="2" t="str">
        <f>_xlfn.XLOOKUP(A985,SWFTX邮编覆盖!A:A,SWFTX邮编覆盖!B:B,"否")</f>
        <v>是</v>
      </c>
      <c r="J985" s="2" t="str">
        <f>_xlfn.XLOOKUP(A985,YW邮编覆盖!A:A,YW邮编覆盖!B:B,"否")</f>
        <v>是</v>
      </c>
    </row>
    <row r="986" spans="1:10" hidden="1">
      <c r="A986" s="3">
        <v>92057</v>
      </c>
      <c r="B986" s="1" t="s">
        <v>79</v>
      </c>
      <c r="C986" s="2" t="str">
        <f>_xlfn.XLOOKUP(B986,线路DSP对应!A:A,线路DSP对应!B:B)</f>
        <v>STA_LAX_ChinaOcean</v>
      </c>
      <c r="D986" s="4" t="s">
        <v>151</v>
      </c>
      <c r="E986" s="2" t="str">
        <f>_xlfn.XLOOKUP(A986,转单情况!A:A,转单情况!B:B)</f>
        <v>SW</v>
      </c>
      <c r="F986" s="29"/>
      <c r="G986" s="28">
        <f>ROUND(_xlfn.XLOOKUP(A986,全量!A:A,全量!B:B,0)/7,1)</f>
        <v>0.1</v>
      </c>
      <c r="H986" s="2">
        <f>ROUND(_xlfn.XLOOKUP(A986,AE!A:A,AE!B:B,0)/7,1)</f>
        <v>0</v>
      </c>
      <c r="I986" s="2" t="str">
        <f>_xlfn.XLOOKUP(A986,SWFTX邮编覆盖!A:A,SWFTX邮编覆盖!B:B,"否")</f>
        <v>是</v>
      </c>
      <c r="J986" s="2" t="str">
        <f>_xlfn.XLOOKUP(A986,YW邮编覆盖!A:A,YW邮编覆盖!B:B,"否")</f>
        <v>是</v>
      </c>
    </row>
    <row r="987" spans="1:10" hidden="1">
      <c r="A987" s="3">
        <v>92083</v>
      </c>
      <c r="B987" s="1" t="s">
        <v>79</v>
      </c>
      <c r="C987" s="2" t="str">
        <f>_xlfn.XLOOKUP(B987,线路DSP对应!A:A,线路DSP对应!B:B)</f>
        <v>STA_LAX_ChinaOcean</v>
      </c>
      <c r="D987" s="4" t="s">
        <v>151</v>
      </c>
      <c r="E987" s="2" t="str">
        <f>_xlfn.XLOOKUP(A987,转单情况!A:A,转单情况!B:B)</f>
        <v>SW</v>
      </c>
      <c r="F987" s="29"/>
      <c r="G987" s="28">
        <f>ROUND(_xlfn.XLOOKUP(A987,全量!A:A,全量!B:B,0)/7,1)</f>
        <v>0</v>
      </c>
      <c r="H987" s="2">
        <f>ROUND(_xlfn.XLOOKUP(A987,AE!A:A,AE!B:B,0)/7,1)</f>
        <v>0</v>
      </c>
      <c r="I987" s="2" t="str">
        <f>_xlfn.XLOOKUP(A987,SWFTX邮编覆盖!A:A,SWFTX邮编覆盖!B:B,"否")</f>
        <v>是</v>
      </c>
      <c r="J987" s="2" t="str">
        <f>_xlfn.XLOOKUP(A987,YW邮编覆盖!A:A,YW邮编覆盖!B:B,"否")</f>
        <v>是</v>
      </c>
    </row>
    <row r="988" spans="1:10" hidden="1">
      <c r="A988" s="3">
        <v>92084</v>
      </c>
      <c r="B988" s="1" t="s">
        <v>79</v>
      </c>
      <c r="C988" s="2" t="str">
        <f>_xlfn.XLOOKUP(B988,线路DSP对应!A:A,线路DSP对应!B:B)</f>
        <v>STA_LAX_ChinaOcean</v>
      </c>
      <c r="D988" s="4" t="s">
        <v>151</v>
      </c>
      <c r="E988" s="2" t="str">
        <f>_xlfn.XLOOKUP(A988,转单情况!A:A,转单情况!B:B)</f>
        <v>SW</v>
      </c>
      <c r="F988" s="29"/>
      <c r="G988" s="28">
        <f>ROUND(_xlfn.XLOOKUP(A988,全量!A:A,全量!B:B,0)/7,1)</f>
        <v>0.1</v>
      </c>
      <c r="H988" s="2">
        <f>ROUND(_xlfn.XLOOKUP(A988,AE!A:A,AE!B:B,0)/7,1)</f>
        <v>0</v>
      </c>
      <c r="I988" s="2" t="str">
        <f>_xlfn.XLOOKUP(A988,SWFTX邮编覆盖!A:A,SWFTX邮编覆盖!B:B,"否")</f>
        <v>是</v>
      </c>
      <c r="J988" s="2" t="str">
        <f>_xlfn.XLOOKUP(A988,YW邮编覆盖!A:A,YW邮编覆盖!B:B,"否")</f>
        <v>是</v>
      </c>
    </row>
    <row r="989" spans="1:10" hidden="1">
      <c r="A989" s="3">
        <v>92081</v>
      </c>
      <c r="B989" s="1" t="s">
        <v>79</v>
      </c>
      <c r="C989" s="2" t="str">
        <f>_xlfn.XLOOKUP(B989,线路DSP对应!A:A,线路DSP对应!B:B)</f>
        <v>STA_LAX_ChinaOcean</v>
      </c>
      <c r="D989" s="4" t="s">
        <v>151</v>
      </c>
      <c r="E989" s="2" t="str">
        <f>_xlfn.XLOOKUP(A989,转单情况!A:A,转单情况!B:B)</f>
        <v>SW</v>
      </c>
      <c r="F989" s="29"/>
      <c r="G989" s="28">
        <f>ROUND(_xlfn.XLOOKUP(A989,全量!A:A,全量!B:B,0)/7,1)</f>
        <v>0.3</v>
      </c>
      <c r="H989" s="2">
        <f>ROUND(_xlfn.XLOOKUP(A989,AE!A:A,AE!B:B,0)/7,1)</f>
        <v>0</v>
      </c>
      <c r="I989" s="2" t="str">
        <f>_xlfn.XLOOKUP(A989,SWFTX邮编覆盖!A:A,SWFTX邮编覆盖!B:B,"否")</f>
        <v>是</v>
      </c>
      <c r="J989" s="2" t="str">
        <f>_xlfn.XLOOKUP(A989,YW邮编覆盖!A:A,YW邮编覆盖!B:B,"否")</f>
        <v>是</v>
      </c>
    </row>
    <row r="990" spans="1:10" hidden="1">
      <c r="A990" s="3">
        <v>91977</v>
      </c>
      <c r="B990" s="1" t="s">
        <v>71</v>
      </c>
      <c r="C990" s="2" t="str">
        <f>_xlfn.XLOOKUP(B990,线路DSP对应!A:A,线路DSP对应!B:B)</f>
        <v>STA_LAX_ChinaOcean</v>
      </c>
      <c r="D990" s="4" t="s">
        <v>165</v>
      </c>
      <c r="E990" s="2" t="str">
        <f>_xlfn.XLOOKUP(A990,转单情况!A:A,转单情况!B:B)</f>
        <v>SW</v>
      </c>
      <c r="F990" s="29"/>
      <c r="G990" s="28">
        <f>ROUND(_xlfn.XLOOKUP(A990,全量!A:A,全量!B:B,0)/7,1)</f>
        <v>0.7</v>
      </c>
      <c r="H990" s="2">
        <f>ROUND(_xlfn.XLOOKUP(A990,AE!A:A,AE!B:B,0)/7,1)</f>
        <v>0</v>
      </c>
      <c r="I990" s="2" t="str">
        <f>_xlfn.XLOOKUP(A990,SWFTX邮编覆盖!A:A,SWFTX邮编覆盖!B:B,"否")</f>
        <v>是</v>
      </c>
      <c r="J990" s="2" t="str">
        <f>_xlfn.XLOOKUP(A990,YW邮编覆盖!A:A,YW邮编覆盖!B:B,"否")</f>
        <v>是</v>
      </c>
    </row>
    <row r="991" spans="1:10" hidden="1">
      <c r="A991" s="3">
        <v>91978</v>
      </c>
      <c r="B991" s="1" t="s">
        <v>71</v>
      </c>
      <c r="C991" s="2" t="str">
        <f>_xlfn.XLOOKUP(B991,线路DSP对应!A:A,线路DSP对应!B:B)</f>
        <v>STA_LAX_ChinaOcean</v>
      </c>
      <c r="D991" s="4" t="s">
        <v>165</v>
      </c>
      <c r="E991" s="2" t="str">
        <f>_xlfn.XLOOKUP(A991,转单情况!A:A,转单情况!B:B)</f>
        <v>SW</v>
      </c>
      <c r="F991" s="29"/>
      <c r="G991" s="28">
        <f>ROUND(_xlfn.XLOOKUP(A991,全量!A:A,全量!B:B,0)/7,1)</f>
        <v>0.1</v>
      </c>
      <c r="H991" s="2">
        <f>ROUND(_xlfn.XLOOKUP(A991,AE!A:A,AE!B:B,0)/7,1)</f>
        <v>0</v>
      </c>
      <c r="I991" s="2" t="str">
        <f>_xlfn.XLOOKUP(A991,SWFTX邮编覆盖!A:A,SWFTX邮编覆盖!B:B,"否")</f>
        <v>是</v>
      </c>
      <c r="J991" s="2" t="str">
        <f>_xlfn.XLOOKUP(A991,YW邮编覆盖!A:A,YW邮编覆盖!B:B,"否")</f>
        <v>否</v>
      </c>
    </row>
    <row r="992" spans="1:10" hidden="1">
      <c r="A992" s="3">
        <v>91941</v>
      </c>
      <c r="B992" s="1" t="s">
        <v>71</v>
      </c>
      <c r="C992" s="2" t="str">
        <f>_xlfn.XLOOKUP(B992,线路DSP对应!A:A,线路DSP对应!B:B)</f>
        <v>STA_LAX_ChinaOcean</v>
      </c>
      <c r="D992" s="4" t="s">
        <v>165</v>
      </c>
      <c r="E992" s="2" t="str">
        <f>_xlfn.XLOOKUP(A992,转单情况!A:A,转单情况!B:B)</f>
        <v>SW</v>
      </c>
      <c r="F992" s="29"/>
      <c r="G992" s="28">
        <f>ROUND(_xlfn.XLOOKUP(A992,全量!A:A,全量!B:B,0)/7,1)</f>
        <v>0.4</v>
      </c>
      <c r="H992" s="2">
        <f>ROUND(_xlfn.XLOOKUP(A992,AE!A:A,AE!B:B,0)/7,1)</f>
        <v>0</v>
      </c>
      <c r="I992" s="2" t="str">
        <f>_xlfn.XLOOKUP(A992,SWFTX邮编覆盖!A:A,SWFTX邮编覆盖!B:B,"否")</f>
        <v>是</v>
      </c>
      <c r="J992" s="2" t="str">
        <f>_xlfn.XLOOKUP(A992,YW邮编覆盖!A:A,YW邮编覆盖!B:B,"否")</f>
        <v>是</v>
      </c>
    </row>
    <row r="993" spans="1:10" hidden="1">
      <c r="A993" s="3">
        <v>91945</v>
      </c>
      <c r="B993" s="1" t="s">
        <v>71</v>
      </c>
      <c r="C993" s="2" t="str">
        <f>_xlfn.XLOOKUP(B993,线路DSP对应!A:A,线路DSP对应!B:B)</f>
        <v>STA_LAX_ChinaOcean</v>
      </c>
      <c r="D993" s="4" t="s">
        <v>165</v>
      </c>
      <c r="E993" s="2" t="str">
        <f>_xlfn.XLOOKUP(A993,转单情况!A:A,转单情况!B:B)</f>
        <v>SW</v>
      </c>
      <c r="F993" s="29"/>
      <c r="G993" s="28">
        <f>ROUND(_xlfn.XLOOKUP(A993,全量!A:A,全量!B:B,0)/7,1)</f>
        <v>7.9</v>
      </c>
      <c r="H993" s="2">
        <f>ROUND(_xlfn.XLOOKUP(A993,AE!A:A,AE!B:B,0)/7,1)</f>
        <v>7.7</v>
      </c>
      <c r="I993" s="2" t="str">
        <f>_xlfn.XLOOKUP(A993,SWFTX邮编覆盖!A:A,SWFTX邮编覆盖!B:B,"否")</f>
        <v>是</v>
      </c>
      <c r="J993" s="2" t="str">
        <f>_xlfn.XLOOKUP(A993,YW邮编覆盖!A:A,YW邮编覆盖!B:B,"否")</f>
        <v>是</v>
      </c>
    </row>
    <row r="994" spans="1:10" hidden="1">
      <c r="A994" s="3">
        <v>91942</v>
      </c>
      <c r="B994" s="1" t="s">
        <v>71</v>
      </c>
      <c r="C994" s="2" t="str">
        <f>_xlfn.XLOOKUP(B994,线路DSP对应!A:A,线路DSP对应!B:B)</f>
        <v>STA_LAX_ChinaOcean</v>
      </c>
      <c r="D994" s="4" t="s">
        <v>165</v>
      </c>
      <c r="E994" s="2" t="str">
        <f>_xlfn.XLOOKUP(A994,转单情况!A:A,转单情况!B:B)</f>
        <v>SW</v>
      </c>
      <c r="F994" s="29"/>
      <c r="G994" s="28">
        <f>ROUND(_xlfn.XLOOKUP(A994,全量!A:A,全量!B:B,0)/7,1)</f>
        <v>0.6</v>
      </c>
      <c r="H994" s="2">
        <f>ROUND(_xlfn.XLOOKUP(A994,AE!A:A,AE!B:B,0)/7,1)</f>
        <v>0</v>
      </c>
      <c r="I994" s="2" t="str">
        <f>_xlfn.XLOOKUP(A994,SWFTX邮编覆盖!A:A,SWFTX邮编覆盖!B:B,"否")</f>
        <v>是</v>
      </c>
      <c r="J994" s="2" t="str">
        <f>_xlfn.XLOOKUP(A994,YW邮编覆盖!A:A,YW邮编覆盖!B:B,"否")</f>
        <v>是</v>
      </c>
    </row>
    <row r="995" spans="1:10" hidden="1">
      <c r="A995" s="3">
        <v>92119</v>
      </c>
      <c r="B995" s="1" t="s">
        <v>73</v>
      </c>
      <c r="C995" s="2" t="str">
        <f>_xlfn.XLOOKUP(B995,线路DSP对应!A:A,线路DSP对应!B:B)</f>
        <v>STA_SD_K. King</v>
      </c>
      <c r="D995" s="4" t="s">
        <v>165</v>
      </c>
      <c r="E995" s="2" t="str">
        <f>_xlfn.XLOOKUP(A995,转单情况!A:A,转单情况!B:B)</f>
        <v>否</v>
      </c>
      <c r="G995" s="28">
        <f>ROUND(_xlfn.XLOOKUP(A995,全量!A:A,全量!B:B,0)/7,1)</f>
        <v>5.9</v>
      </c>
      <c r="H995" s="2">
        <f>ROUND(_xlfn.XLOOKUP(A995,AE!A:A,AE!B:B,0)/7,1)</f>
        <v>5.6</v>
      </c>
      <c r="I995" s="2" t="str">
        <f>_xlfn.XLOOKUP(A995,SWFTX邮编覆盖!A:A,SWFTX邮编覆盖!B:B,"否")</f>
        <v>是</v>
      </c>
      <c r="J995" s="2" t="str">
        <f>_xlfn.XLOOKUP(A995,YW邮编覆盖!A:A,YW邮编覆盖!B:B,"否")</f>
        <v>是</v>
      </c>
    </row>
    <row r="996" spans="1:10" hidden="1">
      <c r="A996" s="3">
        <v>92020</v>
      </c>
      <c r="B996" s="1" t="s">
        <v>73</v>
      </c>
      <c r="C996" s="2" t="str">
        <f>_xlfn.XLOOKUP(B996,线路DSP对应!A:A,线路DSP对应!B:B)</f>
        <v>STA_SD_K. King</v>
      </c>
      <c r="D996" s="4" t="s">
        <v>165</v>
      </c>
      <c r="E996" s="2" t="str">
        <f>_xlfn.XLOOKUP(A996,转单情况!A:A,转单情况!B:B)</f>
        <v>SW</v>
      </c>
      <c r="F996" s="29"/>
      <c r="G996" s="28">
        <f>ROUND(_xlfn.XLOOKUP(A996,全量!A:A,全量!B:B,0)/7,1)</f>
        <v>0.9</v>
      </c>
      <c r="H996" s="2">
        <f>ROUND(_xlfn.XLOOKUP(A996,AE!A:A,AE!B:B,0)/7,1)</f>
        <v>0</v>
      </c>
      <c r="I996" s="2" t="str">
        <f>_xlfn.XLOOKUP(A996,SWFTX邮编覆盖!A:A,SWFTX邮编覆盖!B:B,"否")</f>
        <v>是</v>
      </c>
      <c r="J996" s="2" t="str">
        <f>_xlfn.XLOOKUP(A996,YW邮编覆盖!A:A,YW邮编覆盖!B:B,"否")</f>
        <v>是</v>
      </c>
    </row>
    <row r="997" spans="1:10" hidden="1">
      <c r="A997" s="3">
        <v>92040</v>
      </c>
      <c r="B997" s="1" t="s">
        <v>73</v>
      </c>
      <c r="C997" s="2" t="str">
        <f>_xlfn.XLOOKUP(B997,线路DSP对应!A:A,线路DSP对应!B:B)</f>
        <v>STA_SD_K. King</v>
      </c>
      <c r="D997" s="4" t="s">
        <v>165</v>
      </c>
      <c r="E997" s="2" t="str">
        <f>_xlfn.XLOOKUP(A997,转单情况!A:A,转单情况!B:B)</f>
        <v>否</v>
      </c>
      <c r="G997" s="28">
        <f>ROUND(_xlfn.XLOOKUP(A997,全量!A:A,全量!B:B,0)/7,1)</f>
        <v>21</v>
      </c>
      <c r="H997" s="2">
        <f>ROUND(_xlfn.XLOOKUP(A997,AE!A:A,AE!B:B,0)/7,1)</f>
        <v>0</v>
      </c>
      <c r="I997" s="2" t="str">
        <f>_xlfn.XLOOKUP(A997,SWFTX邮编覆盖!A:A,SWFTX邮编覆盖!B:B,"否")</f>
        <v>是</v>
      </c>
      <c r="J997" s="2" t="str">
        <f>_xlfn.XLOOKUP(A997,YW邮编覆盖!A:A,YW邮编覆盖!B:B,"否")</f>
        <v>否</v>
      </c>
    </row>
    <row r="998" spans="1:10" hidden="1">
      <c r="A998" s="3">
        <v>92071</v>
      </c>
      <c r="B998" s="1" t="s">
        <v>73</v>
      </c>
      <c r="C998" s="2" t="str">
        <f>_xlfn.XLOOKUP(B998,线路DSP对应!A:A,线路DSP对应!B:B)</f>
        <v>STA_SD_K. King</v>
      </c>
      <c r="D998" s="4" t="s">
        <v>165</v>
      </c>
      <c r="E998" s="2" t="str">
        <f>_xlfn.XLOOKUP(A998,转单情况!A:A,转单情况!B:B)</f>
        <v>否</v>
      </c>
      <c r="G998" s="28">
        <f>ROUND(_xlfn.XLOOKUP(A998,全量!A:A,全量!B:B,0)/7,1)</f>
        <v>0.9</v>
      </c>
      <c r="H998" s="2">
        <f>ROUND(_xlfn.XLOOKUP(A998,AE!A:A,AE!B:B,0)/7,1)</f>
        <v>0</v>
      </c>
      <c r="I998" s="2" t="str">
        <f>_xlfn.XLOOKUP(A998,SWFTX邮编覆盖!A:A,SWFTX邮编覆盖!B:B,"否")</f>
        <v>是</v>
      </c>
      <c r="J998" s="2" t="str">
        <f>_xlfn.XLOOKUP(A998,YW邮编覆盖!A:A,YW邮编覆盖!B:B,"否")</f>
        <v>是</v>
      </c>
    </row>
    <row r="999" spans="1:10" hidden="1">
      <c r="A999" s="3">
        <v>92021</v>
      </c>
      <c r="B999" s="1" t="s">
        <v>73</v>
      </c>
      <c r="C999" s="2" t="str">
        <f>_xlfn.XLOOKUP(B999,线路DSP对应!A:A,线路DSP对应!B:B)</f>
        <v>STA_SD_K. King</v>
      </c>
      <c r="D999" s="4" t="s">
        <v>165</v>
      </c>
      <c r="E999" s="2" t="str">
        <f>_xlfn.XLOOKUP(A999,转单情况!A:A,转单情况!B:B)</f>
        <v>SW</v>
      </c>
      <c r="F999" s="29"/>
      <c r="G999" s="28">
        <f>ROUND(_xlfn.XLOOKUP(A999,全量!A:A,全量!B:B,0)/7,1)</f>
        <v>0.6</v>
      </c>
      <c r="H999" s="2">
        <f>ROUND(_xlfn.XLOOKUP(A999,AE!A:A,AE!B:B,0)/7,1)</f>
        <v>0</v>
      </c>
      <c r="I999" s="2" t="str">
        <f>_xlfn.XLOOKUP(A999,SWFTX邮编覆盖!A:A,SWFTX邮编覆盖!B:B,"否")</f>
        <v>是</v>
      </c>
      <c r="J999" s="2" t="str">
        <f>_xlfn.XLOOKUP(A999,YW邮编覆盖!A:A,YW邮编覆盖!B:B,"否")</f>
        <v>否</v>
      </c>
    </row>
    <row r="1000" spans="1:10" hidden="1">
      <c r="A1000" s="3">
        <v>92019</v>
      </c>
      <c r="B1000" s="1" t="s">
        <v>73</v>
      </c>
      <c r="C1000" s="2" t="str">
        <f>_xlfn.XLOOKUP(B1000,线路DSP对应!A:A,线路DSP对应!B:B)</f>
        <v>STA_SD_K. King</v>
      </c>
      <c r="D1000" s="4" t="s">
        <v>165</v>
      </c>
      <c r="E1000" s="2" t="str">
        <f>_xlfn.XLOOKUP(A1000,转单情况!A:A,转单情况!B:B)</f>
        <v>SW</v>
      </c>
      <c r="F1000" s="29"/>
      <c r="G1000" s="28">
        <f>ROUND(_xlfn.XLOOKUP(A1000,全量!A:A,全量!B:B,0)/7,1)</f>
        <v>0.3</v>
      </c>
      <c r="H1000" s="2">
        <f>ROUND(_xlfn.XLOOKUP(A1000,AE!A:A,AE!B:B,0)/7,1)</f>
        <v>0</v>
      </c>
      <c r="I1000" s="2" t="str">
        <f>_xlfn.XLOOKUP(A1000,SWFTX邮编覆盖!A:A,SWFTX邮编覆盖!B:B,"否")</f>
        <v>是</v>
      </c>
      <c r="J1000" s="2" t="str">
        <f>_xlfn.XLOOKUP(A1000,YW邮编覆盖!A:A,YW邮编覆盖!B:B,"否")</f>
        <v>否</v>
      </c>
    </row>
    <row r="1001" spans="1:10" hidden="1">
      <c r="A1001" s="3">
        <v>92123</v>
      </c>
      <c r="B1001" s="1" t="s">
        <v>74</v>
      </c>
      <c r="C1001" s="2" t="str">
        <f>_xlfn.XLOOKUP(B1001,线路DSP对应!A:A,线路DSP对应!B:B)</f>
        <v>STA_SD_K. King</v>
      </c>
      <c r="D1001" s="4" t="s">
        <v>165</v>
      </c>
      <c r="E1001" s="2" t="str">
        <f>_xlfn.XLOOKUP(A1001,转单情况!A:A,转单情况!B:B)</f>
        <v>SW</v>
      </c>
      <c r="F1001" s="29"/>
      <c r="G1001" s="28">
        <f>ROUND(_xlfn.XLOOKUP(A1001,全量!A:A,全量!B:B,0)/7,1)</f>
        <v>0.4</v>
      </c>
      <c r="H1001" s="2">
        <f>ROUND(_xlfn.XLOOKUP(A1001,AE!A:A,AE!B:B,0)/7,1)</f>
        <v>0</v>
      </c>
      <c r="I1001" s="2" t="str">
        <f>_xlfn.XLOOKUP(A1001,SWFTX邮编覆盖!A:A,SWFTX邮编覆盖!B:B,"否")</f>
        <v>是</v>
      </c>
      <c r="J1001" s="2" t="str">
        <f>_xlfn.XLOOKUP(A1001,YW邮编覆盖!A:A,YW邮编覆盖!B:B,"否")</f>
        <v>否</v>
      </c>
    </row>
    <row r="1002" spans="1:10" hidden="1">
      <c r="A1002" s="3">
        <v>92124</v>
      </c>
      <c r="B1002" s="1" t="s">
        <v>74</v>
      </c>
      <c r="C1002" s="2" t="str">
        <f>_xlfn.XLOOKUP(B1002,线路DSP对应!A:A,线路DSP对应!B:B)</f>
        <v>STA_SD_K. King</v>
      </c>
      <c r="D1002" s="4" t="s">
        <v>165</v>
      </c>
      <c r="E1002" s="2" t="str">
        <f>_xlfn.XLOOKUP(A1002,转单情况!A:A,转单情况!B:B)</f>
        <v>SW</v>
      </c>
      <c r="F1002" s="29"/>
      <c r="G1002" s="28">
        <f>ROUND(_xlfn.XLOOKUP(A1002,全量!A:A,全量!B:B,0)/7,1)</f>
        <v>0.4</v>
      </c>
      <c r="H1002" s="2">
        <f>ROUND(_xlfn.XLOOKUP(A1002,AE!A:A,AE!B:B,0)/7,1)</f>
        <v>0</v>
      </c>
      <c r="I1002" s="2" t="str">
        <f>_xlfn.XLOOKUP(A1002,SWFTX邮编覆盖!A:A,SWFTX邮编覆盖!B:B,"否")</f>
        <v>是</v>
      </c>
      <c r="J1002" s="2" t="str">
        <f>_xlfn.XLOOKUP(A1002,YW邮编覆盖!A:A,YW邮编覆盖!B:B,"否")</f>
        <v>否</v>
      </c>
    </row>
    <row r="1003" spans="1:10" hidden="1">
      <c r="A1003" s="3">
        <v>92120</v>
      </c>
      <c r="B1003" s="1" t="s">
        <v>74</v>
      </c>
      <c r="C1003" s="2" t="str">
        <f>_xlfn.XLOOKUP(B1003,线路DSP对应!A:A,线路DSP对应!B:B)</f>
        <v>STA_SD_K. King</v>
      </c>
      <c r="D1003" s="4" t="s">
        <v>165</v>
      </c>
      <c r="E1003" s="2" t="str">
        <f>_xlfn.XLOOKUP(A1003,转单情况!A:A,转单情况!B:B)</f>
        <v>否</v>
      </c>
      <c r="G1003" s="28">
        <f>ROUND(_xlfn.XLOOKUP(A1003,全量!A:A,全量!B:B,0)/7,1)</f>
        <v>0.1</v>
      </c>
      <c r="H1003" s="2">
        <f>ROUND(_xlfn.XLOOKUP(A1003,AE!A:A,AE!B:B,0)/7,1)</f>
        <v>0</v>
      </c>
      <c r="I1003" s="2" t="str">
        <f>_xlfn.XLOOKUP(A1003,SWFTX邮编覆盖!A:A,SWFTX邮编覆盖!B:B,"否")</f>
        <v>是</v>
      </c>
      <c r="J1003" s="2" t="str">
        <f>_xlfn.XLOOKUP(A1003,YW邮编覆盖!A:A,YW邮编覆盖!B:B,"否")</f>
        <v>是</v>
      </c>
    </row>
    <row r="1004" spans="1:10" hidden="1">
      <c r="A1004" s="3">
        <v>94016</v>
      </c>
      <c r="B1004" s="1" t="s">
        <v>162</v>
      </c>
      <c r="C1004" s="2" t="e">
        <f>_xlfn.XLOOKUP(B1004,线路DSP对应!A:A,线路DSP对应!B:B)</f>
        <v>#N/A</v>
      </c>
      <c r="D1004" s="4" t="s">
        <v>153</v>
      </c>
      <c r="E1004" s="2" t="str">
        <f>_xlfn.XLOOKUP(A1004,转单情况!A:A,转单情况!B:B)</f>
        <v>SW</v>
      </c>
      <c r="G1004" s="28">
        <f>ROUND(_xlfn.XLOOKUP(A1004,全量!A:A,全量!B:B,0)/7,1)</f>
        <v>0</v>
      </c>
      <c r="H1004" s="2">
        <f>ROUND(_xlfn.XLOOKUP(A1004,AE!A:A,AE!B:B,0)/7,1)</f>
        <v>0</v>
      </c>
      <c r="I1004" s="2" t="str">
        <f>_xlfn.XLOOKUP(A1004,SWFTX邮编覆盖!A:A,SWFTX邮编覆盖!B:B,"否")</f>
        <v>是</v>
      </c>
      <c r="J1004" s="2" t="str">
        <f>_xlfn.XLOOKUP(A1004,YW邮编覆盖!A:A,YW邮编覆盖!B:B,"否")</f>
        <v>是</v>
      </c>
    </row>
    <row r="1005" spans="1:10" hidden="1">
      <c r="A1005" s="3">
        <v>94017</v>
      </c>
      <c r="B1005" s="1" t="s">
        <v>162</v>
      </c>
      <c r="C1005" s="2" t="e">
        <f>_xlfn.XLOOKUP(B1005,线路DSP对应!A:A,线路DSP对应!B:B)</f>
        <v>#N/A</v>
      </c>
      <c r="D1005" s="4" t="s">
        <v>153</v>
      </c>
      <c r="E1005" s="2" t="str">
        <f>_xlfn.XLOOKUP(A1005,转单情况!A:A,转单情况!B:B)</f>
        <v>SW</v>
      </c>
      <c r="G1005" s="28">
        <f>ROUND(_xlfn.XLOOKUP(A1005,全量!A:A,全量!B:B,0)/7,1)</f>
        <v>0</v>
      </c>
      <c r="H1005" s="2">
        <f>ROUND(_xlfn.XLOOKUP(A1005,AE!A:A,AE!B:B,0)/7,1)</f>
        <v>0</v>
      </c>
      <c r="I1005" s="2" t="str">
        <f>_xlfn.XLOOKUP(A1005,SWFTX邮编覆盖!A:A,SWFTX邮编覆盖!B:B,"否")</f>
        <v>是</v>
      </c>
      <c r="J1005" s="2" t="str">
        <f>_xlfn.XLOOKUP(A1005,YW邮编覆盖!A:A,YW邮编覆盖!B:B,"否")</f>
        <v>是</v>
      </c>
    </row>
    <row r="1006" spans="1:10" hidden="1">
      <c r="A1006" s="3">
        <v>94083</v>
      </c>
      <c r="B1006" s="1" t="s">
        <v>162</v>
      </c>
      <c r="C1006" s="2" t="e">
        <f>_xlfn.XLOOKUP(B1006,线路DSP对应!A:A,线路DSP对应!B:B)</f>
        <v>#N/A</v>
      </c>
      <c r="D1006" s="4" t="s">
        <v>153</v>
      </c>
      <c r="E1006" s="2" t="str">
        <f>_xlfn.XLOOKUP(A1006,转单情况!A:A,转单情况!B:B)</f>
        <v>SW</v>
      </c>
      <c r="G1006" s="28">
        <f>ROUND(_xlfn.XLOOKUP(A1006,全量!A:A,全量!B:B,0)/7,1)</f>
        <v>0</v>
      </c>
      <c r="H1006" s="2">
        <f>ROUND(_xlfn.XLOOKUP(A1006,AE!A:A,AE!B:B,0)/7,1)</f>
        <v>0</v>
      </c>
      <c r="I1006" s="2" t="str">
        <f>_xlfn.XLOOKUP(A1006,SWFTX邮编覆盖!A:A,SWFTX邮编覆盖!B:B,"否")</f>
        <v>是</v>
      </c>
      <c r="J1006" s="2" t="str">
        <f>_xlfn.XLOOKUP(A1006,YW邮编覆盖!A:A,YW邮编覆盖!B:B,"否")</f>
        <v>是</v>
      </c>
    </row>
    <row r="1007" spans="1:10">
      <c r="A1007" s="3">
        <v>94302</v>
      </c>
      <c r="B1007" s="1" t="s">
        <v>162</v>
      </c>
      <c r="C1007" s="2" t="e">
        <f>_xlfn.XLOOKUP(B1007,线路DSP对应!A:A,线路DSP对应!B:B)</f>
        <v>#N/A</v>
      </c>
      <c r="D1007" s="4" t="s">
        <v>153</v>
      </c>
      <c r="E1007" s="2" t="e">
        <f>_xlfn.XLOOKUP(A1007,转单情况!A:A,转单情况!B:B)</f>
        <v>#N/A</v>
      </c>
      <c r="G1007" s="28">
        <f>ROUND(_xlfn.XLOOKUP(A1007,全量!A:A,全量!B:B,0)/7,1)</f>
        <v>0</v>
      </c>
      <c r="H1007" s="2">
        <f>ROUND(_xlfn.XLOOKUP(A1007,AE!A:A,AE!B:B,0)/7,1)</f>
        <v>0</v>
      </c>
      <c r="I1007" s="2" t="str">
        <f>_xlfn.XLOOKUP(A1007,SWFTX邮编覆盖!A:A,SWFTX邮编覆盖!B:B,"否")</f>
        <v>否</v>
      </c>
      <c r="J1007" s="2" t="str">
        <f>_xlfn.XLOOKUP(A1007,YW邮编覆盖!A:A,YW邮编覆盖!B:B,"否")</f>
        <v>是</v>
      </c>
    </row>
    <row r="1008" spans="1:10" hidden="1">
      <c r="A1008" s="3">
        <v>94121</v>
      </c>
      <c r="B1008" s="1" t="s">
        <v>88</v>
      </c>
      <c r="C1008" s="2" t="str">
        <f>_xlfn.XLOOKUP(B1008,线路DSP对应!A:A,线路DSP对应!B:B)</f>
        <v>STA_SFO_RR</v>
      </c>
      <c r="D1008" s="4" t="s">
        <v>153</v>
      </c>
      <c r="E1008" s="2" t="str">
        <f>_xlfn.XLOOKUP(A1008,转单情况!A:A,转单情况!B:B)</f>
        <v>否</v>
      </c>
      <c r="G1008" s="28">
        <f>ROUND(_xlfn.XLOOKUP(A1008,全量!A:A,全量!B:B,0)/7,1)</f>
        <v>16</v>
      </c>
      <c r="H1008" s="2">
        <f>ROUND(_xlfn.XLOOKUP(A1008,AE!A:A,AE!B:B,0)/7,1)</f>
        <v>15.4</v>
      </c>
      <c r="I1008" s="2" t="str">
        <f>_xlfn.XLOOKUP(A1008,SWFTX邮编覆盖!A:A,SWFTX邮编覆盖!B:B,"否")</f>
        <v>是</v>
      </c>
      <c r="J1008" s="2" t="str">
        <f>_xlfn.XLOOKUP(A1008,YW邮编覆盖!A:A,YW邮编覆盖!B:B,"否")</f>
        <v>是</v>
      </c>
    </row>
    <row r="1009" spans="1:10" hidden="1">
      <c r="A1009" s="3">
        <v>94118</v>
      </c>
      <c r="B1009" s="1" t="s">
        <v>88</v>
      </c>
      <c r="C1009" s="2" t="str">
        <f>_xlfn.XLOOKUP(B1009,线路DSP对应!A:A,线路DSP对应!B:B)</f>
        <v>STA_SFO_RR</v>
      </c>
      <c r="D1009" s="4" t="s">
        <v>153</v>
      </c>
      <c r="E1009" s="2" t="str">
        <f>_xlfn.XLOOKUP(A1009,转单情况!A:A,转单情况!B:B)</f>
        <v>否</v>
      </c>
      <c r="G1009" s="28">
        <f>ROUND(_xlfn.XLOOKUP(A1009,全量!A:A,全量!B:B,0)/7,1)</f>
        <v>12.4</v>
      </c>
      <c r="H1009" s="2">
        <f>ROUND(_xlfn.XLOOKUP(A1009,AE!A:A,AE!B:B,0)/7,1)</f>
        <v>12.1</v>
      </c>
      <c r="I1009" s="2" t="str">
        <f>_xlfn.XLOOKUP(A1009,SWFTX邮编覆盖!A:A,SWFTX邮编覆盖!B:B,"否")</f>
        <v>是</v>
      </c>
      <c r="J1009" s="2" t="str">
        <f>_xlfn.XLOOKUP(A1009,YW邮编覆盖!A:A,YW邮编覆盖!B:B,"否")</f>
        <v>是</v>
      </c>
    </row>
    <row r="1010" spans="1:10" hidden="1">
      <c r="A1010" s="3">
        <v>94129</v>
      </c>
      <c r="B1010" s="1" t="s">
        <v>88</v>
      </c>
      <c r="C1010" s="2" t="str">
        <f>_xlfn.XLOOKUP(B1010,线路DSP对应!A:A,线路DSP对应!B:B)</f>
        <v>STA_SFO_RR</v>
      </c>
      <c r="D1010" s="4" t="s">
        <v>153</v>
      </c>
      <c r="E1010" s="2" t="str">
        <f>_xlfn.XLOOKUP(A1010,转单情况!A:A,转单情况!B:B)</f>
        <v>否</v>
      </c>
      <c r="G1010" s="28">
        <f>ROUND(_xlfn.XLOOKUP(A1010,全量!A:A,全量!B:B,0)/7,1)</f>
        <v>0.9</v>
      </c>
      <c r="H1010" s="2">
        <f>ROUND(_xlfn.XLOOKUP(A1010,AE!A:A,AE!B:B,0)/7,1)</f>
        <v>0.9</v>
      </c>
      <c r="I1010" s="2" t="str">
        <f>_xlfn.XLOOKUP(A1010,SWFTX邮编覆盖!A:A,SWFTX邮编覆盖!B:B,"否")</f>
        <v>否</v>
      </c>
      <c r="J1010" s="2" t="str">
        <f>_xlfn.XLOOKUP(A1010,YW邮编覆盖!A:A,YW邮编覆盖!B:B,"否")</f>
        <v>否</v>
      </c>
    </row>
    <row r="1011" spans="1:10" hidden="1">
      <c r="A1011" s="3">
        <v>94123</v>
      </c>
      <c r="B1011" s="1" t="s">
        <v>88</v>
      </c>
      <c r="C1011" s="2" t="str">
        <f>_xlfn.XLOOKUP(B1011,线路DSP对应!A:A,线路DSP对应!B:B)</f>
        <v>STA_SFO_RR</v>
      </c>
      <c r="D1011" s="4" t="s">
        <v>153</v>
      </c>
      <c r="E1011" s="2" t="str">
        <f>_xlfn.XLOOKUP(A1011,转单情况!A:A,转单情况!B:B)</f>
        <v>否</v>
      </c>
      <c r="G1011" s="28">
        <f>ROUND(_xlfn.XLOOKUP(A1011,全量!A:A,全量!B:B,0)/7,1)</f>
        <v>4.0999999999999996</v>
      </c>
      <c r="H1011" s="2">
        <f>ROUND(_xlfn.XLOOKUP(A1011,AE!A:A,AE!B:B,0)/7,1)</f>
        <v>4.0999999999999996</v>
      </c>
      <c r="I1011" s="2" t="str">
        <f>_xlfn.XLOOKUP(A1011,SWFTX邮编覆盖!A:A,SWFTX邮编覆盖!B:B,"否")</f>
        <v>是</v>
      </c>
      <c r="J1011" s="2" t="str">
        <f>_xlfn.XLOOKUP(A1011,YW邮编覆盖!A:A,YW邮编覆盖!B:B,"否")</f>
        <v>是</v>
      </c>
    </row>
    <row r="1012" spans="1:10" hidden="1">
      <c r="A1012" s="3">
        <v>94115</v>
      </c>
      <c r="B1012" s="1" t="s">
        <v>88</v>
      </c>
      <c r="C1012" s="2" t="str">
        <f>_xlfn.XLOOKUP(B1012,线路DSP对应!A:A,线路DSP对应!B:B)</f>
        <v>STA_SFO_RR</v>
      </c>
      <c r="D1012" s="4" t="s">
        <v>153</v>
      </c>
      <c r="E1012" s="2" t="str">
        <f>_xlfn.XLOOKUP(A1012,转单情况!A:A,转单情况!B:B)</f>
        <v>否</v>
      </c>
      <c r="G1012" s="28">
        <f>ROUND(_xlfn.XLOOKUP(A1012,全量!A:A,全量!B:B,0)/7,1)</f>
        <v>8.4</v>
      </c>
      <c r="H1012" s="2">
        <f>ROUND(_xlfn.XLOOKUP(A1012,AE!A:A,AE!B:B,0)/7,1)</f>
        <v>7.9</v>
      </c>
      <c r="I1012" s="2" t="str">
        <f>_xlfn.XLOOKUP(A1012,SWFTX邮编覆盖!A:A,SWFTX邮编覆盖!B:B,"否")</f>
        <v>是</v>
      </c>
      <c r="J1012" s="2" t="str">
        <f>_xlfn.XLOOKUP(A1012,YW邮编覆盖!A:A,YW邮编覆盖!B:B,"否")</f>
        <v>是</v>
      </c>
    </row>
    <row r="1013" spans="1:10" hidden="1">
      <c r="A1013" s="3">
        <v>94117</v>
      </c>
      <c r="B1013" s="1" t="s">
        <v>88</v>
      </c>
      <c r="C1013" s="2" t="str">
        <f>_xlfn.XLOOKUP(B1013,线路DSP对应!A:A,线路DSP对应!B:B)</f>
        <v>STA_SFO_RR</v>
      </c>
      <c r="D1013" s="4" t="s">
        <v>153</v>
      </c>
      <c r="E1013" s="2" t="str">
        <f>_xlfn.XLOOKUP(A1013,转单情况!A:A,转单情况!B:B)</f>
        <v>否</v>
      </c>
      <c r="G1013" s="28">
        <f>ROUND(_xlfn.XLOOKUP(A1013,全量!A:A,全量!B:B,0)/7,1)</f>
        <v>10.3</v>
      </c>
      <c r="H1013" s="2">
        <f>ROUND(_xlfn.XLOOKUP(A1013,AE!A:A,AE!B:B,0)/7,1)</f>
        <v>9.6</v>
      </c>
      <c r="I1013" s="2" t="str">
        <f>_xlfn.XLOOKUP(A1013,SWFTX邮编覆盖!A:A,SWFTX邮编覆盖!B:B,"否")</f>
        <v>是</v>
      </c>
      <c r="J1013" s="2" t="str">
        <f>_xlfn.XLOOKUP(A1013,YW邮编覆盖!A:A,YW邮编覆盖!B:B,"否")</f>
        <v>是</v>
      </c>
    </row>
    <row r="1014" spans="1:10" hidden="1">
      <c r="A1014" s="3">
        <v>94127</v>
      </c>
      <c r="B1014" s="1" t="s">
        <v>88</v>
      </c>
      <c r="C1014" s="2" t="str">
        <f>_xlfn.XLOOKUP(B1014,线路DSP对应!A:A,线路DSP对应!B:B)</f>
        <v>STA_SFO_RR</v>
      </c>
      <c r="D1014" s="4" t="s">
        <v>153</v>
      </c>
      <c r="E1014" s="2" t="str">
        <f>_xlfn.XLOOKUP(A1014,转单情况!A:A,转单情况!B:B)</f>
        <v>否</v>
      </c>
      <c r="G1014" s="28">
        <f>ROUND(_xlfn.XLOOKUP(A1014,全量!A:A,全量!B:B,0)/7,1)</f>
        <v>6.3</v>
      </c>
      <c r="H1014" s="2">
        <f>ROUND(_xlfn.XLOOKUP(A1014,AE!A:A,AE!B:B,0)/7,1)</f>
        <v>6</v>
      </c>
      <c r="I1014" s="2" t="str">
        <f>_xlfn.XLOOKUP(A1014,SWFTX邮编覆盖!A:A,SWFTX邮编覆盖!B:B,"否")</f>
        <v>是</v>
      </c>
      <c r="J1014" s="2" t="str">
        <f>_xlfn.XLOOKUP(A1014,YW邮编覆盖!A:A,YW邮编覆盖!B:B,"否")</f>
        <v>是</v>
      </c>
    </row>
    <row r="1015" spans="1:10" hidden="1">
      <c r="A1015" s="3">
        <v>94122</v>
      </c>
      <c r="B1015" s="1" t="s">
        <v>88</v>
      </c>
      <c r="C1015" s="2" t="str">
        <f>_xlfn.XLOOKUP(B1015,线路DSP对应!A:A,线路DSP对应!B:B)</f>
        <v>STA_SFO_RR</v>
      </c>
      <c r="D1015" s="4" t="s">
        <v>153</v>
      </c>
      <c r="E1015" s="2" t="str">
        <f>_xlfn.XLOOKUP(A1015,转单情况!A:A,转单情况!B:B)</f>
        <v>否</v>
      </c>
      <c r="G1015" s="28">
        <f>ROUND(_xlfn.XLOOKUP(A1015,全量!A:A,全量!B:B,0)/7,1)</f>
        <v>19.399999999999999</v>
      </c>
      <c r="H1015" s="2">
        <f>ROUND(_xlfn.XLOOKUP(A1015,AE!A:A,AE!B:B,0)/7,1)</f>
        <v>19</v>
      </c>
      <c r="I1015" s="2" t="str">
        <f>_xlfn.XLOOKUP(A1015,SWFTX邮编覆盖!A:A,SWFTX邮编覆盖!B:B,"否")</f>
        <v>是</v>
      </c>
      <c r="J1015" s="2" t="str">
        <f>_xlfn.XLOOKUP(A1015,YW邮编覆盖!A:A,YW邮编覆盖!B:B,"否")</f>
        <v>是</v>
      </c>
    </row>
    <row r="1016" spans="1:10" hidden="1">
      <c r="A1016" s="3">
        <v>94116</v>
      </c>
      <c r="B1016" s="1" t="s">
        <v>88</v>
      </c>
      <c r="C1016" s="2" t="str">
        <f>_xlfn.XLOOKUP(B1016,线路DSP对应!A:A,线路DSP对应!B:B)</f>
        <v>STA_SFO_RR</v>
      </c>
      <c r="D1016" s="4" t="s">
        <v>153</v>
      </c>
      <c r="E1016" s="2" t="str">
        <f>_xlfn.XLOOKUP(A1016,转单情况!A:A,转单情况!B:B)</f>
        <v>否</v>
      </c>
      <c r="G1016" s="28">
        <f>ROUND(_xlfn.XLOOKUP(A1016,全量!A:A,全量!B:B,0)/7,1)</f>
        <v>16.600000000000001</v>
      </c>
      <c r="H1016" s="2">
        <f>ROUND(_xlfn.XLOOKUP(A1016,AE!A:A,AE!B:B,0)/7,1)</f>
        <v>16.399999999999999</v>
      </c>
      <c r="I1016" s="2" t="str">
        <f>_xlfn.XLOOKUP(A1016,SWFTX邮编覆盖!A:A,SWFTX邮编覆盖!B:B,"否")</f>
        <v>是</v>
      </c>
      <c r="J1016" s="2" t="str">
        <f>_xlfn.XLOOKUP(A1016,YW邮编覆盖!A:A,YW邮编覆盖!B:B,"否")</f>
        <v>是</v>
      </c>
    </row>
    <row r="1017" spans="1:10" hidden="1">
      <c r="A1017" s="3">
        <v>94132</v>
      </c>
      <c r="B1017" s="1" t="s">
        <v>88</v>
      </c>
      <c r="C1017" s="2" t="str">
        <f>_xlfn.XLOOKUP(B1017,线路DSP对应!A:A,线路DSP对应!B:B)</f>
        <v>STA_SFO_RR</v>
      </c>
      <c r="D1017" s="4" t="s">
        <v>153</v>
      </c>
      <c r="E1017" s="2" t="str">
        <f>_xlfn.XLOOKUP(A1017,转单情况!A:A,转单情况!B:B)</f>
        <v>否</v>
      </c>
      <c r="G1017" s="28">
        <f>ROUND(_xlfn.XLOOKUP(A1017,全量!A:A,全量!B:B,0)/7,1)</f>
        <v>9.4</v>
      </c>
      <c r="H1017" s="2">
        <f>ROUND(_xlfn.XLOOKUP(A1017,AE!A:A,AE!B:B,0)/7,1)</f>
        <v>9</v>
      </c>
      <c r="I1017" s="2" t="str">
        <f>_xlfn.XLOOKUP(A1017,SWFTX邮编覆盖!A:A,SWFTX邮编覆盖!B:B,"否")</f>
        <v>是</v>
      </c>
      <c r="J1017" s="2" t="str">
        <f>_xlfn.XLOOKUP(A1017,YW邮编覆盖!A:A,YW邮编覆盖!B:B,"否")</f>
        <v>是</v>
      </c>
    </row>
    <row r="1018" spans="1:10" hidden="1">
      <c r="A1018" s="3">
        <v>94030</v>
      </c>
      <c r="B1018" s="1" t="s">
        <v>89</v>
      </c>
      <c r="C1018" s="2" t="str">
        <f>_xlfn.XLOOKUP(B1018,线路DSP对应!A:A,线路DSP对应!B:B)</f>
        <v>STA_LAX_ChinaOcean</v>
      </c>
      <c r="D1018" s="4" t="s">
        <v>153</v>
      </c>
      <c r="E1018" s="2" t="str">
        <f>_xlfn.XLOOKUP(A1018,转单情况!A:A,转单情况!B:B)</f>
        <v>SW</v>
      </c>
      <c r="G1018" s="28">
        <f>ROUND(_xlfn.XLOOKUP(A1018,全量!A:A,全量!B:B,0)/7,1)</f>
        <v>7.3</v>
      </c>
      <c r="H1018" s="2">
        <f>ROUND(_xlfn.XLOOKUP(A1018,AE!A:A,AE!B:B,0)/7,1)</f>
        <v>6.7</v>
      </c>
      <c r="I1018" s="2" t="str">
        <f>_xlfn.XLOOKUP(A1018,SWFTX邮编覆盖!A:A,SWFTX邮编覆盖!B:B,"否")</f>
        <v>是</v>
      </c>
      <c r="J1018" s="2" t="str">
        <f>_xlfn.XLOOKUP(A1018,YW邮编覆盖!A:A,YW邮编覆盖!B:B,"否")</f>
        <v>是</v>
      </c>
    </row>
    <row r="1019" spans="1:10" hidden="1">
      <c r="A1019" s="3">
        <v>94010</v>
      </c>
      <c r="B1019" s="1" t="s">
        <v>89</v>
      </c>
      <c r="C1019" s="2" t="str">
        <f>_xlfn.XLOOKUP(B1019,线路DSP对应!A:A,线路DSP对应!B:B)</f>
        <v>STA_LAX_ChinaOcean</v>
      </c>
      <c r="D1019" s="4" t="s">
        <v>153</v>
      </c>
      <c r="E1019" s="2" t="str">
        <f>_xlfn.XLOOKUP(A1019,转单情况!A:A,转单情况!B:B)</f>
        <v>SW</v>
      </c>
      <c r="G1019" s="28">
        <f>ROUND(_xlfn.XLOOKUP(A1019,全量!A:A,全量!B:B,0)/7,1)</f>
        <v>12</v>
      </c>
      <c r="H1019" s="2">
        <f>ROUND(_xlfn.XLOOKUP(A1019,AE!A:A,AE!B:B,0)/7,1)</f>
        <v>11.6</v>
      </c>
      <c r="I1019" s="2" t="str">
        <f>_xlfn.XLOOKUP(A1019,SWFTX邮编覆盖!A:A,SWFTX邮编覆盖!B:B,"否")</f>
        <v>是</v>
      </c>
      <c r="J1019" s="2" t="str">
        <f>_xlfn.XLOOKUP(A1019,YW邮编覆盖!A:A,YW邮编覆盖!B:B,"否")</f>
        <v>是</v>
      </c>
    </row>
    <row r="1020" spans="1:10" hidden="1">
      <c r="A1020" s="3">
        <v>94401</v>
      </c>
      <c r="B1020" s="1" t="s">
        <v>89</v>
      </c>
      <c r="C1020" s="2" t="str">
        <f>_xlfn.XLOOKUP(B1020,线路DSP对应!A:A,线路DSP对应!B:B)</f>
        <v>STA_LAX_ChinaOcean</v>
      </c>
      <c r="D1020" s="4" t="s">
        <v>153</v>
      </c>
      <c r="E1020" s="2" t="str">
        <f>_xlfn.XLOOKUP(A1020,转单情况!A:A,转单情况!B:B)</f>
        <v>SW</v>
      </c>
      <c r="G1020" s="28">
        <f>ROUND(_xlfn.XLOOKUP(A1020,全量!A:A,全量!B:B,0)/7,1)</f>
        <v>7.1</v>
      </c>
      <c r="H1020" s="2">
        <f>ROUND(_xlfn.XLOOKUP(A1020,AE!A:A,AE!B:B,0)/7,1)</f>
        <v>7</v>
      </c>
      <c r="I1020" s="2" t="str">
        <f>_xlfn.XLOOKUP(A1020,SWFTX邮编覆盖!A:A,SWFTX邮编覆盖!B:B,"否")</f>
        <v>是</v>
      </c>
      <c r="J1020" s="2" t="str">
        <f>_xlfn.XLOOKUP(A1020,YW邮编覆盖!A:A,YW邮编覆盖!B:B,"否")</f>
        <v>是</v>
      </c>
    </row>
    <row r="1021" spans="1:10" hidden="1">
      <c r="A1021" s="3">
        <v>94402</v>
      </c>
      <c r="B1021" s="1" t="s">
        <v>89</v>
      </c>
      <c r="C1021" s="2" t="str">
        <f>_xlfn.XLOOKUP(B1021,线路DSP对应!A:A,线路DSP对应!B:B)</f>
        <v>STA_LAX_ChinaOcean</v>
      </c>
      <c r="D1021" s="4" t="s">
        <v>153</v>
      </c>
      <c r="E1021" s="2" t="str">
        <f>_xlfn.XLOOKUP(A1021,转单情况!A:A,转单情况!B:B)</f>
        <v>SW</v>
      </c>
      <c r="G1021" s="28">
        <f>ROUND(_xlfn.XLOOKUP(A1021,全量!A:A,全量!B:B,0)/7,1)</f>
        <v>4.7</v>
      </c>
      <c r="H1021" s="2">
        <f>ROUND(_xlfn.XLOOKUP(A1021,AE!A:A,AE!B:B,0)/7,1)</f>
        <v>4.3</v>
      </c>
      <c r="I1021" s="2" t="str">
        <f>_xlfn.XLOOKUP(A1021,SWFTX邮编覆盖!A:A,SWFTX邮编覆盖!B:B,"否")</f>
        <v>是</v>
      </c>
      <c r="J1021" s="2" t="str">
        <f>_xlfn.XLOOKUP(A1021,YW邮编覆盖!A:A,YW邮编覆盖!B:B,"否")</f>
        <v>是</v>
      </c>
    </row>
    <row r="1022" spans="1:10" hidden="1">
      <c r="A1022" s="3">
        <v>94403</v>
      </c>
      <c r="B1022" s="1" t="s">
        <v>89</v>
      </c>
      <c r="C1022" s="2" t="str">
        <f>_xlfn.XLOOKUP(B1022,线路DSP对应!A:A,线路DSP对应!B:B)</f>
        <v>STA_LAX_ChinaOcean</v>
      </c>
      <c r="D1022" s="4" t="s">
        <v>153</v>
      </c>
      <c r="E1022" s="2" t="str">
        <f>_xlfn.XLOOKUP(A1022,转单情况!A:A,转单情况!B:B)</f>
        <v>SW</v>
      </c>
      <c r="G1022" s="28">
        <f>ROUND(_xlfn.XLOOKUP(A1022,全量!A:A,全量!B:B,0)/7,1)</f>
        <v>10.7</v>
      </c>
      <c r="H1022" s="2">
        <f>ROUND(_xlfn.XLOOKUP(A1022,AE!A:A,AE!B:B,0)/7,1)</f>
        <v>10.7</v>
      </c>
      <c r="I1022" s="2" t="str">
        <f>_xlfn.XLOOKUP(A1022,SWFTX邮编覆盖!A:A,SWFTX邮编覆盖!B:B,"否")</f>
        <v>是</v>
      </c>
      <c r="J1022" s="2" t="str">
        <f>_xlfn.XLOOKUP(A1022,YW邮编覆盖!A:A,YW邮编覆盖!B:B,"否")</f>
        <v>是</v>
      </c>
    </row>
    <row r="1023" spans="1:10" hidden="1">
      <c r="A1023" s="3">
        <v>94404</v>
      </c>
      <c r="B1023" s="1" t="s">
        <v>89</v>
      </c>
      <c r="C1023" s="2" t="str">
        <f>_xlfn.XLOOKUP(B1023,线路DSP对应!A:A,线路DSP对应!B:B)</f>
        <v>STA_LAX_ChinaOcean</v>
      </c>
      <c r="D1023" s="4" t="s">
        <v>153</v>
      </c>
      <c r="E1023" s="2" t="str">
        <f>_xlfn.XLOOKUP(A1023,转单情况!A:A,转单情况!B:B)</f>
        <v>SW</v>
      </c>
      <c r="G1023" s="28">
        <f>ROUND(_xlfn.XLOOKUP(A1023,全量!A:A,全量!B:B,0)/7,1)</f>
        <v>7.6</v>
      </c>
      <c r="H1023" s="2">
        <f>ROUND(_xlfn.XLOOKUP(A1023,AE!A:A,AE!B:B,0)/7,1)</f>
        <v>7.3</v>
      </c>
      <c r="I1023" s="2" t="str">
        <f>_xlfn.XLOOKUP(A1023,SWFTX邮编覆盖!A:A,SWFTX邮编覆盖!B:B,"否")</f>
        <v>是</v>
      </c>
      <c r="J1023" s="2" t="str">
        <f>_xlfn.XLOOKUP(A1023,YW邮编覆盖!A:A,YW邮编覆盖!B:B,"否")</f>
        <v>是</v>
      </c>
    </row>
    <row r="1024" spans="1:10" hidden="1">
      <c r="A1024" s="3">
        <v>94304</v>
      </c>
      <c r="B1024" s="1" t="s">
        <v>90</v>
      </c>
      <c r="C1024" s="2" t="str">
        <f>_xlfn.XLOOKUP(B1024,线路DSP对应!A:A,线路DSP对应!B:B)</f>
        <v>STA_SFO_RR</v>
      </c>
      <c r="D1024" s="4" t="s">
        <v>153</v>
      </c>
      <c r="E1024" s="2" t="str">
        <f>_xlfn.XLOOKUP(A1024,转单情况!A:A,转单情况!B:B)</f>
        <v>SW</v>
      </c>
      <c r="G1024" s="28">
        <f>ROUND(_xlfn.XLOOKUP(A1024,全量!A:A,全量!B:B,0)/7,1)</f>
        <v>0.9</v>
      </c>
      <c r="H1024" s="2">
        <f>ROUND(_xlfn.XLOOKUP(A1024,AE!A:A,AE!B:B,0)/7,1)</f>
        <v>0.9</v>
      </c>
      <c r="I1024" s="2" t="str">
        <f>_xlfn.XLOOKUP(A1024,SWFTX邮编覆盖!A:A,SWFTX邮编覆盖!B:B,"否")</f>
        <v>是</v>
      </c>
      <c r="J1024" s="2" t="str">
        <f>_xlfn.XLOOKUP(A1024,YW邮编覆盖!A:A,YW邮编覆盖!B:B,"否")</f>
        <v>是</v>
      </c>
    </row>
    <row r="1025" spans="1:10" hidden="1">
      <c r="A1025" s="3">
        <v>94306</v>
      </c>
      <c r="B1025" s="1" t="s">
        <v>90</v>
      </c>
      <c r="C1025" s="2" t="str">
        <f>_xlfn.XLOOKUP(B1025,线路DSP对应!A:A,线路DSP对应!B:B)</f>
        <v>STA_SFO_RR</v>
      </c>
      <c r="D1025" s="4" t="s">
        <v>153</v>
      </c>
      <c r="E1025" s="2" t="str">
        <f>_xlfn.XLOOKUP(A1025,转单情况!A:A,转单情况!B:B)</f>
        <v>SW</v>
      </c>
      <c r="G1025" s="28">
        <f>ROUND(_xlfn.XLOOKUP(A1025,全量!A:A,全量!B:B,0)/7,1)</f>
        <v>7</v>
      </c>
      <c r="H1025" s="2">
        <f>ROUND(_xlfn.XLOOKUP(A1025,AE!A:A,AE!B:B,0)/7,1)</f>
        <v>6.7</v>
      </c>
      <c r="I1025" s="2" t="str">
        <f>_xlfn.XLOOKUP(A1025,SWFTX邮编覆盖!A:A,SWFTX邮编覆盖!B:B,"否")</f>
        <v>是</v>
      </c>
      <c r="J1025" s="2" t="str">
        <f>_xlfn.XLOOKUP(A1025,YW邮编覆盖!A:A,YW邮编覆盖!B:B,"否")</f>
        <v>是</v>
      </c>
    </row>
    <row r="1026" spans="1:10" hidden="1">
      <c r="A1026" s="3">
        <v>94305</v>
      </c>
      <c r="B1026" s="1" t="s">
        <v>90</v>
      </c>
      <c r="C1026" s="2" t="str">
        <f>_xlfn.XLOOKUP(B1026,线路DSP对应!A:A,线路DSP对应!B:B)</f>
        <v>STA_SFO_RR</v>
      </c>
      <c r="D1026" s="4" t="s">
        <v>153</v>
      </c>
      <c r="E1026" s="2" t="str">
        <f>_xlfn.XLOOKUP(A1026,转单情况!A:A,转单情况!B:B)</f>
        <v>SW</v>
      </c>
      <c r="G1026" s="28">
        <f>ROUND(_xlfn.XLOOKUP(A1026,全量!A:A,全量!B:B,0)/7,1)</f>
        <v>1.9</v>
      </c>
      <c r="H1026" s="2">
        <f>ROUND(_xlfn.XLOOKUP(A1026,AE!A:A,AE!B:B,0)/7,1)</f>
        <v>1.9</v>
      </c>
      <c r="I1026" s="2" t="str">
        <f>_xlfn.XLOOKUP(A1026,SWFTX邮编覆盖!A:A,SWFTX邮编覆盖!B:B,"否")</f>
        <v>是</v>
      </c>
      <c r="J1026" s="2" t="str">
        <f>_xlfn.XLOOKUP(A1026,YW邮编覆盖!A:A,YW邮编覆盖!B:B,"否")</f>
        <v>是</v>
      </c>
    </row>
    <row r="1027" spans="1:10" hidden="1">
      <c r="A1027" s="3">
        <v>94301</v>
      </c>
      <c r="B1027" s="1" t="s">
        <v>90</v>
      </c>
      <c r="C1027" s="2" t="str">
        <f>_xlfn.XLOOKUP(B1027,线路DSP对应!A:A,线路DSP对应!B:B)</f>
        <v>STA_SFO_RR</v>
      </c>
      <c r="D1027" s="4" t="s">
        <v>153</v>
      </c>
      <c r="E1027" s="2" t="str">
        <f>_xlfn.XLOOKUP(A1027,转单情况!A:A,转单情况!B:B)</f>
        <v>SW</v>
      </c>
      <c r="G1027" s="28">
        <f>ROUND(_xlfn.XLOOKUP(A1027,全量!A:A,全量!B:B,0)/7,1)</f>
        <v>3.6</v>
      </c>
      <c r="H1027" s="2">
        <f>ROUND(_xlfn.XLOOKUP(A1027,AE!A:A,AE!B:B,0)/7,1)</f>
        <v>3.4</v>
      </c>
      <c r="I1027" s="2" t="str">
        <f>_xlfn.XLOOKUP(A1027,SWFTX邮编覆盖!A:A,SWFTX邮编覆盖!B:B,"否")</f>
        <v>是</v>
      </c>
      <c r="J1027" s="2" t="str">
        <f>_xlfn.XLOOKUP(A1027,YW邮编覆盖!A:A,YW邮编覆盖!B:B,"否")</f>
        <v>是</v>
      </c>
    </row>
    <row r="1028" spans="1:10" hidden="1">
      <c r="A1028" s="3">
        <v>94028</v>
      </c>
      <c r="B1028" s="1" t="s">
        <v>90</v>
      </c>
      <c r="C1028" s="2" t="str">
        <f>_xlfn.XLOOKUP(B1028,线路DSP对应!A:A,线路DSP对应!B:B)</f>
        <v>STA_SFO_RR</v>
      </c>
      <c r="D1028" s="4" t="s">
        <v>153</v>
      </c>
      <c r="E1028" s="2" t="str">
        <f>_xlfn.XLOOKUP(A1028,转单情况!A:A,转单情况!B:B)</f>
        <v>否</v>
      </c>
      <c r="G1028" s="28">
        <f>ROUND(_xlfn.XLOOKUP(A1028,全量!A:A,全量!B:B,0)/7,1)</f>
        <v>0.7</v>
      </c>
      <c r="H1028" s="2">
        <f>ROUND(_xlfn.XLOOKUP(A1028,AE!A:A,AE!B:B,0)/7,1)</f>
        <v>0.7</v>
      </c>
      <c r="I1028" s="2" t="str">
        <f>_xlfn.XLOOKUP(A1028,SWFTX邮编覆盖!A:A,SWFTX邮编覆盖!B:B,"否")</f>
        <v>否</v>
      </c>
      <c r="J1028" s="2" t="str">
        <f>_xlfn.XLOOKUP(A1028,YW邮编覆盖!A:A,YW邮编覆盖!B:B,"否")</f>
        <v>否</v>
      </c>
    </row>
    <row r="1029" spans="1:10" hidden="1">
      <c r="A1029" s="3">
        <v>94303</v>
      </c>
      <c r="B1029" s="1" t="s">
        <v>90</v>
      </c>
      <c r="C1029" s="2" t="str">
        <f>_xlfn.XLOOKUP(B1029,线路DSP对应!A:A,线路DSP对应!B:B)</f>
        <v>STA_SFO_RR</v>
      </c>
      <c r="D1029" s="4" t="s">
        <v>153</v>
      </c>
      <c r="E1029" s="2" t="str">
        <f>_xlfn.XLOOKUP(A1029,转单情况!A:A,转单情况!B:B)</f>
        <v>SW</v>
      </c>
      <c r="G1029" s="28">
        <f>ROUND(_xlfn.XLOOKUP(A1029,全量!A:A,全量!B:B,0)/7,1)</f>
        <v>8.6</v>
      </c>
      <c r="H1029" s="2">
        <f>ROUND(_xlfn.XLOOKUP(A1029,AE!A:A,AE!B:B,0)/7,1)</f>
        <v>8.4</v>
      </c>
      <c r="I1029" s="2" t="str">
        <f>_xlfn.XLOOKUP(A1029,SWFTX邮编覆盖!A:A,SWFTX邮编覆盖!B:B,"否")</f>
        <v>是</v>
      </c>
      <c r="J1029" s="2" t="str">
        <f>_xlfn.XLOOKUP(A1029,YW邮编覆盖!A:A,YW邮编覆盖!B:B,"否")</f>
        <v>是</v>
      </c>
    </row>
    <row r="1030" spans="1:10" hidden="1">
      <c r="A1030" s="3">
        <v>94027</v>
      </c>
      <c r="B1030" s="1" t="s">
        <v>90</v>
      </c>
      <c r="C1030" s="2" t="str">
        <f>_xlfn.XLOOKUP(B1030,线路DSP对应!A:A,线路DSP对应!B:B)</f>
        <v>STA_SFO_RR</v>
      </c>
      <c r="D1030" s="4" t="s">
        <v>153</v>
      </c>
      <c r="E1030" s="2" t="str">
        <f>_xlfn.XLOOKUP(A1030,转单情况!A:A,转单情况!B:B)</f>
        <v>SW</v>
      </c>
      <c r="G1030" s="28">
        <f>ROUND(_xlfn.XLOOKUP(A1030,全量!A:A,全量!B:B,0)/7,1)</f>
        <v>0.9</v>
      </c>
      <c r="H1030" s="2">
        <f>ROUND(_xlfn.XLOOKUP(A1030,AE!A:A,AE!B:B,0)/7,1)</f>
        <v>0.9</v>
      </c>
      <c r="I1030" s="2" t="str">
        <f>_xlfn.XLOOKUP(A1030,SWFTX邮编覆盖!A:A,SWFTX邮编覆盖!B:B,"否")</f>
        <v>是</v>
      </c>
      <c r="J1030" s="2" t="str">
        <f>_xlfn.XLOOKUP(A1030,YW邮编覆盖!A:A,YW邮编覆盖!B:B,"否")</f>
        <v>是</v>
      </c>
    </row>
    <row r="1031" spans="1:10" hidden="1">
      <c r="A1031" s="3">
        <v>94025</v>
      </c>
      <c r="B1031" s="1" t="s">
        <v>90</v>
      </c>
      <c r="C1031" s="2" t="str">
        <f>_xlfn.XLOOKUP(B1031,线路DSP对应!A:A,线路DSP对应!B:B)</f>
        <v>STA_SFO_RR</v>
      </c>
      <c r="D1031" s="4" t="s">
        <v>153</v>
      </c>
      <c r="E1031" s="2" t="str">
        <f>_xlfn.XLOOKUP(A1031,转单情况!A:A,转单情况!B:B)</f>
        <v>SW</v>
      </c>
      <c r="G1031" s="28">
        <f>ROUND(_xlfn.XLOOKUP(A1031,全量!A:A,全量!B:B,0)/7,1)</f>
        <v>9</v>
      </c>
      <c r="H1031" s="2">
        <f>ROUND(_xlfn.XLOOKUP(A1031,AE!A:A,AE!B:B,0)/7,1)</f>
        <v>8.6</v>
      </c>
      <c r="I1031" s="2" t="str">
        <f>_xlfn.XLOOKUP(A1031,SWFTX邮编覆盖!A:A,SWFTX邮编覆盖!B:B,"否")</f>
        <v>是</v>
      </c>
      <c r="J1031" s="2" t="str">
        <f>_xlfn.XLOOKUP(A1031,YW邮编覆盖!A:A,YW邮编覆盖!B:B,"否")</f>
        <v>是</v>
      </c>
    </row>
    <row r="1032" spans="1:10" hidden="1">
      <c r="A1032" s="3">
        <v>94124</v>
      </c>
      <c r="B1032" s="1" t="s">
        <v>91</v>
      </c>
      <c r="C1032" s="2" t="str">
        <f>_xlfn.XLOOKUP(B1032,线路DSP对应!A:A,线路DSP对应!B:B)</f>
        <v>STA_SFO_RR</v>
      </c>
      <c r="D1032" s="4" t="s">
        <v>153</v>
      </c>
      <c r="E1032" s="2" t="str">
        <f>_xlfn.XLOOKUP(A1032,转单情况!A:A,转单情况!B:B)</f>
        <v>否</v>
      </c>
      <c r="G1032" s="28">
        <f>ROUND(_xlfn.XLOOKUP(A1032,全量!A:A,全量!B:B,0)/7,1)</f>
        <v>18.3</v>
      </c>
      <c r="H1032" s="2">
        <f>ROUND(_xlfn.XLOOKUP(A1032,AE!A:A,AE!B:B,0)/7,1)</f>
        <v>17.100000000000001</v>
      </c>
      <c r="I1032" s="2" t="str">
        <f>_xlfn.XLOOKUP(A1032,SWFTX邮编覆盖!A:A,SWFTX邮编覆盖!B:B,"否")</f>
        <v>是</v>
      </c>
      <c r="J1032" s="2" t="str">
        <f>_xlfn.XLOOKUP(A1032,YW邮编覆盖!A:A,YW邮编覆盖!B:B,"否")</f>
        <v>是</v>
      </c>
    </row>
    <row r="1033" spans="1:10" hidden="1">
      <c r="A1033" s="3">
        <v>94114</v>
      </c>
      <c r="B1033" s="1" t="s">
        <v>91</v>
      </c>
      <c r="C1033" s="2" t="str">
        <f>_xlfn.XLOOKUP(B1033,线路DSP对应!A:A,线路DSP对应!B:B)</f>
        <v>STA_SFO_RR</v>
      </c>
      <c r="D1033" s="4" t="s">
        <v>153</v>
      </c>
      <c r="E1033" s="2" t="str">
        <f>_xlfn.XLOOKUP(A1033,转单情况!A:A,转单情况!B:B)</f>
        <v>否</v>
      </c>
      <c r="G1033" s="28">
        <f>ROUND(_xlfn.XLOOKUP(A1033,全量!A:A,全量!B:B,0)/7,1)</f>
        <v>7.3</v>
      </c>
      <c r="H1033" s="2">
        <f>ROUND(_xlfn.XLOOKUP(A1033,AE!A:A,AE!B:B,0)/7,1)</f>
        <v>6.9</v>
      </c>
      <c r="I1033" s="2" t="str">
        <f>_xlfn.XLOOKUP(A1033,SWFTX邮编覆盖!A:A,SWFTX邮编覆盖!B:B,"否")</f>
        <v>是</v>
      </c>
      <c r="J1033" s="2" t="str">
        <f>_xlfn.XLOOKUP(A1033,YW邮编覆盖!A:A,YW邮编覆盖!B:B,"否")</f>
        <v>是</v>
      </c>
    </row>
    <row r="1034" spans="1:10" hidden="1">
      <c r="A1034" s="3">
        <v>94131</v>
      </c>
      <c r="B1034" s="1" t="s">
        <v>91</v>
      </c>
      <c r="C1034" s="2" t="str">
        <f>_xlfn.XLOOKUP(B1034,线路DSP对应!A:A,线路DSP对应!B:B)</f>
        <v>STA_SFO_RR</v>
      </c>
      <c r="D1034" s="4" t="s">
        <v>153</v>
      </c>
      <c r="E1034" s="2" t="str">
        <f>_xlfn.XLOOKUP(A1034,转单情况!A:A,转单情况!B:B)</f>
        <v>否</v>
      </c>
      <c r="G1034" s="28">
        <f>ROUND(_xlfn.XLOOKUP(A1034,全量!A:A,全量!B:B,0)/7,1)</f>
        <v>6.1</v>
      </c>
      <c r="H1034" s="2">
        <f>ROUND(_xlfn.XLOOKUP(A1034,AE!A:A,AE!B:B,0)/7,1)</f>
        <v>6</v>
      </c>
      <c r="I1034" s="2" t="str">
        <f>_xlfn.XLOOKUP(A1034,SWFTX邮编覆盖!A:A,SWFTX邮编覆盖!B:B,"否")</f>
        <v>是</v>
      </c>
      <c r="J1034" s="2" t="str">
        <f>_xlfn.XLOOKUP(A1034,YW邮编覆盖!A:A,YW邮编覆盖!B:B,"否")</f>
        <v>是</v>
      </c>
    </row>
    <row r="1035" spans="1:10" hidden="1">
      <c r="A1035" s="3">
        <v>94112</v>
      </c>
      <c r="B1035" s="1" t="s">
        <v>91</v>
      </c>
      <c r="C1035" s="2" t="str">
        <f>_xlfn.XLOOKUP(B1035,线路DSP对应!A:A,线路DSP对应!B:B)</f>
        <v>STA_SFO_RR</v>
      </c>
      <c r="D1035" s="4" t="s">
        <v>153</v>
      </c>
      <c r="E1035" s="2" t="str">
        <f>_xlfn.XLOOKUP(A1035,转单情况!A:A,转单情况!B:B)</f>
        <v>否</v>
      </c>
      <c r="G1035" s="28">
        <f>ROUND(_xlfn.XLOOKUP(A1035,全量!A:A,全量!B:B,0)/7,1)</f>
        <v>27.6</v>
      </c>
      <c r="H1035" s="2">
        <f>ROUND(_xlfn.XLOOKUP(A1035,AE!A:A,AE!B:B,0)/7,1)</f>
        <v>27</v>
      </c>
      <c r="I1035" s="2" t="str">
        <f>_xlfn.XLOOKUP(A1035,SWFTX邮编覆盖!A:A,SWFTX邮编覆盖!B:B,"否")</f>
        <v>是</v>
      </c>
      <c r="J1035" s="2" t="str">
        <f>_xlfn.XLOOKUP(A1035,YW邮编覆盖!A:A,YW邮编覆盖!B:B,"否")</f>
        <v>是</v>
      </c>
    </row>
    <row r="1036" spans="1:10" hidden="1">
      <c r="A1036" s="3">
        <v>94134</v>
      </c>
      <c r="B1036" s="1" t="s">
        <v>91</v>
      </c>
      <c r="C1036" s="2" t="str">
        <f>_xlfn.XLOOKUP(B1036,线路DSP对应!A:A,线路DSP对应!B:B)</f>
        <v>STA_SFO_RR</v>
      </c>
      <c r="D1036" s="4" t="s">
        <v>153</v>
      </c>
      <c r="E1036" s="2" t="str">
        <f>_xlfn.XLOOKUP(A1036,转单情况!A:A,转单情况!B:B)</f>
        <v>否</v>
      </c>
      <c r="G1036" s="28">
        <f>ROUND(_xlfn.XLOOKUP(A1036,全量!A:A,全量!B:B,0)/7,1)</f>
        <v>12.1</v>
      </c>
      <c r="H1036" s="2">
        <f>ROUND(_xlfn.XLOOKUP(A1036,AE!A:A,AE!B:B,0)/7,1)</f>
        <v>11.6</v>
      </c>
      <c r="I1036" s="2" t="str">
        <f>_xlfn.XLOOKUP(A1036,SWFTX邮编覆盖!A:A,SWFTX邮编覆盖!B:B,"否")</f>
        <v>是</v>
      </c>
      <c r="J1036" s="2" t="str">
        <f>_xlfn.XLOOKUP(A1036,YW邮编覆盖!A:A,YW邮编覆盖!B:B,"否")</f>
        <v>是</v>
      </c>
    </row>
    <row r="1037" spans="1:10" hidden="1">
      <c r="A1037" s="3">
        <v>94062</v>
      </c>
      <c r="B1037" s="1" t="s">
        <v>92</v>
      </c>
      <c r="C1037" s="2" t="str">
        <f>_xlfn.XLOOKUP(B1037,线路DSP对应!A:A,线路DSP对应!B:B)</f>
        <v>STA_SFO_RR</v>
      </c>
      <c r="D1037" s="4" t="s">
        <v>153</v>
      </c>
      <c r="E1037" s="2" t="str">
        <f>_xlfn.XLOOKUP(A1037,转单情况!A:A,转单情况!B:B)</f>
        <v>否</v>
      </c>
      <c r="G1037" s="28">
        <f>ROUND(_xlfn.XLOOKUP(A1037,全量!A:A,全量!B:B,0)/7,1)</f>
        <v>6</v>
      </c>
      <c r="H1037" s="2">
        <f>ROUND(_xlfn.XLOOKUP(A1037,AE!A:A,AE!B:B,0)/7,1)</f>
        <v>6</v>
      </c>
      <c r="I1037" s="2" t="str">
        <f>_xlfn.XLOOKUP(A1037,SWFTX邮编覆盖!A:A,SWFTX邮编覆盖!B:B,"否")</f>
        <v>否</v>
      </c>
      <c r="J1037" s="2" t="str">
        <f>_xlfn.XLOOKUP(A1037,YW邮编覆盖!A:A,YW邮编覆盖!B:B,"否")</f>
        <v>否</v>
      </c>
    </row>
    <row r="1038" spans="1:10" hidden="1">
      <c r="A1038" s="3">
        <v>94061</v>
      </c>
      <c r="B1038" s="1" t="s">
        <v>92</v>
      </c>
      <c r="C1038" s="2" t="str">
        <f>_xlfn.XLOOKUP(B1038,线路DSP对应!A:A,线路DSP对应!B:B)</f>
        <v>STA_SFO_RR</v>
      </c>
      <c r="D1038" s="4" t="s">
        <v>153</v>
      </c>
      <c r="E1038" s="2" t="str">
        <f>_xlfn.XLOOKUP(A1038,转单情况!A:A,转单情况!B:B)</f>
        <v>SW</v>
      </c>
      <c r="G1038" s="28">
        <f>ROUND(_xlfn.XLOOKUP(A1038,全量!A:A,全量!B:B,0)/7,1)</f>
        <v>8.4</v>
      </c>
      <c r="H1038" s="2">
        <f>ROUND(_xlfn.XLOOKUP(A1038,AE!A:A,AE!B:B,0)/7,1)</f>
        <v>8.3000000000000007</v>
      </c>
      <c r="I1038" s="2" t="str">
        <f>_xlfn.XLOOKUP(A1038,SWFTX邮编覆盖!A:A,SWFTX邮编覆盖!B:B,"否")</f>
        <v>是</v>
      </c>
      <c r="J1038" s="2" t="str">
        <f>_xlfn.XLOOKUP(A1038,YW邮编覆盖!A:A,YW邮编覆盖!B:B,"否")</f>
        <v>是</v>
      </c>
    </row>
    <row r="1039" spans="1:10" hidden="1">
      <c r="A1039" s="3">
        <v>94063</v>
      </c>
      <c r="B1039" s="1" t="s">
        <v>92</v>
      </c>
      <c r="C1039" s="2" t="str">
        <f>_xlfn.XLOOKUP(B1039,线路DSP对应!A:A,线路DSP对应!B:B)</f>
        <v>STA_SFO_RR</v>
      </c>
      <c r="D1039" s="4" t="s">
        <v>153</v>
      </c>
      <c r="E1039" s="2" t="str">
        <f>_xlfn.XLOOKUP(A1039,转单情况!A:A,转单情况!B:B)</f>
        <v>SW</v>
      </c>
      <c r="G1039" s="28">
        <f>ROUND(_xlfn.XLOOKUP(A1039,全量!A:A,全量!B:B,0)/7,1)</f>
        <v>7.3</v>
      </c>
      <c r="H1039" s="2">
        <f>ROUND(_xlfn.XLOOKUP(A1039,AE!A:A,AE!B:B,0)/7,1)</f>
        <v>7</v>
      </c>
      <c r="I1039" s="2" t="str">
        <f>_xlfn.XLOOKUP(A1039,SWFTX邮编覆盖!A:A,SWFTX邮编覆盖!B:B,"否")</f>
        <v>是</v>
      </c>
      <c r="J1039" s="2" t="str">
        <f>_xlfn.XLOOKUP(A1039,YW邮编覆盖!A:A,YW邮编覆盖!B:B,"否")</f>
        <v>是</v>
      </c>
    </row>
    <row r="1040" spans="1:10" hidden="1">
      <c r="A1040" s="3">
        <v>94070</v>
      </c>
      <c r="B1040" s="1" t="s">
        <v>92</v>
      </c>
      <c r="C1040" s="2" t="str">
        <f>_xlfn.XLOOKUP(B1040,线路DSP对应!A:A,线路DSP对应!B:B)</f>
        <v>STA_SFO_RR</v>
      </c>
      <c r="D1040" s="4" t="s">
        <v>153</v>
      </c>
      <c r="E1040" s="2" t="str">
        <f>_xlfn.XLOOKUP(A1040,转单情况!A:A,转单情况!B:B)</f>
        <v>SW</v>
      </c>
      <c r="G1040" s="28">
        <f>ROUND(_xlfn.XLOOKUP(A1040,全量!A:A,全量!B:B,0)/7,1)</f>
        <v>6.7</v>
      </c>
      <c r="H1040" s="2">
        <f>ROUND(_xlfn.XLOOKUP(A1040,AE!A:A,AE!B:B,0)/7,1)</f>
        <v>6.1</v>
      </c>
      <c r="I1040" s="2" t="str">
        <f>_xlfn.XLOOKUP(A1040,SWFTX邮编覆盖!A:A,SWFTX邮编覆盖!B:B,"否")</f>
        <v>是</v>
      </c>
      <c r="J1040" s="2" t="str">
        <f>_xlfn.XLOOKUP(A1040,YW邮编覆盖!A:A,YW邮编覆盖!B:B,"否")</f>
        <v>是</v>
      </c>
    </row>
    <row r="1041" spans="1:10" hidden="1">
      <c r="A1041" s="3">
        <v>94065</v>
      </c>
      <c r="B1041" s="1" t="s">
        <v>92</v>
      </c>
      <c r="C1041" s="2" t="str">
        <f>_xlfn.XLOOKUP(B1041,线路DSP对应!A:A,线路DSP对应!B:B)</f>
        <v>STA_SFO_RR</v>
      </c>
      <c r="D1041" s="4" t="s">
        <v>153</v>
      </c>
      <c r="E1041" s="2" t="str">
        <f>_xlfn.XLOOKUP(A1041,转单情况!A:A,转单情况!B:B)</f>
        <v>SW</v>
      </c>
      <c r="G1041" s="28">
        <f>ROUND(_xlfn.XLOOKUP(A1041,全量!A:A,全量!B:B,0)/7,1)</f>
        <v>3.6</v>
      </c>
      <c r="H1041" s="2">
        <f>ROUND(_xlfn.XLOOKUP(A1041,AE!A:A,AE!B:B,0)/7,1)</f>
        <v>3.4</v>
      </c>
      <c r="I1041" s="2" t="str">
        <f>_xlfn.XLOOKUP(A1041,SWFTX邮编覆盖!A:A,SWFTX邮编覆盖!B:B,"否")</f>
        <v>是</v>
      </c>
      <c r="J1041" s="2" t="str">
        <f>_xlfn.XLOOKUP(A1041,YW邮编覆盖!A:A,YW邮编覆盖!B:B,"否")</f>
        <v>是</v>
      </c>
    </row>
    <row r="1042" spans="1:10" hidden="1">
      <c r="A1042" s="3">
        <v>94002</v>
      </c>
      <c r="B1042" s="1" t="s">
        <v>92</v>
      </c>
      <c r="C1042" s="2" t="str">
        <f>_xlfn.XLOOKUP(B1042,线路DSP对应!A:A,线路DSP对应!B:B)</f>
        <v>STA_SFO_RR</v>
      </c>
      <c r="D1042" s="4" t="s">
        <v>153</v>
      </c>
      <c r="E1042" s="2" t="str">
        <f>_xlfn.XLOOKUP(A1042,转单情况!A:A,转单情况!B:B)</f>
        <v>SW</v>
      </c>
      <c r="G1042" s="28">
        <f>ROUND(_xlfn.XLOOKUP(A1042,全量!A:A,全量!B:B,0)/7,1)</f>
        <v>12.7</v>
      </c>
      <c r="H1042" s="2">
        <f>ROUND(_xlfn.XLOOKUP(A1042,AE!A:A,AE!B:B,0)/7,1)</f>
        <v>12.4</v>
      </c>
      <c r="I1042" s="2" t="str">
        <f>_xlfn.XLOOKUP(A1042,SWFTX邮编覆盖!A:A,SWFTX邮编覆盖!B:B,"否")</f>
        <v>是</v>
      </c>
      <c r="J1042" s="2" t="str">
        <f>_xlfn.XLOOKUP(A1042,YW邮编覆盖!A:A,YW邮编覆盖!B:B,"否")</f>
        <v>是</v>
      </c>
    </row>
    <row r="1043" spans="1:10" hidden="1">
      <c r="A1043" s="3">
        <v>94044</v>
      </c>
      <c r="B1043" s="1" t="s">
        <v>93</v>
      </c>
      <c r="C1043" s="2" t="str">
        <f>_xlfn.XLOOKUP(B1043,线路DSP对应!A:A,线路DSP对应!B:B)</f>
        <v>STA_SFO_RR</v>
      </c>
      <c r="D1043" s="4" t="s">
        <v>153</v>
      </c>
      <c r="E1043" s="2" t="str">
        <f>_xlfn.XLOOKUP(A1043,转单情况!A:A,转单情况!B:B)</f>
        <v>否</v>
      </c>
      <c r="G1043" s="28">
        <f>ROUND(_xlfn.XLOOKUP(A1043,全量!A:A,全量!B:B,0)/7,1)</f>
        <v>16.7</v>
      </c>
      <c r="H1043" s="2">
        <f>ROUND(_xlfn.XLOOKUP(A1043,AE!A:A,AE!B:B,0)/7,1)</f>
        <v>10.7</v>
      </c>
      <c r="I1043" s="2" t="str">
        <f>_xlfn.XLOOKUP(A1043,SWFTX邮编覆盖!A:A,SWFTX邮编覆盖!B:B,"否")</f>
        <v>否</v>
      </c>
      <c r="J1043" s="2" t="str">
        <f>_xlfn.XLOOKUP(A1043,YW邮编覆盖!A:A,YW邮编覆盖!B:B,"否")</f>
        <v>否</v>
      </c>
    </row>
    <row r="1044" spans="1:10" hidden="1">
      <c r="A1044" s="3">
        <v>94015</v>
      </c>
      <c r="B1044" s="1" t="s">
        <v>93</v>
      </c>
      <c r="C1044" s="2" t="str">
        <f>_xlfn.XLOOKUP(B1044,线路DSP对应!A:A,线路DSP对应!B:B)</f>
        <v>STA_SFO_RR</v>
      </c>
      <c r="D1044" s="4" t="s">
        <v>153</v>
      </c>
      <c r="E1044" s="2" t="str">
        <f>_xlfn.XLOOKUP(A1044,转单情况!A:A,转单情况!B:B)</f>
        <v>否</v>
      </c>
      <c r="G1044" s="28">
        <f>ROUND(_xlfn.XLOOKUP(A1044,全量!A:A,全量!B:B,0)/7,1)</f>
        <v>29</v>
      </c>
      <c r="H1044" s="2">
        <f>ROUND(_xlfn.XLOOKUP(A1044,AE!A:A,AE!B:B,0)/7,1)</f>
        <v>28.4</v>
      </c>
      <c r="I1044" s="2" t="str">
        <f>_xlfn.XLOOKUP(A1044,SWFTX邮编覆盖!A:A,SWFTX邮编覆盖!B:B,"否")</f>
        <v>是</v>
      </c>
      <c r="J1044" s="2" t="str">
        <f>_xlfn.XLOOKUP(A1044,YW邮编覆盖!A:A,YW邮编覆盖!B:B,"否")</f>
        <v>是</v>
      </c>
    </row>
    <row r="1045" spans="1:10" hidden="1">
      <c r="A1045" s="3">
        <v>94066</v>
      </c>
      <c r="B1045" s="1" t="s">
        <v>93</v>
      </c>
      <c r="C1045" s="2" t="str">
        <f>_xlfn.XLOOKUP(B1045,线路DSP对应!A:A,线路DSP对应!B:B)</f>
        <v>STA_SFO_RR</v>
      </c>
      <c r="D1045" s="4" t="s">
        <v>153</v>
      </c>
      <c r="E1045" s="2" t="str">
        <f>_xlfn.XLOOKUP(A1045,转单情况!A:A,转单情况!B:B)</f>
        <v>否</v>
      </c>
      <c r="G1045" s="28">
        <f>ROUND(_xlfn.XLOOKUP(A1045,全量!A:A,全量!B:B,0)/7,1)</f>
        <v>15.3</v>
      </c>
      <c r="H1045" s="2">
        <f>ROUND(_xlfn.XLOOKUP(A1045,AE!A:A,AE!B:B,0)/7,1)</f>
        <v>14.3</v>
      </c>
      <c r="I1045" s="2" t="str">
        <f>_xlfn.XLOOKUP(A1045,SWFTX邮编覆盖!A:A,SWFTX邮编覆盖!B:B,"否")</f>
        <v>是</v>
      </c>
      <c r="J1045" s="2" t="str">
        <f>_xlfn.XLOOKUP(A1045,YW邮编覆盖!A:A,YW邮编覆盖!B:B,"否")</f>
        <v>是</v>
      </c>
    </row>
    <row r="1046" spans="1:10" hidden="1">
      <c r="A1046" s="3">
        <v>94128</v>
      </c>
      <c r="B1046" s="1" t="s">
        <v>93</v>
      </c>
      <c r="C1046" s="2" t="str">
        <f>_xlfn.XLOOKUP(B1046,线路DSP对应!A:A,线路DSP对应!B:B)</f>
        <v>STA_SFO_RR</v>
      </c>
      <c r="D1046" s="4" t="s">
        <v>153</v>
      </c>
      <c r="E1046" s="2" t="str">
        <f>_xlfn.XLOOKUP(A1046,转单情况!A:A,转单情况!B:B)</f>
        <v>否</v>
      </c>
      <c r="G1046" s="28">
        <f>ROUND(_xlfn.XLOOKUP(A1046,全量!A:A,全量!B:B,0)/7,1)</f>
        <v>0</v>
      </c>
      <c r="H1046" s="2">
        <f>ROUND(_xlfn.XLOOKUP(A1046,AE!A:A,AE!B:B,0)/7,1)</f>
        <v>0</v>
      </c>
      <c r="I1046" s="2" t="str">
        <f>_xlfn.XLOOKUP(A1046,SWFTX邮编覆盖!A:A,SWFTX邮编覆盖!B:B,"否")</f>
        <v>否</v>
      </c>
      <c r="J1046" s="2" t="str">
        <f>_xlfn.XLOOKUP(A1046,YW邮编覆盖!A:A,YW邮编覆盖!B:B,"否")</f>
        <v>否</v>
      </c>
    </row>
    <row r="1047" spans="1:10" hidden="1">
      <c r="A1047" s="3">
        <v>94014</v>
      </c>
      <c r="B1047" s="1" t="s">
        <v>93</v>
      </c>
      <c r="C1047" s="2" t="str">
        <f>_xlfn.XLOOKUP(B1047,线路DSP对应!A:A,线路DSP对应!B:B)</f>
        <v>STA_SFO_RR</v>
      </c>
      <c r="D1047" s="4" t="s">
        <v>153</v>
      </c>
      <c r="E1047" s="2" t="str">
        <f>_xlfn.XLOOKUP(A1047,转单情况!A:A,转单情况!B:B)</f>
        <v>否</v>
      </c>
      <c r="G1047" s="28">
        <f>ROUND(_xlfn.XLOOKUP(A1047,全量!A:A,全量!B:B,0)/7,1)</f>
        <v>19</v>
      </c>
      <c r="H1047" s="2">
        <f>ROUND(_xlfn.XLOOKUP(A1047,AE!A:A,AE!B:B,0)/7,1)</f>
        <v>18</v>
      </c>
      <c r="I1047" s="2" t="str">
        <f>_xlfn.XLOOKUP(A1047,SWFTX邮编覆盖!A:A,SWFTX邮编覆盖!B:B,"否")</f>
        <v>是</v>
      </c>
      <c r="J1047" s="2" t="str">
        <f>_xlfn.XLOOKUP(A1047,YW邮编覆盖!A:A,YW邮编覆盖!B:B,"否")</f>
        <v>是</v>
      </c>
    </row>
    <row r="1048" spans="1:10" hidden="1">
      <c r="A1048" s="3">
        <v>94005</v>
      </c>
      <c r="B1048" s="1" t="s">
        <v>93</v>
      </c>
      <c r="C1048" s="2" t="str">
        <f>_xlfn.XLOOKUP(B1048,线路DSP对应!A:A,线路DSP对应!B:B)</f>
        <v>STA_SFO_RR</v>
      </c>
      <c r="D1048" s="4" t="s">
        <v>153</v>
      </c>
      <c r="E1048" s="2" t="str">
        <f>_xlfn.XLOOKUP(A1048,转单情况!A:A,转单情况!B:B)</f>
        <v>否</v>
      </c>
      <c r="G1048" s="28">
        <f>ROUND(_xlfn.XLOOKUP(A1048,全量!A:A,全量!B:B,0)/7,1)</f>
        <v>2</v>
      </c>
      <c r="H1048" s="2">
        <f>ROUND(_xlfn.XLOOKUP(A1048,AE!A:A,AE!B:B,0)/7,1)</f>
        <v>2</v>
      </c>
      <c r="I1048" s="2" t="str">
        <f>_xlfn.XLOOKUP(A1048,SWFTX邮编覆盖!A:A,SWFTX邮编覆盖!B:B,"否")</f>
        <v>是</v>
      </c>
      <c r="J1048" s="2" t="str">
        <f>_xlfn.XLOOKUP(A1048,YW邮编覆盖!A:A,YW邮编覆盖!B:B,"否")</f>
        <v>是</v>
      </c>
    </row>
    <row r="1049" spans="1:10" hidden="1">
      <c r="A1049" s="3">
        <v>94080</v>
      </c>
      <c r="B1049" s="1" t="s">
        <v>93</v>
      </c>
      <c r="C1049" s="2" t="str">
        <f>_xlfn.XLOOKUP(B1049,线路DSP对应!A:A,线路DSP对应!B:B)</f>
        <v>STA_SFO_RR</v>
      </c>
      <c r="D1049" s="4" t="s">
        <v>153</v>
      </c>
      <c r="E1049" s="2" t="str">
        <f>_xlfn.XLOOKUP(A1049,转单情况!A:A,转单情况!B:B)</f>
        <v>否</v>
      </c>
      <c r="G1049" s="28">
        <f>ROUND(_xlfn.XLOOKUP(A1049,全量!A:A,全量!B:B,0)/7,1)</f>
        <v>25.4</v>
      </c>
      <c r="H1049" s="2">
        <f>ROUND(_xlfn.XLOOKUP(A1049,AE!A:A,AE!B:B,0)/7,1)</f>
        <v>24.4</v>
      </c>
      <c r="I1049" s="2" t="str">
        <f>_xlfn.XLOOKUP(A1049,SWFTX邮编覆盖!A:A,SWFTX邮编覆盖!B:B,"否")</f>
        <v>是</v>
      </c>
      <c r="J1049" s="2" t="str">
        <f>_xlfn.XLOOKUP(A1049,YW邮编覆盖!A:A,YW邮编覆盖!B:B,"否")</f>
        <v>是</v>
      </c>
    </row>
    <row r="1050" spans="1:10" hidden="1">
      <c r="A1050" s="3">
        <v>94130</v>
      </c>
      <c r="B1050" s="1" t="s">
        <v>94</v>
      </c>
      <c r="C1050" s="2" t="str">
        <f>_xlfn.XLOOKUP(B1050,线路DSP对应!A:A,线路DSP对应!B:B)</f>
        <v>STA_SFO_FES FAST</v>
      </c>
      <c r="D1050" s="4" t="s">
        <v>153</v>
      </c>
      <c r="E1050" s="2" t="str">
        <f>_xlfn.XLOOKUP(A1050,转单情况!A:A,转单情况!B:B)</f>
        <v>否</v>
      </c>
      <c r="G1050" s="28">
        <f>ROUND(_xlfn.XLOOKUP(A1050,全量!A:A,全量!B:B,0)/7,1)</f>
        <v>3.1</v>
      </c>
      <c r="H1050" s="2">
        <f>ROUND(_xlfn.XLOOKUP(A1050,AE!A:A,AE!B:B,0)/7,1)</f>
        <v>0.9</v>
      </c>
      <c r="I1050" s="2" t="str">
        <f>_xlfn.XLOOKUP(A1050,SWFTX邮编覆盖!A:A,SWFTX邮编覆盖!B:B,"否")</f>
        <v>否</v>
      </c>
      <c r="J1050" s="2" t="str">
        <f>_xlfn.XLOOKUP(A1050,YW邮编覆盖!A:A,YW邮编覆盖!B:B,"否")</f>
        <v>否</v>
      </c>
    </row>
    <row r="1051" spans="1:10" hidden="1">
      <c r="A1051" s="3">
        <v>94133</v>
      </c>
      <c r="B1051" s="1" t="s">
        <v>94</v>
      </c>
      <c r="C1051" s="2" t="str">
        <f>_xlfn.XLOOKUP(B1051,线路DSP对应!A:A,线路DSP对应!B:B)</f>
        <v>STA_SFO_FES FAST</v>
      </c>
      <c r="D1051" s="4" t="s">
        <v>153</v>
      </c>
      <c r="E1051" s="2" t="str">
        <f>_xlfn.XLOOKUP(A1051,转单情况!A:A,转单情况!B:B)</f>
        <v>否</v>
      </c>
      <c r="G1051" s="28">
        <f>ROUND(_xlfn.XLOOKUP(A1051,全量!A:A,全量!B:B,0)/7,1)</f>
        <v>25.7</v>
      </c>
      <c r="H1051" s="2">
        <f>ROUND(_xlfn.XLOOKUP(A1051,AE!A:A,AE!B:B,0)/7,1)</f>
        <v>8.1</v>
      </c>
      <c r="I1051" s="2" t="str">
        <f>_xlfn.XLOOKUP(A1051,SWFTX邮编覆盖!A:A,SWFTX邮编覆盖!B:B,"否")</f>
        <v>否</v>
      </c>
      <c r="J1051" s="2" t="str">
        <f>_xlfn.XLOOKUP(A1051,YW邮编覆盖!A:A,YW邮编覆盖!B:B,"否")</f>
        <v>否</v>
      </c>
    </row>
    <row r="1052" spans="1:10" hidden="1">
      <c r="A1052" s="3">
        <v>94111</v>
      </c>
      <c r="B1052" s="1" t="s">
        <v>94</v>
      </c>
      <c r="C1052" s="2" t="str">
        <f>_xlfn.XLOOKUP(B1052,线路DSP对应!A:A,线路DSP对应!B:B)</f>
        <v>STA_SFO_FES FAST</v>
      </c>
      <c r="D1052" s="4" t="s">
        <v>153</v>
      </c>
      <c r="E1052" s="2" t="str">
        <f>_xlfn.XLOOKUP(A1052,转单情况!A:A,转单情况!B:B)</f>
        <v>否</v>
      </c>
      <c r="G1052" s="28">
        <f>ROUND(_xlfn.XLOOKUP(A1052,全量!A:A,全量!B:B,0)/7,1)</f>
        <v>6.9</v>
      </c>
      <c r="H1052" s="2">
        <f>ROUND(_xlfn.XLOOKUP(A1052,AE!A:A,AE!B:B,0)/7,1)</f>
        <v>1.7</v>
      </c>
      <c r="I1052" s="2" t="str">
        <f>_xlfn.XLOOKUP(A1052,SWFTX邮编覆盖!A:A,SWFTX邮编覆盖!B:B,"否")</f>
        <v>否</v>
      </c>
      <c r="J1052" s="2" t="str">
        <f>_xlfn.XLOOKUP(A1052,YW邮编覆盖!A:A,YW邮编覆盖!B:B,"否")</f>
        <v>否</v>
      </c>
    </row>
    <row r="1053" spans="1:10" hidden="1">
      <c r="A1053" s="3">
        <v>94104</v>
      </c>
      <c r="B1053" s="1" t="s">
        <v>94</v>
      </c>
      <c r="C1053" s="2" t="str">
        <f>_xlfn.XLOOKUP(B1053,线路DSP对应!A:A,线路DSP对应!B:B)</f>
        <v>STA_SFO_FES FAST</v>
      </c>
      <c r="D1053" s="4" t="s">
        <v>153</v>
      </c>
      <c r="E1053" s="2" t="str">
        <f>_xlfn.XLOOKUP(A1053,转单情况!A:A,转单情况!B:B)</f>
        <v>否</v>
      </c>
      <c r="G1053" s="28">
        <f>ROUND(_xlfn.XLOOKUP(A1053,全量!A:A,全量!B:B,0)/7,1)</f>
        <v>1</v>
      </c>
      <c r="H1053" s="2">
        <f>ROUND(_xlfn.XLOOKUP(A1053,AE!A:A,AE!B:B,0)/7,1)</f>
        <v>0</v>
      </c>
      <c r="I1053" s="2" t="str">
        <f>_xlfn.XLOOKUP(A1053,SWFTX邮编覆盖!A:A,SWFTX邮编覆盖!B:B,"否")</f>
        <v>否</v>
      </c>
      <c r="J1053" s="2" t="str">
        <f>_xlfn.XLOOKUP(A1053,YW邮编覆盖!A:A,YW邮编覆盖!B:B,"否")</f>
        <v>否</v>
      </c>
    </row>
    <row r="1054" spans="1:10" hidden="1">
      <c r="A1054" s="3">
        <v>94105</v>
      </c>
      <c r="B1054" s="1" t="s">
        <v>94</v>
      </c>
      <c r="C1054" s="2" t="str">
        <f>_xlfn.XLOOKUP(B1054,线路DSP对应!A:A,线路DSP对应!B:B)</f>
        <v>STA_SFO_FES FAST</v>
      </c>
      <c r="D1054" s="4" t="s">
        <v>153</v>
      </c>
      <c r="E1054" s="2" t="str">
        <f>_xlfn.XLOOKUP(A1054,转单情况!A:A,转单情况!B:B)</f>
        <v>否</v>
      </c>
      <c r="G1054" s="28">
        <f>ROUND(_xlfn.XLOOKUP(A1054,全量!A:A,全量!B:B,0)/7,1)</f>
        <v>22.6</v>
      </c>
      <c r="H1054" s="2">
        <f>ROUND(_xlfn.XLOOKUP(A1054,AE!A:A,AE!B:B,0)/7,1)</f>
        <v>6.7</v>
      </c>
      <c r="I1054" s="2" t="str">
        <f>_xlfn.XLOOKUP(A1054,SWFTX邮编覆盖!A:A,SWFTX邮编覆盖!B:B,"否")</f>
        <v>否</v>
      </c>
      <c r="J1054" s="2" t="str">
        <f>_xlfn.XLOOKUP(A1054,YW邮编覆盖!A:A,YW邮编覆盖!B:B,"否")</f>
        <v>否</v>
      </c>
    </row>
    <row r="1055" spans="1:10" hidden="1">
      <c r="A1055" s="3">
        <v>94108</v>
      </c>
      <c r="B1055" s="1" t="s">
        <v>94</v>
      </c>
      <c r="C1055" s="2" t="str">
        <f>_xlfn.XLOOKUP(B1055,线路DSP对应!A:A,线路DSP对应!B:B)</f>
        <v>STA_SFO_FES FAST</v>
      </c>
      <c r="D1055" s="4" t="s">
        <v>153</v>
      </c>
      <c r="E1055" s="2" t="str">
        <f>_xlfn.XLOOKUP(A1055,转单情况!A:A,转单情况!B:B)</f>
        <v>否</v>
      </c>
      <c r="G1055" s="28">
        <f>ROUND(_xlfn.XLOOKUP(A1055,全量!A:A,全量!B:B,0)/7,1)</f>
        <v>10.4</v>
      </c>
      <c r="H1055" s="2">
        <f>ROUND(_xlfn.XLOOKUP(A1055,AE!A:A,AE!B:B,0)/7,1)</f>
        <v>5.4</v>
      </c>
      <c r="I1055" s="2" t="str">
        <f>_xlfn.XLOOKUP(A1055,SWFTX邮编覆盖!A:A,SWFTX邮编覆盖!B:B,"否")</f>
        <v>否</v>
      </c>
      <c r="J1055" s="2" t="str">
        <f>_xlfn.XLOOKUP(A1055,YW邮编覆盖!A:A,YW邮编覆盖!B:B,"否")</f>
        <v>否</v>
      </c>
    </row>
    <row r="1056" spans="1:10" hidden="1">
      <c r="A1056" s="3">
        <v>94109</v>
      </c>
      <c r="B1056" s="1" t="s">
        <v>94</v>
      </c>
      <c r="C1056" s="2" t="str">
        <f>_xlfn.XLOOKUP(B1056,线路DSP对应!A:A,线路DSP对应!B:B)</f>
        <v>STA_SFO_FES FAST</v>
      </c>
      <c r="D1056" s="4" t="s">
        <v>153</v>
      </c>
      <c r="E1056" s="2" t="str">
        <f>_xlfn.XLOOKUP(A1056,转单情况!A:A,转单情况!B:B)</f>
        <v>否</v>
      </c>
      <c r="G1056" s="28">
        <f>ROUND(_xlfn.XLOOKUP(A1056,全量!A:A,全量!B:B,0)/7,1)</f>
        <v>70.900000000000006</v>
      </c>
      <c r="H1056" s="2">
        <f>ROUND(_xlfn.XLOOKUP(A1056,AE!A:A,AE!B:B,0)/7,1)</f>
        <v>18</v>
      </c>
      <c r="I1056" s="2" t="str">
        <f>_xlfn.XLOOKUP(A1056,SWFTX邮编覆盖!A:A,SWFTX邮编覆盖!B:B,"否")</f>
        <v>否</v>
      </c>
      <c r="J1056" s="2" t="str">
        <f>_xlfn.XLOOKUP(A1056,YW邮编覆盖!A:A,YW邮编覆盖!B:B,"否")</f>
        <v>否</v>
      </c>
    </row>
    <row r="1057" spans="1:10" hidden="1">
      <c r="A1057" s="3">
        <v>94102</v>
      </c>
      <c r="B1057" s="1" t="s">
        <v>94</v>
      </c>
      <c r="C1057" s="2" t="str">
        <f>_xlfn.XLOOKUP(B1057,线路DSP对应!A:A,线路DSP对应!B:B)</f>
        <v>STA_SFO_FES FAST</v>
      </c>
      <c r="D1057" s="4" t="s">
        <v>153</v>
      </c>
      <c r="E1057" s="2" t="str">
        <f>_xlfn.XLOOKUP(A1057,转单情况!A:A,转单情况!B:B)</f>
        <v>否</v>
      </c>
      <c r="G1057" s="28">
        <f>ROUND(_xlfn.XLOOKUP(A1057,全量!A:A,全量!B:B,0)/7,1)</f>
        <v>39.6</v>
      </c>
      <c r="H1057" s="2">
        <f>ROUND(_xlfn.XLOOKUP(A1057,AE!A:A,AE!B:B,0)/7,1)</f>
        <v>9.6999999999999993</v>
      </c>
      <c r="I1057" s="2" t="str">
        <f>_xlfn.XLOOKUP(A1057,SWFTX邮编覆盖!A:A,SWFTX邮编覆盖!B:B,"否")</f>
        <v>否</v>
      </c>
      <c r="J1057" s="2" t="str">
        <f>_xlfn.XLOOKUP(A1057,YW邮编覆盖!A:A,YW邮编覆盖!B:B,"否")</f>
        <v>否</v>
      </c>
    </row>
    <row r="1058" spans="1:10" hidden="1">
      <c r="A1058" s="3">
        <v>94103</v>
      </c>
      <c r="B1058" s="1" t="s">
        <v>94</v>
      </c>
      <c r="C1058" s="2" t="str">
        <f>_xlfn.XLOOKUP(B1058,线路DSP对应!A:A,线路DSP对应!B:B)</f>
        <v>STA_SFO_FES FAST</v>
      </c>
      <c r="D1058" s="4" t="s">
        <v>153</v>
      </c>
      <c r="E1058" s="2" t="str">
        <f>_xlfn.XLOOKUP(A1058,转单情况!A:A,转单情况!B:B)</f>
        <v>否</v>
      </c>
      <c r="G1058" s="28">
        <f>ROUND(_xlfn.XLOOKUP(A1058,全量!A:A,全量!B:B,0)/7,1)</f>
        <v>43.7</v>
      </c>
      <c r="H1058" s="2">
        <f>ROUND(_xlfn.XLOOKUP(A1058,AE!A:A,AE!B:B,0)/7,1)</f>
        <v>16.899999999999999</v>
      </c>
      <c r="I1058" s="2" t="str">
        <f>_xlfn.XLOOKUP(A1058,SWFTX邮编覆盖!A:A,SWFTX邮编覆盖!B:B,"否")</f>
        <v>否</v>
      </c>
      <c r="J1058" s="2" t="str">
        <f>_xlfn.XLOOKUP(A1058,YW邮编覆盖!A:A,YW邮编覆盖!B:B,"否")</f>
        <v>否</v>
      </c>
    </row>
    <row r="1059" spans="1:10" hidden="1">
      <c r="A1059" s="3">
        <v>94158</v>
      </c>
      <c r="B1059" s="1" t="s">
        <v>94</v>
      </c>
      <c r="C1059" s="2" t="str">
        <f>_xlfn.XLOOKUP(B1059,线路DSP对应!A:A,线路DSP对应!B:B)</f>
        <v>STA_SFO_FES FAST</v>
      </c>
      <c r="D1059" s="4" t="s">
        <v>153</v>
      </c>
      <c r="E1059" s="2" t="str">
        <f>_xlfn.XLOOKUP(A1059,转单情况!A:A,转单情况!B:B)</f>
        <v>否</v>
      </c>
      <c r="G1059" s="28">
        <f>ROUND(_xlfn.XLOOKUP(A1059,全量!A:A,全量!B:B,0)/7,1)</f>
        <v>3.6</v>
      </c>
      <c r="H1059" s="2">
        <f>ROUND(_xlfn.XLOOKUP(A1059,AE!A:A,AE!B:B,0)/7,1)</f>
        <v>3.6</v>
      </c>
      <c r="I1059" s="2" t="str">
        <f>_xlfn.XLOOKUP(A1059,SWFTX邮编覆盖!A:A,SWFTX邮编覆盖!B:B,"否")</f>
        <v>否</v>
      </c>
      <c r="J1059" s="2" t="str">
        <f>_xlfn.XLOOKUP(A1059,YW邮编覆盖!A:A,YW邮编覆盖!B:B,"否")</f>
        <v>否</v>
      </c>
    </row>
    <row r="1060" spans="1:10" hidden="1">
      <c r="A1060" s="3">
        <v>94107</v>
      </c>
      <c r="B1060" s="1" t="s">
        <v>94</v>
      </c>
      <c r="C1060" s="2" t="str">
        <f>_xlfn.XLOOKUP(B1060,线路DSP对应!A:A,线路DSP对应!B:B)</f>
        <v>STA_SFO_FES FAST</v>
      </c>
      <c r="D1060" s="4" t="s">
        <v>153</v>
      </c>
      <c r="E1060" s="2" t="str">
        <f>_xlfn.XLOOKUP(A1060,转单情况!A:A,转单情况!B:B)</f>
        <v>否</v>
      </c>
      <c r="G1060" s="28">
        <f>ROUND(_xlfn.XLOOKUP(A1060,全量!A:A,全量!B:B,0)/7,1)</f>
        <v>18.7</v>
      </c>
      <c r="H1060" s="2">
        <f>ROUND(_xlfn.XLOOKUP(A1060,AE!A:A,AE!B:B,0)/7,1)</f>
        <v>17.3</v>
      </c>
      <c r="I1060" s="2" t="str">
        <f>_xlfn.XLOOKUP(A1060,SWFTX邮编覆盖!A:A,SWFTX邮编覆盖!B:B,"否")</f>
        <v>否</v>
      </c>
      <c r="J1060" s="2" t="str">
        <f>_xlfn.XLOOKUP(A1060,YW邮编覆盖!A:A,YW邮编覆盖!B:B,"否")</f>
        <v>否</v>
      </c>
    </row>
    <row r="1061" spans="1:10" hidden="1">
      <c r="A1061" s="3">
        <v>94110</v>
      </c>
      <c r="B1061" s="1" t="s">
        <v>94</v>
      </c>
      <c r="C1061" s="2" t="str">
        <f>_xlfn.XLOOKUP(B1061,线路DSP对应!A:A,线路DSP对应!B:B)</f>
        <v>STA_SFO_FES FAST</v>
      </c>
      <c r="D1061" s="4" t="s">
        <v>153</v>
      </c>
      <c r="E1061" s="2" t="str">
        <f>_xlfn.XLOOKUP(A1061,转单情况!A:A,转单情况!B:B)</f>
        <v>否</v>
      </c>
      <c r="G1061" s="28">
        <f>ROUND(_xlfn.XLOOKUP(A1061,全量!A:A,全量!B:B,0)/7,1)</f>
        <v>18.899999999999999</v>
      </c>
      <c r="H1061" s="2">
        <f>ROUND(_xlfn.XLOOKUP(A1061,AE!A:A,AE!B:B,0)/7,1)</f>
        <v>18</v>
      </c>
      <c r="I1061" s="2" t="str">
        <f>_xlfn.XLOOKUP(A1061,SWFTX邮编覆盖!A:A,SWFTX邮编覆盖!B:B,"否")</f>
        <v>是</v>
      </c>
      <c r="J1061" s="2" t="str">
        <f>_xlfn.XLOOKUP(A1061,YW邮编覆盖!A:A,YW邮编覆盖!B:B,"否")</f>
        <v>是</v>
      </c>
    </row>
    <row r="1062" spans="1:10" hidden="1">
      <c r="A1062" s="32">
        <v>94947</v>
      </c>
      <c r="B1062" s="33" t="s">
        <v>112</v>
      </c>
      <c r="C1062" s="2" t="str">
        <f>_xlfn.XLOOKUP(B1062,线路DSP对应!A:A,线路DSP对应!B:B)</f>
        <v>STA_SFO_RR</v>
      </c>
      <c r="D1062" s="4" t="s">
        <v>153</v>
      </c>
      <c r="E1062" s="2" t="str">
        <f>_xlfn.XLOOKUP(A1062,转单情况!A:A,转单情况!B:B)</f>
        <v>否</v>
      </c>
      <c r="G1062" s="28">
        <f>ROUND(_xlfn.XLOOKUP(A1062,全量!A:A,全量!B:B,0)/7,1)</f>
        <v>9.6</v>
      </c>
      <c r="H1062" s="2">
        <f>ROUND(_xlfn.XLOOKUP(A1062,AE!A:A,AE!B:B,0)/7,1)</f>
        <v>4.5999999999999996</v>
      </c>
      <c r="I1062" s="2" t="str">
        <f>_xlfn.XLOOKUP(A1062,SWFTX邮编覆盖!A:A,SWFTX邮编覆盖!B:B,"否")</f>
        <v>否</v>
      </c>
      <c r="J1062" s="2" t="str">
        <f>_xlfn.XLOOKUP(A1062,YW邮编覆盖!A:A,YW邮编覆盖!B:B,"否")</f>
        <v>否</v>
      </c>
    </row>
    <row r="1063" spans="1:10" hidden="1">
      <c r="A1063" s="32">
        <v>94945</v>
      </c>
      <c r="B1063" s="33" t="s">
        <v>112</v>
      </c>
      <c r="C1063" s="2" t="str">
        <f>_xlfn.XLOOKUP(B1063,线路DSP对应!A:A,线路DSP对应!B:B)</f>
        <v>STA_SFO_RR</v>
      </c>
      <c r="D1063" s="4" t="s">
        <v>153</v>
      </c>
      <c r="E1063" s="2" t="str">
        <f>_xlfn.XLOOKUP(A1063,转单情况!A:A,转单情况!B:B)</f>
        <v>否</v>
      </c>
      <c r="G1063" s="28">
        <f>ROUND(_xlfn.XLOOKUP(A1063,全量!A:A,全量!B:B,0)/7,1)</f>
        <v>6.7</v>
      </c>
      <c r="H1063" s="2">
        <f>ROUND(_xlfn.XLOOKUP(A1063,AE!A:A,AE!B:B,0)/7,1)</f>
        <v>3.9</v>
      </c>
      <c r="I1063" s="2" t="str">
        <f>_xlfn.XLOOKUP(A1063,SWFTX邮编覆盖!A:A,SWFTX邮编覆盖!B:B,"否")</f>
        <v>否</v>
      </c>
      <c r="J1063" s="2" t="str">
        <f>_xlfn.XLOOKUP(A1063,YW邮编覆盖!A:A,YW邮编覆盖!B:B,"否")</f>
        <v>否</v>
      </c>
    </row>
    <row r="1064" spans="1:10" hidden="1">
      <c r="A1064" s="32">
        <v>94949</v>
      </c>
      <c r="B1064" s="33" t="s">
        <v>112</v>
      </c>
      <c r="C1064" s="2" t="str">
        <f>_xlfn.XLOOKUP(B1064,线路DSP对应!A:A,线路DSP对应!B:B)</f>
        <v>STA_SFO_RR</v>
      </c>
      <c r="D1064" s="4" t="s">
        <v>153</v>
      </c>
      <c r="E1064" s="2" t="str">
        <f>_xlfn.XLOOKUP(A1064,转单情况!A:A,转单情况!B:B)</f>
        <v>否</v>
      </c>
      <c r="G1064" s="28">
        <f>ROUND(_xlfn.XLOOKUP(A1064,全量!A:A,全量!B:B,0)/7,1)</f>
        <v>3.4</v>
      </c>
      <c r="H1064" s="2">
        <f>ROUND(_xlfn.XLOOKUP(A1064,AE!A:A,AE!B:B,0)/7,1)</f>
        <v>1.9</v>
      </c>
      <c r="I1064" s="2" t="str">
        <f>_xlfn.XLOOKUP(A1064,SWFTX邮编覆盖!A:A,SWFTX邮编覆盖!B:B,"否")</f>
        <v>否</v>
      </c>
      <c r="J1064" s="2" t="str">
        <f>_xlfn.XLOOKUP(A1064,YW邮编覆盖!A:A,YW邮编覆盖!B:B,"否")</f>
        <v>否</v>
      </c>
    </row>
    <row r="1065" spans="1:10" hidden="1">
      <c r="A1065" s="32">
        <v>94903</v>
      </c>
      <c r="B1065" s="33" t="s">
        <v>112</v>
      </c>
      <c r="C1065" s="2" t="str">
        <f>_xlfn.XLOOKUP(B1065,线路DSP对应!A:A,线路DSP对应!B:B)</f>
        <v>STA_SFO_RR</v>
      </c>
      <c r="D1065" s="4" t="s">
        <v>153</v>
      </c>
      <c r="E1065" s="2" t="str">
        <f>_xlfn.XLOOKUP(A1065,转单情况!A:A,转单情况!B:B)</f>
        <v>否</v>
      </c>
      <c r="G1065" s="28">
        <f>ROUND(_xlfn.XLOOKUP(A1065,全量!A:A,全量!B:B,0)/7,1)</f>
        <v>11</v>
      </c>
      <c r="H1065" s="2">
        <f>ROUND(_xlfn.XLOOKUP(A1065,AE!A:A,AE!B:B,0)/7,1)</f>
        <v>7.4</v>
      </c>
      <c r="I1065" s="2" t="str">
        <f>_xlfn.XLOOKUP(A1065,SWFTX邮编覆盖!A:A,SWFTX邮编覆盖!B:B,"否")</f>
        <v>否</v>
      </c>
      <c r="J1065" s="2" t="str">
        <f>_xlfn.XLOOKUP(A1065,YW邮编覆盖!A:A,YW邮编覆盖!B:B,"否")</f>
        <v>否</v>
      </c>
    </row>
    <row r="1066" spans="1:10" hidden="1">
      <c r="A1066" s="32">
        <v>94930</v>
      </c>
      <c r="B1066" s="33" t="s">
        <v>112</v>
      </c>
      <c r="C1066" s="2" t="str">
        <f>_xlfn.XLOOKUP(B1066,线路DSP对应!A:A,线路DSP对应!B:B)</f>
        <v>STA_SFO_RR</v>
      </c>
      <c r="D1066" s="4" t="s">
        <v>153</v>
      </c>
      <c r="E1066" s="2" t="str">
        <f>_xlfn.XLOOKUP(A1066,转单情况!A:A,转单情况!B:B)</f>
        <v>否</v>
      </c>
      <c r="G1066" s="28">
        <f>ROUND(_xlfn.XLOOKUP(A1066,全量!A:A,全量!B:B,0)/7,1)</f>
        <v>1.6</v>
      </c>
      <c r="H1066" s="2">
        <f>ROUND(_xlfn.XLOOKUP(A1066,AE!A:A,AE!B:B,0)/7,1)</f>
        <v>1.1000000000000001</v>
      </c>
      <c r="I1066" s="2" t="str">
        <f>_xlfn.XLOOKUP(A1066,SWFTX邮编覆盖!A:A,SWFTX邮编覆盖!B:B,"否")</f>
        <v>否</v>
      </c>
      <c r="J1066" s="2" t="str">
        <f>_xlfn.XLOOKUP(A1066,YW邮编覆盖!A:A,YW邮编覆盖!B:B,"否")</f>
        <v>否</v>
      </c>
    </row>
    <row r="1067" spans="1:10" hidden="1">
      <c r="A1067" s="32">
        <v>94960</v>
      </c>
      <c r="B1067" s="33" t="s">
        <v>112</v>
      </c>
      <c r="C1067" s="2" t="str">
        <f>_xlfn.XLOOKUP(B1067,线路DSP对应!A:A,线路DSP对应!B:B)</f>
        <v>STA_SFO_RR</v>
      </c>
      <c r="D1067" s="4" t="s">
        <v>153</v>
      </c>
      <c r="E1067" s="2" t="str">
        <f>_xlfn.XLOOKUP(A1067,转单情况!A:A,转单情况!B:B)</f>
        <v>否</v>
      </c>
      <c r="G1067" s="28">
        <f>ROUND(_xlfn.XLOOKUP(A1067,全量!A:A,全量!B:B,0)/7,1)</f>
        <v>3.4</v>
      </c>
      <c r="H1067" s="2">
        <f>ROUND(_xlfn.XLOOKUP(A1067,AE!A:A,AE!B:B,0)/7,1)</f>
        <v>2.1</v>
      </c>
      <c r="I1067" s="2" t="str">
        <f>_xlfn.XLOOKUP(A1067,SWFTX邮编覆盖!A:A,SWFTX邮编覆盖!B:B,"否")</f>
        <v>否</v>
      </c>
      <c r="J1067" s="2" t="str">
        <f>_xlfn.XLOOKUP(A1067,YW邮编覆盖!A:A,YW邮编覆盖!B:B,"否")</f>
        <v>否</v>
      </c>
    </row>
    <row r="1068" spans="1:10" hidden="1">
      <c r="A1068" s="32">
        <v>94957</v>
      </c>
      <c r="B1068" s="33" t="s">
        <v>112</v>
      </c>
      <c r="C1068" s="2" t="str">
        <f>_xlfn.XLOOKUP(B1068,线路DSP对应!A:A,线路DSP对应!B:B)</f>
        <v>STA_SFO_RR</v>
      </c>
      <c r="D1068" s="4" t="s">
        <v>153</v>
      </c>
      <c r="E1068" s="2" t="str">
        <f>_xlfn.XLOOKUP(A1068,转单情况!A:A,转单情况!B:B)</f>
        <v>否</v>
      </c>
      <c r="G1068" s="28">
        <f>ROUND(_xlfn.XLOOKUP(A1068,全量!A:A,全量!B:B,0)/7,1)</f>
        <v>0.3</v>
      </c>
      <c r="H1068" s="2">
        <f>ROUND(_xlfn.XLOOKUP(A1068,AE!A:A,AE!B:B,0)/7,1)</f>
        <v>0</v>
      </c>
      <c r="I1068" s="2" t="str">
        <f>_xlfn.XLOOKUP(A1068,SWFTX邮编覆盖!A:A,SWFTX邮编覆盖!B:B,"否")</f>
        <v>否</v>
      </c>
      <c r="J1068" s="2" t="str">
        <f>_xlfn.XLOOKUP(A1068,YW邮编覆盖!A:A,YW邮编覆盖!B:B,"否")</f>
        <v>否</v>
      </c>
    </row>
    <row r="1069" spans="1:10" hidden="1">
      <c r="A1069" s="32">
        <v>94901</v>
      </c>
      <c r="B1069" s="33" t="s">
        <v>112</v>
      </c>
      <c r="C1069" s="2" t="str">
        <f>_xlfn.XLOOKUP(B1069,线路DSP对应!A:A,线路DSP对应!B:B)</f>
        <v>STA_SFO_RR</v>
      </c>
      <c r="D1069" s="4" t="s">
        <v>153</v>
      </c>
      <c r="E1069" s="2" t="str">
        <f>_xlfn.XLOOKUP(A1069,转单情况!A:A,转单情况!B:B)</f>
        <v>否</v>
      </c>
      <c r="G1069" s="28">
        <f>ROUND(_xlfn.XLOOKUP(A1069,全量!A:A,全量!B:B,0)/7,1)</f>
        <v>13.4</v>
      </c>
      <c r="H1069" s="2">
        <f>ROUND(_xlfn.XLOOKUP(A1069,AE!A:A,AE!B:B,0)/7,1)</f>
        <v>8.6999999999999993</v>
      </c>
      <c r="I1069" s="2" t="str">
        <f>_xlfn.XLOOKUP(A1069,SWFTX邮编覆盖!A:A,SWFTX邮编覆盖!B:B,"否")</f>
        <v>否</v>
      </c>
      <c r="J1069" s="2" t="str">
        <f>_xlfn.XLOOKUP(A1069,YW邮编覆盖!A:A,YW邮编覆盖!B:B,"否")</f>
        <v>否</v>
      </c>
    </row>
    <row r="1070" spans="1:10" hidden="1">
      <c r="A1070" s="32">
        <v>94904</v>
      </c>
      <c r="B1070" s="33" t="s">
        <v>112</v>
      </c>
      <c r="C1070" s="2" t="str">
        <f>_xlfn.XLOOKUP(B1070,线路DSP对应!A:A,线路DSP对应!B:B)</f>
        <v>STA_SFO_RR</v>
      </c>
      <c r="D1070" s="4" t="s">
        <v>153</v>
      </c>
      <c r="E1070" s="2" t="str">
        <f>_xlfn.XLOOKUP(A1070,转单情况!A:A,转单情况!B:B)</f>
        <v>否</v>
      </c>
      <c r="G1070" s="28">
        <f>ROUND(_xlfn.XLOOKUP(A1070,全量!A:A,全量!B:B,0)/7,1)</f>
        <v>4.3</v>
      </c>
      <c r="H1070" s="2">
        <f>ROUND(_xlfn.XLOOKUP(A1070,AE!A:A,AE!B:B,0)/7,1)</f>
        <v>3</v>
      </c>
      <c r="I1070" s="2" t="str">
        <f>_xlfn.XLOOKUP(A1070,SWFTX邮编覆盖!A:A,SWFTX邮编覆盖!B:B,"否")</f>
        <v>否</v>
      </c>
      <c r="J1070" s="2" t="str">
        <f>_xlfn.XLOOKUP(A1070,YW邮编覆盖!A:A,YW邮编覆盖!B:B,"否")</f>
        <v>否</v>
      </c>
    </row>
    <row r="1071" spans="1:10" hidden="1">
      <c r="A1071" s="32">
        <v>94964</v>
      </c>
      <c r="B1071" s="33" t="s">
        <v>112</v>
      </c>
      <c r="C1071" s="2" t="str">
        <f>_xlfn.XLOOKUP(B1071,线路DSP对应!A:A,线路DSP对应!B:B)</f>
        <v>STA_SFO_RR</v>
      </c>
      <c r="D1071" s="4" t="s">
        <v>153</v>
      </c>
      <c r="E1071" s="2" t="str">
        <f>_xlfn.XLOOKUP(A1071,转单情况!A:A,转单情况!B:B)</f>
        <v>否</v>
      </c>
      <c r="G1071" s="28">
        <f>ROUND(_xlfn.XLOOKUP(A1071,全量!A:A,全量!B:B,0)/7,1)</f>
        <v>0</v>
      </c>
      <c r="H1071" s="2">
        <f>ROUND(_xlfn.XLOOKUP(A1071,AE!A:A,AE!B:B,0)/7,1)</f>
        <v>0</v>
      </c>
      <c r="I1071" s="2" t="str">
        <f>_xlfn.XLOOKUP(A1071,SWFTX邮编覆盖!A:A,SWFTX邮编覆盖!B:B,"否")</f>
        <v>否</v>
      </c>
      <c r="J1071" s="2" t="str">
        <f>_xlfn.XLOOKUP(A1071,YW邮编覆盖!A:A,YW邮编覆盖!B:B,"否")</f>
        <v>否</v>
      </c>
    </row>
    <row r="1072" spans="1:10" hidden="1">
      <c r="A1072" s="32">
        <v>94965</v>
      </c>
      <c r="B1072" s="33" t="s">
        <v>112</v>
      </c>
      <c r="C1072" s="2" t="str">
        <f>_xlfn.XLOOKUP(B1072,线路DSP对应!A:A,线路DSP对应!B:B)</f>
        <v>STA_SFO_RR</v>
      </c>
      <c r="D1072" s="4" t="s">
        <v>153</v>
      </c>
      <c r="E1072" s="2" t="str">
        <f>_xlfn.XLOOKUP(A1072,转单情况!A:A,转单情况!B:B)</f>
        <v>否</v>
      </c>
      <c r="G1072" s="28">
        <f>ROUND(_xlfn.XLOOKUP(A1072,全量!A:A,全量!B:B,0)/7,1)</f>
        <v>3</v>
      </c>
      <c r="H1072" s="2">
        <f>ROUND(_xlfn.XLOOKUP(A1072,AE!A:A,AE!B:B,0)/7,1)</f>
        <v>2.4</v>
      </c>
      <c r="I1072" s="2" t="str">
        <f>_xlfn.XLOOKUP(A1072,SWFTX邮编覆盖!A:A,SWFTX邮编覆盖!B:B,"否")</f>
        <v>否</v>
      </c>
      <c r="J1072" s="2" t="str">
        <f>_xlfn.XLOOKUP(A1072,YW邮编覆盖!A:A,YW邮编覆盖!B:B,"否")</f>
        <v>否</v>
      </c>
    </row>
    <row r="1073" spans="1:10" hidden="1">
      <c r="A1073" s="32">
        <v>94941</v>
      </c>
      <c r="B1073" s="33" t="s">
        <v>112</v>
      </c>
      <c r="C1073" s="2" t="str">
        <f>_xlfn.XLOOKUP(B1073,线路DSP对应!A:A,线路DSP对应!B:B)</f>
        <v>STA_SFO_RR</v>
      </c>
      <c r="D1073" s="4" t="s">
        <v>153</v>
      </c>
      <c r="E1073" s="2" t="str">
        <f>_xlfn.XLOOKUP(A1073,转单情况!A:A,转单情况!B:B)</f>
        <v>否</v>
      </c>
      <c r="G1073" s="28">
        <f>ROUND(_xlfn.XLOOKUP(A1073,全量!A:A,全量!B:B,0)/7,1)</f>
        <v>10.6</v>
      </c>
      <c r="H1073" s="2">
        <f>ROUND(_xlfn.XLOOKUP(A1073,AE!A:A,AE!B:B,0)/7,1)</f>
        <v>7.4</v>
      </c>
      <c r="I1073" s="2" t="str">
        <f>_xlfn.XLOOKUP(A1073,SWFTX邮编覆盖!A:A,SWFTX邮编覆盖!B:B,"否")</f>
        <v>否</v>
      </c>
      <c r="J1073" s="2" t="str">
        <f>_xlfn.XLOOKUP(A1073,YW邮编覆盖!A:A,YW邮编覆盖!B:B,"否")</f>
        <v>否</v>
      </c>
    </row>
    <row r="1074" spans="1:10" hidden="1">
      <c r="A1074" s="32">
        <v>94920</v>
      </c>
      <c r="B1074" s="33" t="s">
        <v>112</v>
      </c>
      <c r="C1074" s="2" t="str">
        <f>_xlfn.XLOOKUP(B1074,线路DSP对应!A:A,线路DSP对应!B:B)</f>
        <v>STA_SFO_RR</v>
      </c>
      <c r="D1074" s="4" t="s">
        <v>153</v>
      </c>
      <c r="E1074" s="2" t="str">
        <f>_xlfn.XLOOKUP(A1074,转单情况!A:A,转单情况!B:B)</f>
        <v>否</v>
      </c>
      <c r="G1074" s="28">
        <f>ROUND(_xlfn.XLOOKUP(A1074,全量!A:A,全量!B:B,0)/7,1)</f>
        <v>2</v>
      </c>
      <c r="H1074" s="2">
        <f>ROUND(_xlfn.XLOOKUP(A1074,AE!A:A,AE!B:B,0)/7,1)</f>
        <v>0.9</v>
      </c>
      <c r="I1074" s="2" t="str">
        <f>_xlfn.XLOOKUP(A1074,SWFTX邮编覆盖!A:A,SWFTX邮编覆盖!B:B,"否")</f>
        <v>否</v>
      </c>
      <c r="J1074" s="2" t="str">
        <f>_xlfn.XLOOKUP(A1074,YW邮编覆盖!A:A,YW邮编覆盖!B:B,"否")</f>
        <v>否</v>
      </c>
    </row>
    <row r="1075" spans="1:10" hidden="1">
      <c r="A1075" s="32">
        <v>94925</v>
      </c>
      <c r="B1075" s="33" t="s">
        <v>112</v>
      </c>
      <c r="C1075" s="2" t="str">
        <f>_xlfn.XLOOKUP(B1075,线路DSP对应!A:A,线路DSP对应!B:B)</f>
        <v>STA_SFO_RR</v>
      </c>
      <c r="D1075" s="4" t="s">
        <v>153</v>
      </c>
      <c r="E1075" s="2" t="str">
        <f>_xlfn.XLOOKUP(A1075,转单情况!A:A,转单情况!B:B)</f>
        <v>否</v>
      </c>
      <c r="G1075" s="28">
        <f>ROUND(_xlfn.XLOOKUP(A1075,全量!A:A,全量!B:B,0)/7,1)</f>
        <v>3.1</v>
      </c>
      <c r="H1075" s="2">
        <f>ROUND(_xlfn.XLOOKUP(A1075,AE!A:A,AE!B:B,0)/7,1)</f>
        <v>1.9</v>
      </c>
      <c r="I1075" s="2" t="str">
        <f>_xlfn.XLOOKUP(A1075,SWFTX邮编覆盖!A:A,SWFTX邮编覆盖!B:B,"否")</f>
        <v>否</v>
      </c>
      <c r="J1075" s="2" t="str">
        <f>_xlfn.XLOOKUP(A1075,YW邮编覆盖!A:A,YW邮编覆盖!B:B,"否")</f>
        <v>否</v>
      </c>
    </row>
    <row r="1076" spans="1:10" hidden="1">
      <c r="A1076" s="32">
        <v>94939</v>
      </c>
      <c r="B1076" s="33" t="s">
        <v>112</v>
      </c>
      <c r="C1076" s="2" t="str">
        <f>_xlfn.XLOOKUP(B1076,线路DSP对应!A:A,线路DSP对应!B:B)</f>
        <v>STA_SFO_RR</v>
      </c>
      <c r="D1076" s="4" t="s">
        <v>153</v>
      </c>
      <c r="E1076" s="2" t="str">
        <f>_xlfn.XLOOKUP(A1076,转单情况!A:A,转单情况!B:B)</f>
        <v>否</v>
      </c>
      <c r="G1076" s="28">
        <f>ROUND(_xlfn.XLOOKUP(A1076,全量!A:A,全量!B:B,0)/7,1)</f>
        <v>2.7</v>
      </c>
      <c r="H1076" s="2">
        <f>ROUND(_xlfn.XLOOKUP(A1076,AE!A:A,AE!B:B,0)/7,1)</f>
        <v>1.7</v>
      </c>
      <c r="I1076" s="2" t="str">
        <f>_xlfn.XLOOKUP(A1076,SWFTX邮编覆盖!A:A,SWFTX邮编覆盖!B:B,"否")</f>
        <v>否</v>
      </c>
      <c r="J1076" s="2" t="str">
        <f>_xlfn.XLOOKUP(A1076,YW邮编覆盖!A:A,YW邮编覆盖!B:B,"否")</f>
        <v>否</v>
      </c>
    </row>
    <row r="1077" spans="1:10" hidden="1">
      <c r="A1077" s="3">
        <v>95201</v>
      </c>
      <c r="B1077" s="1" t="s">
        <v>162</v>
      </c>
      <c r="C1077" s="2" t="e">
        <f>_xlfn.XLOOKUP(B1077,线路DSP对应!A:A,线路DSP对应!B:B)</f>
        <v>#N/A</v>
      </c>
      <c r="D1077" s="4" t="s">
        <v>159</v>
      </c>
      <c r="E1077" s="2" t="e">
        <f>_xlfn.XLOOKUP(A1077,转单情况!A:A,转单情况!B:B)</f>
        <v>#N/A</v>
      </c>
      <c r="G1077" s="28">
        <f>ROUND(_xlfn.XLOOKUP(A1077,全量!A:A,全量!B:B,0)/7,1)</f>
        <v>0</v>
      </c>
      <c r="H1077" s="2">
        <f>ROUND(_xlfn.XLOOKUP(A1077,AE!A:A,AE!B:B,0)/7,1)</f>
        <v>0</v>
      </c>
      <c r="I1077" s="2" t="str">
        <f>_xlfn.XLOOKUP(A1077,SWFTX邮编覆盖!A:A,SWFTX邮编覆盖!B:B,"否")</f>
        <v>否</v>
      </c>
      <c r="J1077" s="2" t="str">
        <f>_xlfn.XLOOKUP(A1077,YW邮编覆盖!A:A,YW邮编覆盖!B:B,"否")</f>
        <v>否</v>
      </c>
    </row>
    <row r="1078" spans="1:10" hidden="1">
      <c r="A1078" s="3">
        <v>95208</v>
      </c>
      <c r="B1078" s="1" t="s">
        <v>162</v>
      </c>
      <c r="C1078" s="2" t="e">
        <f>_xlfn.XLOOKUP(B1078,线路DSP对应!A:A,线路DSP对应!B:B)</f>
        <v>#N/A</v>
      </c>
      <c r="D1078" s="4" t="s">
        <v>159</v>
      </c>
      <c r="E1078" s="2" t="e">
        <f>_xlfn.XLOOKUP(A1078,转单情况!A:A,转单情况!B:B)</f>
        <v>#N/A</v>
      </c>
      <c r="G1078" s="28">
        <f>ROUND(_xlfn.XLOOKUP(A1078,全量!A:A,全量!B:B,0)/7,1)</f>
        <v>0</v>
      </c>
      <c r="H1078" s="2">
        <f>ROUND(_xlfn.XLOOKUP(A1078,AE!A:A,AE!B:B,0)/7,1)</f>
        <v>0</v>
      </c>
      <c r="I1078" s="2" t="str">
        <f>_xlfn.XLOOKUP(A1078,SWFTX邮编覆盖!A:A,SWFTX邮编覆盖!B:B,"否")</f>
        <v>否</v>
      </c>
      <c r="J1078" s="2" t="str">
        <f>_xlfn.XLOOKUP(A1078,YW邮编覆盖!A:A,YW邮编覆盖!B:B,"否")</f>
        <v>否</v>
      </c>
    </row>
    <row r="1079" spans="1:10" hidden="1">
      <c r="A1079" s="3">
        <v>95234</v>
      </c>
      <c r="B1079" s="1" t="s">
        <v>162</v>
      </c>
      <c r="C1079" s="2" t="e">
        <f>_xlfn.XLOOKUP(B1079,线路DSP对应!A:A,线路DSP对应!B:B)</f>
        <v>#N/A</v>
      </c>
      <c r="D1079" s="4" t="s">
        <v>159</v>
      </c>
      <c r="E1079" s="2" t="e">
        <f>_xlfn.XLOOKUP(A1079,转单情况!A:A,转单情况!B:B)</f>
        <v>#N/A</v>
      </c>
      <c r="G1079" s="28">
        <f>ROUND(_xlfn.XLOOKUP(A1079,全量!A:A,全量!B:B,0)/7,1)</f>
        <v>0</v>
      </c>
      <c r="H1079" s="2">
        <f>ROUND(_xlfn.XLOOKUP(A1079,AE!A:A,AE!B:B,0)/7,1)</f>
        <v>0</v>
      </c>
      <c r="I1079" s="2" t="str">
        <f>_xlfn.XLOOKUP(A1079,SWFTX邮编覆盖!A:A,SWFTX邮编覆盖!B:B,"否")</f>
        <v>否</v>
      </c>
      <c r="J1079" s="2" t="str">
        <f>_xlfn.XLOOKUP(A1079,YW邮编覆盖!A:A,YW邮编覆盖!B:B,"否")</f>
        <v>否</v>
      </c>
    </row>
    <row r="1080" spans="1:10" hidden="1">
      <c r="A1080" s="3">
        <v>95241</v>
      </c>
      <c r="B1080" s="1" t="s">
        <v>162</v>
      </c>
      <c r="C1080" s="2" t="e">
        <f>_xlfn.XLOOKUP(B1080,线路DSP对应!A:A,线路DSP对应!B:B)</f>
        <v>#N/A</v>
      </c>
      <c r="D1080" s="4" t="s">
        <v>159</v>
      </c>
      <c r="E1080" s="2" t="e">
        <f>_xlfn.XLOOKUP(A1080,转单情况!A:A,转单情况!B:B)</f>
        <v>#N/A</v>
      </c>
      <c r="G1080" s="28">
        <f>ROUND(_xlfn.XLOOKUP(A1080,全量!A:A,全量!B:B,0)/7,1)</f>
        <v>0</v>
      </c>
      <c r="H1080" s="2">
        <f>ROUND(_xlfn.XLOOKUP(A1080,AE!A:A,AE!B:B,0)/7,1)</f>
        <v>0</v>
      </c>
      <c r="I1080" s="2" t="str">
        <f>_xlfn.XLOOKUP(A1080,SWFTX邮编覆盖!A:A,SWFTX邮编覆盖!B:B,"否")</f>
        <v>否</v>
      </c>
      <c r="J1080" s="2" t="str">
        <f>_xlfn.XLOOKUP(A1080,YW邮编覆盖!A:A,YW邮编覆盖!B:B,"否")</f>
        <v>否</v>
      </c>
    </row>
    <row r="1081" spans="1:10" hidden="1">
      <c r="A1081" s="3">
        <v>95267</v>
      </c>
      <c r="B1081" s="1" t="s">
        <v>162</v>
      </c>
      <c r="C1081" s="2" t="e">
        <f>_xlfn.XLOOKUP(B1081,线路DSP对应!A:A,线路DSP对应!B:B)</f>
        <v>#N/A</v>
      </c>
      <c r="D1081" s="4" t="s">
        <v>159</v>
      </c>
      <c r="E1081" s="2" t="e">
        <f>_xlfn.XLOOKUP(A1081,转单情况!A:A,转单情况!B:B)</f>
        <v>#N/A</v>
      </c>
      <c r="G1081" s="28">
        <f>ROUND(_xlfn.XLOOKUP(A1081,全量!A:A,全量!B:B,0)/7,1)</f>
        <v>0</v>
      </c>
      <c r="H1081" s="2">
        <f>ROUND(_xlfn.XLOOKUP(A1081,AE!A:A,AE!B:B,0)/7,1)</f>
        <v>0</v>
      </c>
      <c r="I1081" s="2" t="str">
        <f>_xlfn.XLOOKUP(A1081,SWFTX邮编覆盖!A:A,SWFTX邮编覆盖!B:B,"否")</f>
        <v>否</v>
      </c>
      <c r="J1081" s="2" t="str">
        <f>_xlfn.XLOOKUP(A1081,YW邮编覆盖!A:A,YW邮编覆盖!B:B,"否")</f>
        <v>否</v>
      </c>
    </row>
    <row r="1082" spans="1:10" hidden="1">
      <c r="A1082" s="3">
        <v>95269</v>
      </c>
      <c r="B1082" s="1" t="s">
        <v>162</v>
      </c>
      <c r="C1082" s="2" t="e">
        <f>_xlfn.XLOOKUP(B1082,线路DSP对应!A:A,线路DSP对应!B:B)</f>
        <v>#N/A</v>
      </c>
      <c r="D1082" s="4" t="s">
        <v>159</v>
      </c>
      <c r="E1082" s="2" t="e">
        <f>_xlfn.XLOOKUP(A1082,转单情况!A:A,转单情况!B:B)</f>
        <v>#N/A</v>
      </c>
      <c r="G1082" s="28">
        <f>ROUND(_xlfn.XLOOKUP(A1082,全量!A:A,全量!B:B,0)/7,1)</f>
        <v>0</v>
      </c>
      <c r="H1082" s="2">
        <f>ROUND(_xlfn.XLOOKUP(A1082,AE!A:A,AE!B:B,0)/7,1)</f>
        <v>0</v>
      </c>
      <c r="I1082" s="2" t="str">
        <f>_xlfn.XLOOKUP(A1082,SWFTX邮编覆盖!A:A,SWFTX邮编覆盖!B:B,"否")</f>
        <v>否</v>
      </c>
      <c r="J1082" s="2" t="str">
        <f>_xlfn.XLOOKUP(A1082,YW邮编覆盖!A:A,YW邮编覆盖!B:B,"否")</f>
        <v>否</v>
      </c>
    </row>
    <row r="1083" spans="1:10" hidden="1">
      <c r="A1083" s="3">
        <v>95296</v>
      </c>
      <c r="B1083" s="1" t="s">
        <v>162</v>
      </c>
      <c r="C1083" s="2" t="e">
        <f>_xlfn.XLOOKUP(B1083,线路DSP对应!A:A,线路DSP对应!B:B)</f>
        <v>#N/A</v>
      </c>
      <c r="D1083" s="4" t="s">
        <v>159</v>
      </c>
      <c r="E1083" s="2" t="e">
        <f>_xlfn.XLOOKUP(A1083,转单情况!A:A,转单情况!B:B)</f>
        <v>#N/A</v>
      </c>
      <c r="G1083" s="28">
        <f>ROUND(_xlfn.XLOOKUP(A1083,全量!A:A,全量!B:B,0)/7,1)</f>
        <v>0</v>
      </c>
      <c r="H1083" s="2">
        <f>ROUND(_xlfn.XLOOKUP(A1083,AE!A:A,AE!B:B,0)/7,1)</f>
        <v>0</v>
      </c>
      <c r="I1083" s="2" t="str">
        <f>_xlfn.XLOOKUP(A1083,SWFTX邮编覆盖!A:A,SWFTX邮编覆盖!B:B,"否")</f>
        <v>否</v>
      </c>
      <c r="J1083" s="2" t="str">
        <f>_xlfn.XLOOKUP(A1083,YW邮编覆盖!A:A,YW邮编覆盖!B:B,"否")</f>
        <v>否</v>
      </c>
    </row>
    <row r="1084" spans="1:10" hidden="1">
      <c r="A1084" s="3">
        <v>95378</v>
      </c>
      <c r="B1084" s="1" t="s">
        <v>162</v>
      </c>
      <c r="C1084" s="2" t="e">
        <f>_xlfn.XLOOKUP(B1084,线路DSP对应!A:A,线路DSP对应!B:B)</f>
        <v>#N/A</v>
      </c>
      <c r="D1084" s="4" t="s">
        <v>159</v>
      </c>
      <c r="E1084" s="2" t="e">
        <f>_xlfn.XLOOKUP(A1084,转单情况!A:A,转单情况!B:B)</f>
        <v>#N/A</v>
      </c>
      <c r="G1084" s="28">
        <f>ROUND(_xlfn.XLOOKUP(A1084,全量!A:A,全量!B:B,0)/7,1)</f>
        <v>0</v>
      </c>
      <c r="H1084" s="2">
        <f>ROUND(_xlfn.XLOOKUP(A1084,AE!A:A,AE!B:B,0)/7,1)</f>
        <v>0</v>
      </c>
      <c r="I1084" s="2" t="str">
        <f>_xlfn.XLOOKUP(A1084,SWFTX邮编覆盖!A:A,SWFTX邮编覆盖!B:B,"否")</f>
        <v>否</v>
      </c>
      <c r="J1084" s="2" t="str">
        <f>_xlfn.XLOOKUP(A1084,YW邮编覆盖!A:A,YW邮编覆盖!B:B,"否")</f>
        <v>否</v>
      </c>
    </row>
    <row r="1085" spans="1:10" hidden="1">
      <c r="A1085" s="3">
        <v>95686</v>
      </c>
      <c r="B1085" s="1" t="s">
        <v>87</v>
      </c>
      <c r="C1085" s="2" t="str">
        <f>_xlfn.XLOOKUP(B1085,线路DSP对应!A:A,线路DSP对应!B:B)</f>
        <v>STA_SAC_FCA</v>
      </c>
      <c r="D1085" s="4" t="s">
        <v>159</v>
      </c>
      <c r="E1085" s="2" t="str">
        <f>_xlfn.XLOOKUP(A1085,转单情况!A:A,转单情况!B:B)</f>
        <v>否</v>
      </c>
      <c r="G1085" s="28">
        <f>ROUND(_xlfn.XLOOKUP(A1085,全量!A:A,全量!B:B,0)/7,1)</f>
        <v>0.4</v>
      </c>
      <c r="H1085" s="2">
        <f>ROUND(_xlfn.XLOOKUP(A1085,AE!A:A,AE!B:B,0)/7,1)</f>
        <v>0.1</v>
      </c>
      <c r="I1085" s="2" t="str">
        <f>_xlfn.XLOOKUP(A1085,SWFTX邮编覆盖!A:A,SWFTX邮编覆盖!B:B,"否")</f>
        <v>否</v>
      </c>
      <c r="J1085" s="2" t="str">
        <f>_xlfn.XLOOKUP(A1085,YW邮编覆盖!A:A,YW邮编覆盖!B:B,"否")</f>
        <v>否</v>
      </c>
    </row>
    <row r="1086" spans="1:10">
      <c r="A1086" s="3">
        <v>95242</v>
      </c>
      <c r="B1086" s="1" t="s">
        <v>87</v>
      </c>
      <c r="C1086" s="2" t="str">
        <f>_xlfn.XLOOKUP(B1086,线路DSP对应!A:A,线路DSP对应!B:B)</f>
        <v>STA_SAC_FCA</v>
      </c>
      <c r="D1086" s="4" t="s">
        <v>159</v>
      </c>
      <c r="E1086" s="2" t="str">
        <f>_xlfn.XLOOKUP(A1086,转单情况!A:A,转单情况!B:B)</f>
        <v>否</v>
      </c>
      <c r="G1086" s="28">
        <f>ROUND(_xlfn.XLOOKUP(A1086,全量!A:A,全量!B:B,0)/7,1)</f>
        <v>10.4</v>
      </c>
      <c r="H1086" s="2">
        <f>ROUND(_xlfn.XLOOKUP(A1086,AE!A:A,AE!B:B,0)/7,1)</f>
        <v>3.3</v>
      </c>
      <c r="I1086" s="2" t="str">
        <f>_xlfn.XLOOKUP(A1086,SWFTX邮编覆盖!A:A,SWFTX邮编覆盖!B:B,"否")</f>
        <v>否</v>
      </c>
      <c r="J1086" s="2" t="str">
        <f>_xlfn.XLOOKUP(A1086,YW邮编覆盖!A:A,YW邮编覆盖!B:B,"否")</f>
        <v>是</v>
      </c>
    </row>
    <row r="1087" spans="1:10" hidden="1">
      <c r="A1087" s="3">
        <v>95258</v>
      </c>
      <c r="B1087" s="1" t="s">
        <v>87</v>
      </c>
      <c r="C1087" s="2" t="str">
        <f>_xlfn.XLOOKUP(B1087,线路DSP对应!A:A,线路DSP对应!B:B)</f>
        <v>STA_SAC_FCA</v>
      </c>
      <c r="D1087" s="4" t="s">
        <v>159</v>
      </c>
      <c r="E1087" s="2" t="str">
        <f>_xlfn.XLOOKUP(A1087,转单情况!A:A,转单情况!B:B)</f>
        <v>否</v>
      </c>
      <c r="G1087" s="28">
        <f>ROUND(_xlfn.XLOOKUP(A1087,全量!A:A,全量!B:B,0)/7,1)</f>
        <v>0.6</v>
      </c>
      <c r="H1087" s="2">
        <f>ROUND(_xlfn.XLOOKUP(A1087,AE!A:A,AE!B:B,0)/7,1)</f>
        <v>0.3</v>
      </c>
      <c r="I1087" s="2" t="str">
        <f>_xlfn.XLOOKUP(A1087,SWFTX邮编覆盖!A:A,SWFTX邮编覆盖!B:B,"否")</f>
        <v>否</v>
      </c>
      <c r="J1087" s="2" t="str">
        <f>_xlfn.XLOOKUP(A1087,YW邮编覆盖!A:A,YW邮编覆盖!B:B,"否")</f>
        <v>否</v>
      </c>
    </row>
    <row r="1088" spans="1:10" hidden="1">
      <c r="A1088" s="3">
        <v>95220</v>
      </c>
      <c r="B1088" s="1" t="s">
        <v>87</v>
      </c>
      <c r="C1088" s="2" t="str">
        <f>_xlfn.XLOOKUP(B1088,线路DSP对应!A:A,线路DSP对应!B:B)</f>
        <v>STA_SAC_FCA</v>
      </c>
      <c r="D1088" s="4" t="s">
        <v>159</v>
      </c>
      <c r="E1088" s="2" t="str">
        <f>_xlfn.XLOOKUP(A1088,转单情况!A:A,转单情况!B:B)</f>
        <v>否</v>
      </c>
      <c r="G1088" s="28">
        <f>ROUND(_xlfn.XLOOKUP(A1088,全量!A:A,全量!B:B,0)/7,1)</f>
        <v>3.1</v>
      </c>
      <c r="H1088" s="2">
        <f>ROUND(_xlfn.XLOOKUP(A1088,AE!A:A,AE!B:B,0)/7,1)</f>
        <v>0.9</v>
      </c>
      <c r="I1088" s="2" t="str">
        <f>_xlfn.XLOOKUP(A1088,SWFTX邮编覆盖!A:A,SWFTX邮编覆盖!B:B,"否")</f>
        <v>否</v>
      </c>
      <c r="J1088" s="2" t="str">
        <f>_xlfn.XLOOKUP(A1088,YW邮编覆盖!A:A,YW邮编覆盖!B:B,"否")</f>
        <v>否</v>
      </c>
    </row>
    <row r="1089" spans="1:10" hidden="1">
      <c r="A1089" s="3">
        <v>95237</v>
      </c>
      <c r="B1089" s="1" t="s">
        <v>87</v>
      </c>
      <c r="C1089" s="2" t="str">
        <f>_xlfn.XLOOKUP(B1089,线路DSP对应!A:A,线路DSP对应!B:B)</f>
        <v>STA_SAC_FCA</v>
      </c>
      <c r="D1089" s="4" t="s">
        <v>159</v>
      </c>
      <c r="E1089" s="2" t="str">
        <f>_xlfn.XLOOKUP(A1089,转单情况!A:A,转单情况!B:B)</f>
        <v>否</v>
      </c>
      <c r="G1089" s="28">
        <f>ROUND(_xlfn.XLOOKUP(A1089,全量!A:A,全量!B:B,0)/7,1)</f>
        <v>0.1</v>
      </c>
      <c r="H1089" s="2">
        <f>ROUND(_xlfn.XLOOKUP(A1089,AE!A:A,AE!B:B,0)/7,1)</f>
        <v>0</v>
      </c>
      <c r="I1089" s="2" t="str">
        <f>_xlfn.XLOOKUP(A1089,SWFTX邮编覆盖!A:A,SWFTX邮编覆盖!B:B,"否")</f>
        <v>否</v>
      </c>
      <c r="J1089" s="2" t="str">
        <f>_xlfn.XLOOKUP(A1089,YW邮编覆盖!A:A,YW邮编覆盖!B:B,"否")</f>
        <v>否</v>
      </c>
    </row>
    <row r="1090" spans="1:10">
      <c r="A1090" s="3">
        <v>95240</v>
      </c>
      <c r="B1090" s="1" t="s">
        <v>87</v>
      </c>
      <c r="C1090" s="2" t="str">
        <f>_xlfn.XLOOKUP(B1090,线路DSP对应!A:A,线路DSP对应!B:B)</f>
        <v>STA_SAC_FCA</v>
      </c>
      <c r="D1090" s="4" t="s">
        <v>159</v>
      </c>
      <c r="E1090" s="2" t="str">
        <f>_xlfn.XLOOKUP(A1090,转单情况!A:A,转单情况!B:B)</f>
        <v>否</v>
      </c>
      <c r="G1090" s="28">
        <f>ROUND(_xlfn.XLOOKUP(A1090,全量!A:A,全量!B:B,0)/7,1)</f>
        <v>19.600000000000001</v>
      </c>
      <c r="H1090" s="2">
        <f>ROUND(_xlfn.XLOOKUP(A1090,AE!A:A,AE!B:B,0)/7,1)</f>
        <v>9.3000000000000007</v>
      </c>
      <c r="I1090" s="2" t="str">
        <f>_xlfn.XLOOKUP(A1090,SWFTX邮编覆盖!A:A,SWFTX邮编覆盖!B:B,"否")</f>
        <v>否</v>
      </c>
      <c r="J1090" s="2" t="str">
        <f>_xlfn.XLOOKUP(A1090,YW邮编覆盖!A:A,YW邮编覆盖!B:B,"否")</f>
        <v>是</v>
      </c>
    </row>
    <row r="1091" spans="1:10" hidden="1">
      <c r="A1091" s="3">
        <v>95253</v>
      </c>
      <c r="B1091" s="1" t="s">
        <v>87</v>
      </c>
      <c r="C1091" s="2" t="str">
        <f>_xlfn.XLOOKUP(B1091,线路DSP对应!A:A,线路DSP对应!B:B)</f>
        <v>STA_SAC_FCA</v>
      </c>
      <c r="D1091" s="4" t="s">
        <v>159</v>
      </c>
      <c r="E1091" s="2" t="str">
        <f>_xlfn.XLOOKUP(A1091,转单情况!A:A,转单情况!B:B)</f>
        <v>否</v>
      </c>
      <c r="G1091" s="28">
        <f>ROUND(_xlfn.XLOOKUP(A1091,全量!A:A,全量!B:B,0)/7,1)</f>
        <v>0</v>
      </c>
      <c r="H1091" s="2">
        <f>ROUND(_xlfn.XLOOKUP(A1091,AE!A:A,AE!B:B,0)/7,1)</f>
        <v>0</v>
      </c>
      <c r="I1091" s="2" t="str">
        <f>_xlfn.XLOOKUP(A1091,SWFTX邮编覆盖!A:A,SWFTX邮编覆盖!B:B,"否")</f>
        <v>否</v>
      </c>
      <c r="J1091" s="2" t="str">
        <f>_xlfn.XLOOKUP(A1091,YW邮编覆盖!A:A,YW邮编覆盖!B:B,"否")</f>
        <v>否</v>
      </c>
    </row>
    <row r="1092" spans="1:10" hidden="1">
      <c r="A1092" s="3">
        <v>95219</v>
      </c>
      <c r="B1092" s="1" t="s">
        <v>87</v>
      </c>
      <c r="C1092" s="2" t="str">
        <f>_xlfn.XLOOKUP(B1092,线路DSP对应!A:A,线路DSP对应!B:B)</f>
        <v>STA_SAC_FCA</v>
      </c>
      <c r="D1092" s="4" t="s">
        <v>159</v>
      </c>
      <c r="E1092" s="2" t="str">
        <f>_xlfn.XLOOKUP(A1092,转单情况!A:A,转单情况!B:B)</f>
        <v>否</v>
      </c>
      <c r="G1092" s="28">
        <f>ROUND(_xlfn.XLOOKUP(A1092,全量!A:A,全量!B:B,0)/7,1)</f>
        <v>13.1</v>
      </c>
      <c r="H1092" s="2">
        <f>ROUND(_xlfn.XLOOKUP(A1092,AE!A:A,AE!B:B,0)/7,1)</f>
        <v>5.6</v>
      </c>
      <c r="I1092" s="2" t="str">
        <f>_xlfn.XLOOKUP(A1092,SWFTX邮编覆盖!A:A,SWFTX邮编覆盖!B:B,"否")</f>
        <v>否</v>
      </c>
      <c r="J1092" s="2" t="str">
        <f>_xlfn.XLOOKUP(A1092,YW邮编覆盖!A:A,YW邮编覆盖!B:B,"否")</f>
        <v>否</v>
      </c>
    </row>
    <row r="1093" spans="1:10" hidden="1">
      <c r="A1093" s="3">
        <v>95632</v>
      </c>
      <c r="B1093" s="1" t="s">
        <v>87</v>
      </c>
      <c r="C1093" s="2" t="str">
        <f>_xlfn.XLOOKUP(B1093,线路DSP对应!A:A,线路DSP对应!B:B)</f>
        <v>STA_SAC_FCA</v>
      </c>
      <c r="D1093" s="4" t="s">
        <v>159</v>
      </c>
      <c r="E1093" s="2" t="str">
        <f>_xlfn.XLOOKUP(A1093,转单情况!A:A,转单情况!B:B)</f>
        <v>否</v>
      </c>
      <c r="G1093" s="28">
        <f>ROUND(_xlfn.XLOOKUP(A1093,全量!A:A,全量!B:B,0)/7,1)</f>
        <v>1.1000000000000001</v>
      </c>
      <c r="H1093" s="2">
        <f>ROUND(_xlfn.XLOOKUP(A1093,AE!A:A,AE!B:B,0)/7,1)</f>
        <v>0</v>
      </c>
      <c r="I1093" s="2" t="str">
        <f>_xlfn.XLOOKUP(A1093,SWFTX邮编覆盖!A:A,SWFTX邮编覆盖!B:B,"否")</f>
        <v>是</v>
      </c>
      <c r="J1093" s="2" t="str">
        <f>_xlfn.XLOOKUP(A1093,YW邮编覆盖!A:A,YW邮编覆盖!B:B,"否")</f>
        <v>是</v>
      </c>
    </row>
    <row r="1094" spans="1:10" hidden="1">
      <c r="A1094" s="3">
        <v>95209</v>
      </c>
      <c r="B1094" s="1" t="s">
        <v>87</v>
      </c>
      <c r="C1094" s="2" t="str">
        <f>_xlfn.XLOOKUP(B1094,线路DSP对应!A:A,线路DSP对应!B:B)</f>
        <v>STA_SAC_FCA</v>
      </c>
      <c r="D1094" s="4" t="s">
        <v>159</v>
      </c>
      <c r="E1094" s="2" t="str">
        <f>_xlfn.XLOOKUP(A1094,转单情况!A:A,转单情况!B:B)</f>
        <v>否</v>
      </c>
      <c r="G1094" s="28">
        <f>ROUND(_xlfn.XLOOKUP(A1094,全量!A:A,全量!B:B,0)/7,1)</f>
        <v>9</v>
      </c>
      <c r="H1094" s="2">
        <f>ROUND(_xlfn.XLOOKUP(A1094,AE!A:A,AE!B:B,0)/7,1)</f>
        <v>7.7</v>
      </c>
      <c r="I1094" s="2" t="str">
        <f>_xlfn.XLOOKUP(A1094,SWFTX邮编覆盖!A:A,SWFTX邮编覆盖!B:B,"否")</f>
        <v>是</v>
      </c>
      <c r="J1094" s="2" t="str">
        <f>_xlfn.XLOOKUP(A1094,YW邮编覆盖!A:A,YW邮编覆盖!B:B,"否")</f>
        <v>否</v>
      </c>
    </row>
    <row r="1095" spans="1:10" hidden="1">
      <c r="A1095" s="3">
        <v>95210</v>
      </c>
      <c r="B1095" s="1" t="s">
        <v>87</v>
      </c>
      <c r="C1095" s="2" t="str">
        <f>_xlfn.XLOOKUP(B1095,线路DSP对应!A:A,线路DSP对应!B:B)</f>
        <v>STA_SAC_FCA</v>
      </c>
      <c r="D1095" s="4" t="s">
        <v>159</v>
      </c>
      <c r="E1095" s="2" t="str">
        <f>_xlfn.XLOOKUP(A1095,转单情况!A:A,转单情况!B:B)</f>
        <v>否</v>
      </c>
      <c r="G1095" s="28">
        <f>ROUND(_xlfn.XLOOKUP(A1095,全量!A:A,全量!B:B,0)/7,1)</f>
        <v>8</v>
      </c>
      <c r="H1095" s="2">
        <f>ROUND(_xlfn.XLOOKUP(A1095,AE!A:A,AE!B:B,0)/7,1)</f>
        <v>7.7</v>
      </c>
      <c r="I1095" s="2" t="str">
        <f>_xlfn.XLOOKUP(A1095,SWFTX邮编覆盖!A:A,SWFTX邮编覆盖!B:B,"否")</f>
        <v>是</v>
      </c>
      <c r="J1095" s="2" t="str">
        <f>_xlfn.XLOOKUP(A1095,YW邮编覆盖!A:A,YW邮编覆盖!B:B,"否")</f>
        <v>否</v>
      </c>
    </row>
    <row r="1096" spans="1:10" hidden="1">
      <c r="A1096" s="3">
        <v>95212</v>
      </c>
      <c r="B1096" s="1" t="s">
        <v>87</v>
      </c>
      <c r="C1096" s="2" t="str">
        <f>_xlfn.XLOOKUP(B1096,线路DSP对应!A:A,线路DSP对应!B:B)</f>
        <v>STA_SAC_FCA</v>
      </c>
      <c r="D1096" s="4" t="s">
        <v>159</v>
      </c>
      <c r="E1096" s="2" t="str">
        <f>_xlfn.XLOOKUP(A1096,转单情况!A:A,转单情况!B:B)</f>
        <v>否</v>
      </c>
      <c r="G1096" s="28">
        <f>ROUND(_xlfn.XLOOKUP(A1096,全量!A:A,全量!B:B,0)/7,1)</f>
        <v>10.1</v>
      </c>
      <c r="H1096" s="2">
        <f>ROUND(_xlfn.XLOOKUP(A1096,AE!A:A,AE!B:B,0)/7,1)</f>
        <v>9.1</v>
      </c>
      <c r="I1096" s="2" t="str">
        <f>_xlfn.XLOOKUP(A1096,SWFTX邮编覆盖!A:A,SWFTX邮编覆盖!B:B,"否")</f>
        <v>是</v>
      </c>
      <c r="J1096" s="2" t="str">
        <f>_xlfn.XLOOKUP(A1096,YW邮编覆盖!A:A,YW邮编覆盖!B:B,"否")</f>
        <v>否</v>
      </c>
    </row>
    <row r="1097" spans="1:10" hidden="1">
      <c r="A1097" s="3">
        <v>95236</v>
      </c>
      <c r="B1097" s="1" t="s">
        <v>87</v>
      </c>
      <c r="C1097" s="2" t="str">
        <f>_xlfn.XLOOKUP(B1097,线路DSP对应!A:A,线路DSP对应!B:B)</f>
        <v>STA_SAC_FCA</v>
      </c>
      <c r="D1097" s="4" t="s">
        <v>159</v>
      </c>
      <c r="E1097" s="2" t="str">
        <f>_xlfn.XLOOKUP(A1097,转单情况!A:A,转单情况!B:B)</f>
        <v>否</v>
      </c>
      <c r="G1097" s="28">
        <f>ROUND(_xlfn.XLOOKUP(A1097,全量!A:A,全量!B:B,0)/7,1)</f>
        <v>0.9</v>
      </c>
      <c r="H1097" s="2">
        <f>ROUND(_xlfn.XLOOKUP(A1097,AE!A:A,AE!B:B,0)/7,1)</f>
        <v>0.4</v>
      </c>
      <c r="I1097" s="2" t="str">
        <f>_xlfn.XLOOKUP(A1097,SWFTX邮编覆盖!A:A,SWFTX邮编覆盖!B:B,"否")</f>
        <v>否</v>
      </c>
      <c r="J1097" s="2" t="str">
        <f>_xlfn.XLOOKUP(A1097,YW邮编覆盖!A:A,YW邮编覆盖!B:B,"否")</f>
        <v>否</v>
      </c>
    </row>
    <row r="1098" spans="1:10" hidden="1">
      <c r="A1098" s="3">
        <v>95207</v>
      </c>
      <c r="B1098" s="1" t="s">
        <v>87</v>
      </c>
      <c r="C1098" s="2" t="str">
        <f>_xlfn.XLOOKUP(B1098,线路DSP对应!A:A,线路DSP对应!B:B)</f>
        <v>STA_SAC_FCA</v>
      </c>
      <c r="D1098" s="4" t="s">
        <v>159</v>
      </c>
      <c r="E1098" s="2" t="str">
        <f>_xlfn.XLOOKUP(A1098,转单情况!A:A,转单情况!B:B)</f>
        <v>否</v>
      </c>
      <c r="G1098" s="28">
        <f>ROUND(_xlfn.XLOOKUP(A1098,全量!A:A,全量!B:B,0)/7,1)</f>
        <v>11.1</v>
      </c>
      <c r="H1098" s="2">
        <f>ROUND(_xlfn.XLOOKUP(A1098,AE!A:A,AE!B:B,0)/7,1)</f>
        <v>11</v>
      </c>
      <c r="I1098" s="2" t="str">
        <f>_xlfn.XLOOKUP(A1098,SWFTX邮编覆盖!A:A,SWFTX邮编覆盖!B:B,"否")</f>
        <v>是</v>
      </c>
      <c r="J1098" s="2" t="str">
        <f>_xlfn.XLOOKUP(A1098,YW邮编覆盖!A:A,YW邮编覆盖!B:B,"否")</f>
        <v>否</v>
      </c>
    </row>
    <row r="1099" spans="1:10" hidden="1">
      <c r="A1099" s="3">
        <v>95211</v>
      </c>
      <c r="B1099" s="1" t="s">
        <v>87</v>
      </c>
      <c r="C1099" s="2" t="str">
        <f>_xlfn.XLOOKUP(B1099,线路DSP对应!A:A,线路DSP对应!B:B)</f>
        <v>STA_SAC_FCA</v>
      </c>
      <c r="D1099" s="4" t="s">
        <v>159</v>
      </c>
      <c r="E1099" s="2" t="str">
        <f>_xlfn.XLOOKUP(A1099,转单情况!A:A,转单情况!B:B)</f>
        <v>否</v>
      </c>
      <c r="G1099" s="28">
        <f>ROUND(_xlfn.XLOOKUP(A1099,全量!A:A,全量!B:B,0)/7,1)</f>
        <v>0.3</v>
      </c>
      <c r="H1099" s="2">
        <f>ROUND(_xlfn.XLOOKUP(A1099,AE!A:A,AE!B:B,0)/7,1)</f>
        <v>0</v>
      </c>
      <c r="I1099" s="2" t="str">
        <f>_xlfn.XLOOKUP(A1099,SWFTX邮编覆盖!A:A,SWFTX邮编覆盖!B:B,"否")</f>
        <v>否</v>
      </c>
      <c r="J1099" s="2" t="str">
        <f>_xlfn.XLOOKUP(A1099,YW邮编覆盖!A:A,YW邮编覆盖!B:B,"否")</f>
        <v>否</v>
      </c>
    </row>
    <row r="1100" spans="1:10" hidden="1">
      <c r="A1100" s="3">
        <v>95204</v>
      </c>
      <c r="B1100" s="1" t="s">
        <v>87</v>
      </c>
      <c r="C1100" s="2" t="str">
        <f>_xlfn.XLOOKUP(B1100,线路DSP对应!A:A,线路DSP对应!B:B)</f>
        <v>STA_SAC_FCA</v>
      </c>
      <c r="D1100" s="4" t="s">
        <v>159</v>
      </c>
      <c r="E1100" s="2" t="str">
        <f>_xlfn.XLOOKUP(A1100,转单情况!A:A,转单情况!B:B)</f>
        <v>否</v>
      </c>
      <c r="G1100" s="28">
        <f>ROUND(_xlfn.XLOOKUP(A1100,全量!A:A,全量!B:B,0)/7,1)</f>
        <v>5.9</v>
      </c>
      <c r="H1100" s="2">
        <f>ROUND(_xlfn.XLOOKUP(A1100,AE!A:A,AE!B:B,0)/7,1)</f>
        <v>5</v>
      </c>
      <c r="I1100" s="2" t="str">
        <f>_xlfn.XLOOKUP(A1100,SWFTX邮编覆盖!A:A,SWFTX邮编覆盖!B:B,"否")</f>
        <v>是</v>
      </c>
      <c r="J1100" s="2" t="str">
        <f>_xlfn.XLOOKUP(A1100,YW邮编覆盖!A:A,YW邮编覆盖!B:B,"否")</f>
        <v>否</v>
      </c>
    </row>
    <row r="1101" spans="1:10" hidden="1">
      <c r="A1101" s="3">
        <v>95205</v>
      </c>
      <c r="B1101" s="1" t="s">
        <v>87</v>
      </c>
      <c r="C1101" s="2" t="str">
        <f>_xlfn.XLOOKUP(B1101,线路DSP对应!A:A,线路DSP对应!B:B)</f>
        <v>STA_SAC_FCA</v>
      </c>
      <c r="D1101" s="4" t="s">
        <v>159</v>
      </c>
      <c r="E1101" s="2" t="str">
        <f>_xlfn.XLOOKUP(A1101,转单情况!A:A,转单情况!B:B)</f>
        <v>否</v>
      </c>
      <c r="G1101" s="28">
        <f>ROUND(_xlfn.XLOOKUP(A1101,全量!A:A,全量!B:B,0)/7,1)</f>
        <v>10.7</v>
      </c>
      <c r="H1101" s="2">
        <f>ROUND(_xlfn.XLOOKUP(A1101,AE!A:A,AE!B:B,0)/7,1)</f>
        <v>10</v>
      </c>
      <c r="I1101" s="2" t="str">
        <f>_xlfn.XLOOKUP(A1101,SWFTX邮编覆盖!A:A,SWFTX邮编覆盖!B:B,"否")</f>
        <v>是</v>
      </c>
      <c r="J1101" s="2" t="str">
        <f>_xlfn.XLOOKUP(A1101,YW邮编覆盖!A:A,YW邮编覆盖!B:B,"否")</f>
        <v>否</v>
      </c>
    </row>
    <row r="1102" spans="1:10" hidden="1">
      <c r="A1102" s="3">
        <v>95202</v>
      </c>
      <c r="B1102" s="1" t="s">
        <v>87</v>
      </c>
      <c r="C1102" s="2" t="str">
        <f>_xlfn.XLOOKUP(B1102,线路DSP对应!A:A,线路DSP对应!B:B)</f>
        <v>STA_SAC_FCA</v>
      </c>
      <c r="D1102" s="4" t="s">
        <v>159</v>
      </c>
      <c r="E1102" s="2" t="str">
        <f>_xlfn.XLOOKUP(A1102,转单情况!A:A,转单情况!B:B)</f>
        <v>否</v>
      </c>
      <c r="G1102" s="28">
        <f>ROUND(_xlfn.XLOOKUP(A1102,全量!A:A,全量!B:B,0)/7,1)</f>
        <v>0.6</v>
      </c>
      <c r="H1102" s="2">
        <f>ROUND(_xlfn.XLOOKUP(A1102,AE!A:A,AE!B:B,0)/7,1)</f>
        <v>0.6</v>
      </c>
      <c r="I1102" s="2" t="str">
        <f>_xlfn.XLOOKUP(A1102,SWFTX邮编覆盖!A:A,SWFTX邮编覆盖!B:B,"否")</f>
        <v>是</v>
      </c>
      <c r="J1102" s="2" t="str">
        <f>_xlfn.XLOOKUP(A1102,YW邮编覆盖!A:A,YW邮编覆盖!B:B,"否")</f>
        <v>否</v>
      </c>
    </row>
    <row r="1103" spans="1:10" hidden="1">
      <c r="A1103" s="3">
        <v>95297</v>
      </c>
      <c r="B1103" s="1" t="s">
        <v>87</v>
      </c>
      <c r="C1103" s="2" t="str">
        <f>_xlfn.XLOOKUP(B1103,线路DSP对应!A:A,线路DSP对应!B:B)</f>
        <v>STA_SAC_FCA</v>
      </c>
      <c r="D1103" s="4" t="s">
        <v>159</v>
      </c>
      <c r="E1103" s="2" t="str">
        <f>_xlfn.XLOOKUP(A1103,转单情况!A:A,转单情况!B:B)</f>
        <v>否</v>
      </c>
      <c r="G1103" s="28">
        <f>ROUND(_xlfn.XLOOKUP(A1103,全量!A:A,全量!B:B,0)/7,1)</f>
        <v>0</v>
      </c>
      <c r="H1103" s="2">
        <f>ROUND(_xlfn.XLOOKUP(A1103,AE!A:A,AE!B:B,0)/7,1)</f>
        <v>0</v>
      </c>
      <c r="I1103" s="2" t="str">
        <f>_xlfn.XLOOKUP(A1103,SWFTX邮编覆盖!A:A,SWFTX邮编覆盖!B:B,"否")</f>
        <v>否</v>
      </c>
      <c r="J1103" s="2" t="str">
        <f>_xlfn.XLOOKUP(A1103,YW邮编覆盖!A:A,YW邮编覆盖!B:B,"否")</f>
        <v>否</v>
      </c>
    </row>
    <row r="1104" spans="1:10" hidden="1">
      <c r="A1104" s="3">
        <v>95203</v>
      </c>
      <c r="B1104" s="1" t="s">
        <v>87</v>
      </c>
      <c r="C1104" s="2" t="str">
        <f>_xlfn.XLOOKUP(B1104,线路DSP对应!A:A,线路DSP对应!B:B)</f>
        <v>STA_SAC_FCA</v>
      </c>
      <c r="D1104" s="4" t="s">
        <v>159</v>
      </c>
      <c r="E1104" s="2" t="str">
        <f>_xlfn.XLOOKUP(A1104,转单情况!A:A,转单情况!B:B)</f>
        <v>否</v>
      </c>
      <c r="G1104" s="28">
        <f>ROUND(_xlfn.XLOOKUP(A1104,全量!A:A,全量!B:B,0)/7,1)</f>
        <v>2.9</v>
      </c>
      <c r="H1104" s="2">
        <f>ROUND(_xlfn.XLOOKUP(A1104,AE!A:A,AE!B:B,0)/7,1)</f>
        <v>2.6</v>
      </c>
      <c r="I1104" s="2" t="str">
        <f>_xlfn.XLOOKUP(A1104,SWFTX邮编覆盖!A:A,SWFTX邮编覆盖!B:B,"否")</f>
        <v>是</v>
      </c>
      <c r="J1104" s="2" t="str">
        <f>_xlfn.XLOOKUP(A1104,YW邮编覆盖!A:A,YW邮编覆盖!B:B,"否")</f>
        <v>否</v>
      </c>
    </row>
    <row r="1105" spans="1:10" hidden="1">
      <c r="A1105" s="3">
        <v>95206</v>
      </c>
      <c r="B1105" s="1" t="s">
        <v>87</v>
      </c>
      <c r="C1105" s="2" t="str">
        <f>_xlfn.XLOOKUP(B1105,线路DSP对应!A:A,线路DSP对应!B:B)</f>
        <v>STA_SAC_FCA</v>
      </c>
      <c r="D1105" s="4" t="s">
        <v>159</v>
      </c>
      <c r="E1105" s="2" t="str">
        <f>_xlfn.XLOOKUP(A1105,转单情况!A:A,转单情况!B:B)</f>
        <v>否</v>
      </c>
      <c r="G1105" s="28">
        <f>ROUND(_xlfn.XLOOKUP(A1105,全量!A:A,全量!B:B,0)/7,1)</f>
        <v>17.899999999999999</v>
      </c>
      <c r="H1105" s="2">
        <f>ROUND(_xlfn.XLOOKUP(A1105,AE!A:A,AE!B:B,0)/7,1)</f>
        <v>16.3</v>
      </c>
      <c r="I1105" s="2" t="str">
        <f>_xlfn.XLOOKUP(A1105,SWFTX邮编覆盖!A:A,SWFTX邮编覆盖!B:B,"否")</f>
        <v>是</v>
      </c>
      <c r="J1105" s="2" t="str">
        <f>_xlfn.XLOOKUP(A1105,YW邮编覆盖!A:A,YW邮编覆盖!B:B,"否")</f>
        <v>否</v>
      </c>
    </row>
    <row r="1106" spans="1:10" hidden="1">
      <c r="A1106" s="3">
        <v>95215</v>
      </c>
      <c r="B1106" s="1" t="s">
        <v>87</v>
      </c>
      <c r="C1106" s="2" t="str">
        <f>_xlfn.XLOOKUP(B1106,线路DSP对应!A:A,线路DSP对应!B:B)</f>
        <v>STA_SAC_FCA</v>
      </c>
      <c r="D1106" s="4" t="s">
        <v>159</v>
      </c>
      <c r="E1106" s="2" t="str">
        <f>_xlfn.XLOOKUP(A1106,转单情况!A:A,转单情况!B:B)</f>
        <v>否</v>
      </c>
      <c r="G1106" s="28">
        <f>ROUND(_xlfn.XLOOKUP(A1106,全量!A:A,全量!B:B,0)/7,1)</f>
        <v>4.5999999999999996</v>
      </c>
      <c r="H1106" s="2">
        <f>ROUND(_xlfn.XLOOKUP(A1106,AE!A:A,AE!B:B,0)/7,1)</f>
        <v>3.9</v>
      </c>
      <c r="I1106" s="2" t="str">
        <f>_xlfn.XLOOKUP(A1106,SWFTX邮编覆盖!A:A,SWFTX邮编覆盖!B:B,"否")</f>
        <v>是</v>
      </c>
      <c r="J1106" s="2" t="str">
        <f>_xlfn.XLOOKUP(A1106,YW邮编覆盖!A:A,YW邮编覆盖!B:B,"否")</f>
        <v>否</v>
      </c>
    </row>
    <row r="1107" spans="1:10" hidden="1">
      <c r="A1107" s="3">
        <v>95230</v>
      </c>
      <c r="B1107" s="1" t="s">
        <v>87</v>
      </c>
      <c r="C1107" s="2" t="str">
        <f>_xlfn.XLOOKUP(B1107,线路DSP对应!A:A,线路DSP对应!B:B)</f>
        <v>STA_SAC_FCA</v>
      </c>
      <c r="D1107" s="4" t="s">
        <v>159</v>
      </c>
      <c r="E1107" s="2" t="str">
        <f>_xlfn.XLOOKUP(A1107,转单情况!A:A,转单情况!B:B)</f>
        <v>否</v>
      </c>
      <c r="G1107" s="28">
        <f>ROUND(_xlfn.XLOOKUP(A1107,全量!A:A,全量!B:B,0)/7,1)</f>
        <v>1</v>
      </c>
      <c r="H1107" s="2">
        <f>ROUND(_xlfn.XLOOKUP(A1107,AE!A:A,AE!B:B,0)/7,1)</f>
        <v>0</v>
      </c>
      <c r="I1107" s="2" t="str">
        <f>_xlfn.XLOOKUP(A1107,SWFTX邮编覆盖!A:A,SWFTX邮编覆盖!B:B,"否")</f>
        <v>否</v>
      </c>
      <c r="J1107" s="2" t="str">
        <f>_xlfn.XLOOKUP(A1107,YW邮编覆盖!A:A,YW邮编覆盖!B:B,"否")</f>
        <v>否</v>
      </c>
    </row>
    <row r="1108" spans="1:10" hidden="1">
      <c r="A1108" s="3">
        <v>95304</v>
      </c>
      <c r="B1108" s="1" t="s">
        <v>87</v>
      </c>
      <c r="C1108" s="2" t="str">
        <f>_xlfn.XLOOKUP(B1108,线路DSP对应!A:A,线路DSP对应!B:B)</f>
        <v>STA_SAC_FCA</v>
      </c>
      <c r="D1108" s="4" t="s">
        <v>159</v>
      </c>
      <c r="E1108" s="2" t="str">
        <f>_xlfn.XLOOKUP(A1108,转单情况!A:A,转单情况!B:B)</f>
        <v>否</v>
      </c>
      <c r="G1108" s="28">
        <f>ROUND(_xlfn.XLOOKUP(A1108,全量!A:A,全量!B:B,0)/7,1)</f>
        <v>1.9</v>
      </c>
      <c r="H1108" s="2">
        <f>ROUND(_xlfn.XLOOKUP(A1108,AE!A:A,AE!B:B,0)/7,1)</f>
        <v>1.9</v>
      </c>
      <c r="I1108" s="2" t="str">
        <f>_xlfn.XLOOKUP(A1108,SWFTX邮编覆盖!A:A,SWFTX邮编覆盖!B:B,"否")</f>
        <v>是</v>
      </c>
      <c r="J1108" s="2" t="str">
        <f>_xlfn.XLOOKUP(A1108,YW邮编覆盖!A:A,YW邮编覆盖!B:B,"否")</f>
        <v>否</v>
      </c>
    </row>
    <row r="1109" spans="1:10" hidden="1">
      <c r="A1109" s="3">
        <v>95376</v>
      </c>
      <c r="B1109" s="1" t="s">
        <v>87</v>
      </c>
      <c r="C1109" s="2" t="str">
        <f>_xlfn.XLOOKUP(B1109,线路DSP对应!A:A,线路DSP对应!B:B)</f>
        <v>STA_SAC_FCA</v>
      </c>
      <c r="D1109" s="4" t="s">
        <v>159</v>
      </c>
      <c r="E1109" s="2" t="str">
        <f>_xlfn.XLOOKUP(A1109,转单情况!A:A,转单情况!B:B)</f>
        <v>否</v>
      </c>
      <c r="G1109" s="28">
        <f>ROUND(_xlfn.XLOOKUP(A1109,全量!A:A,全量!B:B,0)/7,1)</f>
        <v>11.4</v>
      </c>
      <c r="H1109" s="2">
        <f>ROUND(_xlfn.XLOOKUP(A1109,AE!A:A,AE!B:B,0)/7,1)</f>
        <v>11.3</v>
      </c>
      <c r="I1109" s="2" t="str">
        <f>_xlfn.XLOOKUP(A1109,SWFTX邮编覆盖!A:A,SWFTX邮编覆盖!B:B,"否")</f>
        <v>是</v>
      </c>
      <c r="J1109" s="2" t="str">
        <f>_xlfn.XLOOKUP(A1109,YW邮编覆盖!A:A,YW邮编覆盖!B:B,"否")</f>
        <v>否</v>
      </c>
    </row>
    <row r="1110" spans="1:10" hidden="1">
      <c r="A1110" s="3">
        <v>95377</v>
      </c>
      <c r="B1110" s="1" t="s">
        <v>87</v>
      </c>
      <c r="C1110" s="2" t="str">
        <f>_xlfn.XLOOKUP(B1110,线路DSP对应!A:A,线路DSP对应!B:B)</f>
        <v>STA_SAC_FCA</v>
      </c>
      <c r="D1110" s="4" t="s">
        <v>159</v>
      </c>
      <c r="E1110" s="2" t="str">
        <f>_xlfn.XLOOKUP(A1110,转单情况!A:A,转单情况!B:B)</f>
        <v>否</v>
      </c>
      <c r="G1110" s="28">
        <f>ROUND(_xlfn.XLOOKUP(A1110,全量!A:A,全量!B:B,0)/7,1)</f>
        <v>21.3</v>
      </c>
      <c r="H1110" s="2">
        <f>ROUND(_xlfn.XLOOKUP(A1110,AE!A:A,AE!B:B,0)/7,1)</f>
        <v>9.6</v>
      </c>
      <c r="I1110" s="2" t="str">
        <f>_xlfn.XLOOKUP(A1110,SWFTX邮编覆盖!A:A,SWFTX邮编覆盖!B:B,"否")</f>
        <v>否</v>
      </c>
      <c r="J1110" s="2" t="str">
        <f>_xlfn.XLOOKUP(A1110,YW邮编覆盖!A:A,YW邮编覆盖!B:B,"否")</f>
        <v>否</v>
      </c>
    </row>
    <row r="1111" spans="1:10" hidden="1">
      <c r="A1111" s="3">
        <v>95391</v>
      </c>
      <c r="B1111" s="1" t="s">
        <v>87</v>
      </c>
      <c r="C1111" s="2" t="str">
        <f>_xlfn.XLOOKUP(B1111,线路DSP对应!A:A,线路DSP对应!B:B)</f>
        <v>STA_SAC_FCA</v>
      </c>
      <c r="D1111" s="4" t="s">
        <v>159</v>
      </c>
      <c r="E1111" s="2" t="str">
        <f>_xlfn.XLOOKUP(A1111,转单情况!A:A,转单情况!B:B)</f>
        <v>否</v>
      </c>
      <c r="G1111" s="28">
        <f>ROUND(_xlfn.XLOOKUP(A1111,全量!A:A,全量!B:B,0)/7,1)</f>
        <v>8</v>
      </c>
      <c r="H1111" s="2">
        <f>ROUND(_xlfn.XLOOKUP(A1111,AE!A:A,AE!B:B,0)/7,1)</f>
        <v>7.4</v>
      </c>
      <c r="I1111" s="2" t="str">
        <f>_xlfn.XLOOKUP(A1111,SWFTX邮编覆盖!A:A,SWFTX邮编覆盖!B:B,"否")</f>
        <v>是</v>
      </c>
      <c r="J1111" s="2" t="str">
        <f>_xlfn.XLOOKUP(A1111,YW邮编覆盖!A:A,YW邮编覆盖!B:B,"否")</f>
        <v>否</v>
      </c>
    </row>
    <row r="1112" spans="1:10" hidden="1">
      <c r="A1112" s="3">
        <v>95336</v>
      </c>
      <c r="B1112" s="1" t="s">
        <v>87</v>
      </c>
      <c r="C1112" s="2" t="str">
        <f>_xlfn.XLOOKUP(B1112,线路DSP对应!A:A,线路DSP对应!B:B)</f>
        <v>STA_SAC_FCA</v>
      </c>
      <c r="D1112" s="4" t="s">
        <v>159</v>
      </c>
      <c r="E1112" s="2" t="str">
        <f>_xlfn.XLOOKUP(A1112,转单情况!A:A,转单情况!B:B)</f>
        <v>否</v>
      </c>
      <c r="G1112" s="28">
        <f>ROUND(_xlfn.XLOOKUP(A1112,全量!A:A,全量!B:B,0)/7,1)</f>
        <v>10.1</v>
      </c>
      <c r="H1112" s="2">
        <f>ROUND(_xlfn.XLOOKUP(A1112,AE!A:A,AE!B:B,0)/7,1)</f>
        <v>9.6</v>
      </c>
      <c r="I1112" s="2" t="str">
        <f>_xlfn.XLOOKUP(A1112,SWFTX邮编覆盖!A:A,SWFTX邮编覆盖!B:B,"否")</f>
        <v>是</v>
      </c>
      <c r="J1112" s="2" t="str">
        <f>_xlfn.XLOOKUP(A1112,YW邮编覆盖!A:A,YW邮编覆盖!B:B,"否")</f>
        <v>否</v>
      </c>
    </row>
    <row r="1113" spans="1:10" hidden="1">
      <c r="A1113" s="3">
        <v>95337</v>
      </c>
      <c r="B1113" s="1" t="s">
        <v>87</v>
      </c>
      <c r="C1113" s="2" t="str">
        <f>_xlfn.XLOOKUP(B1113,线路DSP对应!A:A,线路DSP对应!B:B)</f>
        <v>STA_SAC_FCA</v>
      </c>
      <c r="D1113" s="4" t="s">
        <v>159</v>
      </c>
      <c r="E1113" s="2" t="str">
        <f>_xlfn.XLOOKUP(A1113,转单情况!A:A,转单情况!B:B)</f>
        <v>否</v>
      </c>
      <c r="G1113" s="28">
        <f>ROUND(_xlfn.XLOOKUP(A1113,全量!A:A,全量!B:B,0)/7,1)</f>
        <v>10.6</v>
      </c>
      <c r="H1113" s="2">
        <f>ROUND(_xlfn.XLOOKUP(A1113,AE!A:A,AE!B:B,0)/7,1)</f>
        <v>10.4</v>
      </c>
      <c r="I1113" s="2" t="str">
        <f>_xlfn.XLOOKUP(A1113,SWFTX邮编覆盖!A:A,SWFTX邮编覆盖!B:B,"否")</f>
        <v>是</v>
      </c>
      <c r="J1113" s="2" t="str">
        <f>_xlfn.XLOOKUP(A1113,YW邮编覆盖!A:A,YW邮编覆盖!B:B,"否")</f>
        <v>否</v>
      </c>
    </row>
    <row r="1114" spans="1:10" hidden="1">
      <c r="A1114" s="3">
        <v>95366</v>
      </c>
      <c r="B1114" s="1" t="s">
        <v>87</v>
      </c>
      <c r="C1114" s="2" t="str">
        <f>_xlfn.XLOOKUP(B1114,线路DSP对应!A:A,线路DSP对应!B:B)</f>
        <v>STA_SAC_FCA</v>
      </c>
      <c r="D1114" s="4" t="s">
        <v>159</v>
      </c>
      <c r="E1114" s="2" t="str">
        <f>_xlfn.XLOOKUP(A1114,转单情况!A:A,转单情况!B:B)</f>
        <v>否</v>
      </c>
      <c r="G1114" s="28">
        <f>ROUND(_xlfn.XLOOKUP(A1114,全量!A:A,全量!B:B,0)/7,1)</f>
        <v>2.2999999999999998</v>
      </c>
      <c r="H1114" s="2">
        <f>ROUND(_xlfn.XLOOKUP(A1114,AE!A:A,AE!B:B,0)/7,1)</f>
        <v>2.2999999999999998</v>
      </c>
      <c r="I1114" s="2" t="str">
        <f>_xlfn.XLOOKUP(A1114,SWFTX邮编覆盖!A:A,SWFTX邮编覆盖!B:B,"否")</f>
        <v>是</v>
      </c>
      <c r="J1114" s="2" t="str">
        <f>_xlfn.XLOOKUP(A1114,YW邮编覆盖!A:A,YW邮编覆盖!B:B,"否")</f>
        <v>否</v>
      </c>
    </row>
    <row r="1115" spans="1:10" hidden="1">
      <c r="A1115" s="3">
        <v>95320</v>
      </c>
      <c r="B1115" s="1" t="s">
        <v>87</v>
      </c>
      <c r="C1115" s="2" t="str">
        <f>_xlfn.XLOOKUP(B1115,线路DSP对应!A:A,线路DSP对应!B:B)</f>
        <v>STA_SAC_FCA</v>
      </c>
      <c r="D1115" s="4" t="s">
        <v>159</v>
      </c>
      <c r="E1115" s="2" t="str">
        <f>_xlfn.XLOOKUP(A1115,转单情况!A:A,转单情况!B:B)</f>
        <v>否</v>
      </c>
      <c r="G1115" s="28">
        <f>ROUND(_xlfn.XLOOKUP(A1115,全量!A:A,全量!B:B,0)/7,1)</f>
        <v>1.4</v>
      </c>
      <c r="H1115" s="2">
        <f>ROUND(_xlfn.XLOOKUP(A1115,AE!A:A,AE!B:B,0)/7,1)</f>
        <v>1.4</v>
      </c>
      <c r="I1115" s="2" t="str">
        <f>_xlfn.XLOOKUP(A1115,SWFTX邮编覆盖!A:A,SWFTX邮编覆盖!B:B,"否")</f>
        <v>是</v>
      </c>
      <c r="J1115" s="2" t="str">
        <f>_xlfn.XLOOKUP(A1115,YW邮编覆盖!A:A,YW邮编覆盖!B:B,"否")</f>
        <v>否</v>
      </c>
    </row>
    <row r="1116" spans="1:10" hidden="1">
      <c r="A1116" s="3">
        <v>95330</v>
      </c>
      <c r="B1116" s="1" t="s">
        <v>87</v>
      </c>
      <c r="C1116" s="2" t="str">
        <f>_xlfn.XLOOKUP(B1116,线路DSP对应!A:A,线路DSP对应!B:B)</f>
        <v>STA_SAC_FCA</v>
      </c>
      <c r="D1116" s="4" t="s">
        <v>159</v>
      </c>
      <c r="E1116" s="2" t="str">
        <f>_xlfn.XLOOKUP(A1116,转单情况!A:A,转单情况!B:B)</f>
        <v>否</v>
      </c>
      <c r="G1116" s="28">
        <f>ROUND(_xlfn.XLOOKUP(A1116,全量!A:A,全量!B:B,0)/7,1)</f>
        <v>8.6</v>
      </c>
      <c r="H1116" s="2">
        <f>ROUND(_xlfn.XLOOKUP(A1116,AE!A:A,AE!B:B,0)/7,1)</f>
        <v>8.6</v>
      </c>
      <c r="I1116" s="2" t="str">
        <f>_xlfn.XLOOKUP(A1116,SWFTX邮编覆盖!A:A,SWFTX邮编覆盖!B:B,"否")</f>
        <v>是</v>
      </c>
      <c r="J1116" s="2" t="str">
        <f>_xlfn.XLOOKUP(A1116,YW邮编覆盖!A:A,YW邮编覆盖!B:B,"否")</f>
        <v>否</v>
      </c>
    </row>
    <row r="1117" spans="1:10">
      <c r="A1117" s="3">
        <v>94088</v>
      </c>
      <c r="B1117" s="1" t="s">
        <v>162</v>
      </c>
      <c r="C1117" s="2" t="e">
        <f>_xlfn.XLOOKUP(B1117,线路DSP对应!A:A,线路DSP对应!B:B)</f>
        <v>#N/A</v>
      </c>
      <c r="D1117" s="4" t="s">
        <v>154</v>
      </c>
      <c r="E1117" s="2" t="e">
        <f>_xlfn.XLOOKUP(A1117,转单情况!A:A,转单情况!B:B)</f>
        <v>#N/A</v>
      </c>
      <c r="G1117" s="28">
        <f>ROUND(_xlfn.XLOOKUP(A1117,全量!A:A,全量!B:B,0)/7,1)</f>
        <v>0</v>
      </c>
      <c r="H1117" s="2">
        <f>ROUND(_xlfn.XLOOKUP(A1117,AE!A:A,AE!B:B,0)/7,1)</f>
        <v>0</v>
      </c>
      <c r="I1117" s="2" t="str">
        <f>_xlfn.XLOOKUP(A1117,SWFTX邮编覆盖!A:A,SWFTX邮编覆盖!B:B,"否")</f>
        <v>否</v>
      </c>
      <c r="J1117" s="2" t="str">
        <f>_xlfn.XLOOKUP(A1117,YW邮编覆盖!A:A,YW邮编覆盖!B:B,"否")</f>
        <v>是</v>
      </c>
    </row>
    <row r="1118" spans="1:10">
      <c r="A1118" s="3">
        <v>94537</v>
      </c>
      <c r="B1118" s="1" t="s">
        <v>162</v>
      </c>
      <c r="C1118" s="2" t="e">
        <f>_xlfn.XLOOKUP(B1118,线路DSP对应!A:A,线路DSP对应!B:B)</f>
        <v>#N/A</v>
      </c>
      <c r="D1118" s="4" t="s">
        <v>154</v>
      </c>
      <c r="E1118" s="2" t="e">
        <f>_xlfn.XLOOKUP(A1118,转单情况!A:A,转单情况!B:B)</f>
        <v>#N/A</v>
      </c>
      <c r="G1118" s="28">
        <f>ROUND(_xlfn.XLOOKUP(A1118,全量!A:A,全量!B:B,0)/7,1)</f>
        <v>0</v>
      </c>
      <c r="H1118" s="2">
        <f>ROUND(_xlfn.XLOOKUP(A1118,AE!A:A,AE!B:B,0)/7,1)</f>
        <v>0</v>
      </c>
      <c r="I1118" s="2" t="str">
        <f>_xlfn.XLOOKUP(A1118,SWFTX邮编覆盖!A:A,SWFTX邮编覆盖!B:B,"否")</f>
        <v>否</v>
      </c>
      <c r="J1118" s="2" t="str">
        <f>_xlfn.XLOOKUP(A1118,YW邮编覆盖!A:A,YW邮编覆盖!B:B,"否")</f>
        <v>是</v>
      </c>
    </row>
    <row r="1119" spans="1:10">
      <c r="A1119" s="3">
        <v>94540</v>
      </c>
      <c r="B1119" s="1" t="s">
        <v>162</v>
      </c>
      <c r="C1119" s="2" t="e">
        <f>_xlfn.XLOOKUP(B1119,线路DSP对应!A:A,线路DSP对应!B:B)</f>
        <v>#N/A</v>
      </c>
      <c r="D1119" s="4" t="s">
        <v>154</v>
      </c>
      <c r="E1119" s="2" t="e">
        <f>_xlfn.XLOOKUP(A1119,转单情况!A:A,转单情况!B:B)</f>
        <v>#N/A</v>
      </c>
      <c r="G1119" s="28">
        <f>ROUND(_xlfn.XLOOKUP(A1119,全量!A:A,全量!B:B,0)/7,1)</f>
        <v>0</v>
      </c>
      <c r="H1119" s="2">
        <f>ROUND(_xlfn.XLOOKUP(A1119,AE!A:A,AE!B:B,0)/7,1)</f>
        <v>0</v>
      </c>
      <c r="I1119" s="2" t="str">
        <f>_xlfn.XLOOKUP(A1119,SWFTX邮编覆盖!A:A,SWFTX邮编覆盖!B:B,"否")</f>
        <v>否</v>
      </c>
      <c r="J1119" s="2" t="str">
        <f>_xlfn.XLOOKUP(A1119,YW邮编覆盖!A:A,YW邮编覆盖!B:B,"否")</f>
        <v>是</v>
      </c>
    </row>
    <row r="1120" spans="1:10">
      <c r="A1120" s="3">
        <v>94557</v>
      </c>
      <c r="B1120" s="1" t="s">
        <v>162</v>
      </c>
      <c r="C1120" s="2" t="e">
        <f>_xlfn.XLOOKUP(B1120,线路DSP对应!A:A,线路DSP对应!B:B)</f>
        <v>#N/A</v>
      </c>
      <c r="D1120" s="4" t="s">
        <v>154</v>
      </c>
      <c r="E1120" s="2" t="e">
        <f>_xlfn.XLOOKUP(A1120,转单情况!A:A,转单情况!B:B)</f>
        <v>#N/A</v>
      </c>
      <c r="G1120" s="28">
        <f>ROUND(_xlfn.XLOOKUP(A1120,全量!A:A,全量!B:B,0)/7,1)</f>
        <v>0</v>
      </c>
      <c r="H1120" s="2">
        <f>ROUND(_xlfn.XLOOKUP(A1120,AE!A:A,AE!B:B,0)/7,1)</f>
        <v>0</v>
      </c>
      <c r="I1120" s="2" t="str">
        <f>_xlfn.XLOOKUP(A1120,SWFTX邮编覆盖!A:A,SWFTX邮编覆盖!B:B,"否")</f>
        <v>否</v>
      </c>
      <c r="J1120" s="2" t="str">
        <f>_xlfn.XLOOKUP(A1120,YW邮编覆盖!A:A,YW邮编覆盖!B:B,"否")</f>
        <v>是</v>
      </c>
    </row>
    <row r="1121" spans="1:10">
      <c r="A1121" s="3">
        <v>94604</v>
      </c>
      <c r="B1121" s="1" t="s">
        <v>162</v>
      </c>
      <c r="C1121" s="2" t="e">
        <f>_xlfn.XLOOKUP(B1121,线路DSP对应!A:A,线路DSP对应!B:B)</f>
        <v>#N/A</v>
      </c>
      <c r="D1121" s="4" t="s">
        <v>154</v>
      </c>
      <c r="E1121" s="2" t="e">
        <f>_xlfn.XLOOKUP(A1121,转单情况!A:A,转单情况!B:B)</f>
        <v>#N/A</v>
      </c>
      <c r="G1121" s="28">
        <f>ROUND(_xlfn.XLOOKUP(A1121,全量!A:A,全量!B:B,0)/7,1)</f>
        <v>0</v>
      </c>
      <c r="H1121" s="2">
        <f>ROUND(_xlfn.XLOOKUP(A1121,AE!A:A,AE!B:B,0)/7,1)</f>
        <v>0</v>
      </c>
      <c r="I1121" s="2" t="str">
        <f>_xlfn.XLOOKUP(A1121,SWFTX邮编覆盖!A:A,SWFTX邮编覆盖!B:B,"否")</f>
        <v>否</v>
      </c>
      <c r="J1121" s="2" t="str">
        <f>_xlfn.XLOOKUP(A1121,YW邮编覆盖!A:A,YW邮编覆盖!B:B,"否")</f>
        <v>是</v>
      </c>
    </row>
    <row r="1122" spans="1:10">
      <c r="A1122" s="3">
        <v>94614</v>
      </c>
      <c r="B1122" s="1" t="s">
        <v>162</v>
      </c>
      <c r="C1122" s="2" t="e">
        <f>_xlfn.XLOOKUP(B1122,线路DSP对应!A:A,线路DSP对应!B:B)</f>
        <v>#N/A</v>
      </c>
      <c r="D1122" s="4" t="s">
        <v>154</v>
      </c>
      <c r="E1122" s="2" t="e">
        <f>_xlfn.XLOOKUP(A1122,转单情况!A:A,转单情况!B:B)</f>
        <v>#N/A</v>
      </c>
      <c r="G1122" s="28">
        <f>ROUND(_xlfn.XLOOKUP(A1122,全量!A:A,全量!B:B,0)/7,1)</f>
        <v>0</v>
      </c>
      <c r="H1122" s="2">
        <f>ROUND(_xlfn.XLOOKUP(A1122,AE!A:A,AE!B:B,0)/7,1)</f>
        <v>0</v>
      </c>
      <c r="I1122" s="2" t="str">
        <f>_xlfn.XLOOKUP(A1122,SWFTX邮编覆盖!A:A,SWFTX邮编覆盖!B:B,"否")</f>
        <v>否</v>
      </c>
      <c r="J1122" s="2" t="str">
        <f>_xlfn.XLOOKUP(A1122,YW邮编覆盖!A:A,YW邮编覆盖!B:B,"否")</f>
        <v>是</v>
      </c>
    </row>
    <row r="1123" spans="1:10">
      <c r="A1123" s="3">
        <v>94617</v>
      </c>
      <c r="B1123" s="1" t="s">
        <v>162</v>
      </c>
      <c r="C1123" s="2" t="e">
        <f>_xlfn.XLOOKUP(B1123,线路DSP对应!A:A,线路DSP对应!B:B)</f>
        <v>#N/A</v>
      </c>
      <c r="D1123" s="4" t="s">
        <v>154</v>
      </c>
      <c r="E1123" s="2" t="e">
        <f>_xlfn.XLOOKUP(A1123,转单情况!A:A,转单情况!B:B)</f>
        <v>#N/A</v>
      </c>
      <c r="G1123" s="28">
        <f>ROUND(_xlfn.XLOOKUP(A1123,全量!A:A,全量!B:B,0)/7,1)</f>
        <v>0</v>
      </c>
      <c r="H1123" s="2">
        <f>ROUND(_xlfn.XLOOKUP(A1123,AE!A:A,AE!B:B,0)/7,1)</f>
        <v>0</v>
      </c>
      <c r="I1123" s="2" t="str">
        <f>_xlfn.XLOOKUP(A1123,SWFTX邮编覆盖!A:A,SWFTX邮编覆盖!B:B,"否")</f>
        <v>否</v>
      </c>
      <c r="J1123" s="2" t="str">
        <f>_xlfn.XLOOKUP(A1123,YW邮编覆盖!A:A,YW邮编覆盖!B:B,"否")</f>
        <v>是</v>
      </c>
    </row>
    <row r="1124" spans="1:10">
      <c r="A1124" s="3">
        <v>94701</v>
      </c>
      <c r="B1124" s="1" t="s">
        <v>162</v>
      </c>
      <c r="C1124" s="2" t="e">
        <f>_xlfn.XLOOKUP(B1124,线路DSP对应!A:A,线路DSP对应!B:B)</f>
        <v>#N/A</v>
      </c>
      <c r="D1124" s="4" t="s">
        <v>154</v>
      </c>
      <c r="E1124" s="2" t="e">
        <f>_xlfn.XLOOKUP(A1124,转单情况!A:A,转单情况!B:B)</f>
        <v>#N/A</v>
      </c>
      <c r="G1124" s="28">
        <f>ROUND(_xlfn.XLOOKUP(A1124,全量!A:A,全量!B:B,0)/7,1)</f>
        <v>0</v>
      </c>
      <c r="H1124" s="2">
        <f>ROUND(_xlfn.XLOOKUP(A1124,AE!A:A,AE!B:B,0)/7,1)</f>
        <v>0</v>
      </c>
      <c r="I1124" s="2" t="str">
        <f>_xlfn.XLOOKUP(A1124,SWFTX邮编覆盖!A:A,SWFTX邮编覆盖!B:B,"否")</f>
        <v>否</v>
      </c>
      <c r="J1124" s="2" t="str">
        <f>_xlfn.XLOOKUP(A1124,YW邮编覆盖!A:A,YW邮编覆盖!B:B,"否")</f>
        <v>是</v>
      </c>
    </row>
    <row r="1125" spans="1:10" hidden="1">
      <c r="A1125" s="3">
        <v>94712</v>
      </c>
      <c r="B1125" s="1" t="s">
        <v>162</v>
      </c>
      <c r="C1125" s="2" t="e">
        <f>_xlfn.XLOOKUP(B1125,线路DSP对应!A:A,线路DSP对应!B:B)</f>
        <v>#N/A</v>
      </c>
      <c r="D1125" s="4" t="s">
        <v>154</v>
      </c>
      <c r="E1125" s="2" t="e">
        <f>_xlfn.XLOOKUP(A1125,转单情况!A:A,转单情况!B:B)</f>
        <v>#N/A</v>
      </c>
      <c r="G1125" s="28">
        <f>ROUND(_xlfn.XLOOKUP(A1125,全量!A:A,全量!B:B,0)/7,1)</f>
        <v>0</v>
      </c>
      <c r="H1125" s="2">
        <f>ROUND(_xlfn.XLOOKUP(A1125,AE!A:A,AE!B:B,0)/7,1)</f>
        <v>0</v>
      </c>
      <c r="I1125" s="2" t="str">
        <f>_xlfn.XLOOKUP(A1125,SWFTX邮编覆盖!A:A,SWFTX邮编覆盖!B:B,"否")</f>
        <v>否</v>
      </c>
      <c r="J1125" s="2" t="str">
        <f>_xlfn.XLOOKUP(A1125,YW邮编覆盖!A:A,YW邮编覆盖!B:B,"否")</f>
        <v>否</v>
      </c>
    </row>
    <row r="1126" spans="1:10">
      <c r="A1126" s="3">
        <v>94802</v>
      </c>
      <c r="B1126" s="1" t="s">
        <v>162</v>
      </c>
      <c r="C1126" s="2" t="e">
        <f>_xlfn.XLOOKUP(B1126,线路DSP对应!A:A,线路DSP对应!B:B)</f>
        <v>#N/A</v>
      </c>
      <c r="D1126" s="4" t="s">
        <v>154</v>
      </c>
      <c r="E1126" s="2" t="e">
        <f>_xlfn.XLOOKUP(A1126,转单情况!A:A,转单情况!B:B)</f>
        <v>#N/A</v>
      </c>
      <c r="G1126" s="28">
        <f>ROUND(_xlfn.XLOOKUP(A1126,全量!A:A,全量!B:B,0)/7,1)</f>
        <v>0</v>
      </c>
      <c r="H1126" s="2">
        <f>ROUND(_xlfn.XLOOKUP(A1126,AE!A:A,AE!B:B,0)/7,1)</f>
        <v>0</v>
      </c>
      <c r="I1126" s="2" t="str">
        <f>_xlfn.XLOOKUP(A1126,SWFTX邮编覆盖!A:A,SWFTX邮编覆盖!B:B,"否")</f>
        <v>否</v>
      </c>
      <c r="J1126" s="2" t="str">
        <f>_xlfn.XLOOKUP(A1126,YW邮编覆盖!A:A,YW邮编覆盖!B:B,"否")</f>
        <v>是</v>
      </c>
    </row>
    <row r="1127" spans="1:10">
      <c r="A1127" s="3">
        <v>94807</v>
      </c>
      <c r="B1127" s="1" t="s">
        <v>162</v>
      </c>
      <c r="C1127" s="2" t="e">
        <f>_xlfn.XLOOKUP(B1127,线路DSP对应!A:A,线路DSP对应!B:B)</f>
        <v>#N/A</v>
      </c>
      <c r="D1127" s="4" t="s">
        <v>154</v>
      </c>
      <c r="E1127" s="2" t="e">
        <f>_xlfn.XLOOKUP(A1127,转单情况!A:A,转单情况!B:B)</f>
        <v>#N/A</v>
      </c>
      <c r="G1127" s="28">
        <f>ROUND(_xlfn.XLOOKUP(A1127,全量!A:A,全量!B:B,0)/7,1)</f>
        <v>0</v>
      </c>
      <c r="H1127" s="2">
        <f>ROUND(_xlfn.XLOOKUP(A1127,AE!A:A,AE!B:B,0)/7,1)</f>
        <v>0</v>
      </c>
      <c r="I1127" s="2" t="str">
        <f>_xlfn.XLOOKUP(A1127,SWFTX邮编覆盖!A:A,SWFTX邮编覆盖!B:B,"否")</f>
        <v>否</v>
      </c>
      <c r="J1127" s="2" t="str">
        <f>_xlfn.XLOOKUP(A1127,YW邮编覆盖!A:A,YW邮编覆盖!B:B,"否")</f>
        <v>是</v>
      </c>
    </row>
    <row r="1128" spans="1:10">
      <c r="A1128" s="3">
        <v>94808</v>
      </c>
      <c r="B1128" s="1" t="s">
        <v>162</v>
      </c>
      <c r="C1128" s="2" t="e">
        <f>_xlfn.XLOOKUP(B1128,线路DSP对应!A:A,线路DSP对应!B:B)</f>
        <v>#N/A</v>
      </c>
      <c r="D1128" s="4" t="s">
        <v>154</v>
      </c>
      <c r="E1128" s="2" t="e">
        <f>_xlfn.XLOOKUP(A1128,转单情况!A:A,转单情况!B:B)</f>
        <v>#N/A</v>
      </c>
      <c r="G1128" s="28">
        <f>ROUND(_xlfn.XLOOKUP(A1128,全量!A:A,全量!B:B,0)/7,1)</f>
        <v>0</v>
      </c>
      <c r="H1128" s="2">
        <f>ROUND(_xlfn.XLOOKUP(A1128,AE!A:A,AE!B:B,0)/7,1)</f>
        <v>0</v>
      </c>
      <c r="I1128" s="2" t="str">
        <f>_xlfn.XLOOKUP(A1128,SWFTX邮编覆盖!A:A,SWFTX邮编覆盖!B:B,"否")</f>
        <v>否</v>
      </c>
      <c r="J1128" s="2" t="str">
        <f>_xlfn.XLOOKUP(A1128,YW邮编覆盖!A:A,YW邮编覆盖!B:B,"否")</f>
        <v>是</v>
      </c>
    </row>
    <row r="1129" spans="1:10">
      <c r="A1129" s="3">
        <v>94850</v>
      </c>
      <c r="B1129" s="1" t="s">
        <v>162</v>
      </c>
      <c r="C1129" s="2" t="e">
        <f>_xlfn.XLOOKUP(B1129,线路DSP对应!A:A,线路DSP对应!B:B)</f>
        <v>#N/A</v>
      </c>
      <c r="D1129" s="4" t="s">
        <v>154</v>
      </c>
      <c r="E1129" s="2" t="e">
        <f>_xlfn.XLOOKUP(A1129,转单情况!A:A,转单情况!B:B)</f>
        <v>#N/A</v>
      </c>
      <c r="G1129" s="28">
        <f>ROUND(_xlfn.XLOOKUP(A1129,全量!A:A,全量!B:B,0)/7,1)</f>
        <v>0</v>
      </c>
      <c r="H1129" s="2">
        <f>ROUND(_xlfn.XLOOKUP(A1129,AE!A:A,AE!B:B,0)/7,1)</f>
        <v>0</v>
      </c>
      <c r="I1129" s="2" t="str">
        <f>_xlfn.XLOOKUP(A1129,SWFTX邮编覆盖!A:A,SWFTX邮编覆盖!B:B,"否")</f>
        <v>否</v>
      </c>
      <c r="J1129" s="2" t="str">
        <f>_xlfn.XLOOKUP(A1129,YW邮编覆盖!A:A,YW邮编覆盖!B:B,"否")</f>
        <v>是</v>
      </c>
    </row>
    <row r="1130" spans="1:10" hidden="1">
      <c r="A1130" s="3">
        <v>95015</v>
      </c>
      <c r="B1130" s="1" t="s">
        <v>162</v>
      </c>
      <c r="C1130" s="2" t="e">
        <f>_xlfn.XLOOKUP(B1130,线路DSP对应!A:A,线路DSP对应!B:B)</f>
        <v>#N/A</v>
      </c>
      <c r="D1130" s="4" t="s">
        <v>154</v>
      </c>
      <c r="E1130" s="2" t="str">
        <f>_xlfn.XLOOKUP(A1130,转单情况!A:A,转单情况!B:B)</f>
        <v>SW</v>
      </c>
      <c r="G1130" s="28">
        <f>ROUND(_xlfn.XLOOKUP(A1130,全量!A:A,全量!B:B,0)/7,1)</f>
        <v>0</v>
      </c>
      <c r="H1130" s="2">
        <f>ROUND(_xlfn.XLOOKUP(A1130,AE!A:A,AE!B:B,0)/7,1)</f>
        <v>0</v>
      </c>
      <c r="I1130" s="2" t="str">
        <f>_xlfn.XLOOKUP(A1130,SWFTX邮编覆盖!A:A,SWFTX邮编覆盖!B:B,"否")</f>
        <v>是</v>
      </c>
      <c r="J1130" s="2" t="str">
        <f>_xlfn.XLOOKUP(A1130,YW邮编覆盖!A:A,YW邮编覆盖!B:B,"否")</f>
        <v>是</v>
      </c>
    </row>
    <row r="1131" spans="1:10">
      <c r="A1131" s="3">
        <v>95036</v>
      </c>
      <c r="B1131" s="1" t="s">
        <v>162</v>
      </c>
      <c r="C1131" s="2" t="e">
        <f>_xlfn.XLOOKUP(B1131,线路DSP对应!A:A,线路DSP对应!B:B)</f>
        <v>#N/A</v>
      </c>
      <c r="D1131" s="4" t="s">
        <v>154</v>
      </c>
      <c r="E1131" s="2" t="e">
        <f>_xlfn.XLOOKUP(A1131,转单情况!A:A,转单情况!B:B)</f>
        <v>#N/A</v>
      </c>
      <c r="G1131" s="28">
        <f>ROUND(_xlfn.XLOOKUP(A1131,全量!A:A,全量!B:B,0)/7,1)</f>
        <v>0</v>
      </c>
      <c r="H1131" s="2">
        <f>ROUND(_xlfn.XLOOKUP(A1131,AE!A:A,AE!B:B,0)/7,1)</f>
        <v>0</v>
      </c>
      <c r="I1131" s="2" t="str">
        <f>_xlfn.XLOOKUP(A1131,SWFTX邮编覆盖!A:A,SWFTX邮编覆盖!B:B,"否")</f>
        <v>否</v>
      </c>
      <c r="J1131" s="2" t="str">
        <f>_xlfn.XLOOKUP(A1131,YW邮编覆盖!A:A,YW邮编覆盖!B:B,"否")</f>
        <v>是</v>
      </c>
    </row>
    <row r="1132" spans="1:10">
      <c r="A1132" s="3">
        <v>95055</v>
      </c>
      <c r="B1132" s="1" t="s">
        <v>162</v>
      </c>
      <c r="C1132" s="2" t="e">
        <f>_xlfn.XLOOKUP(B1132,线路DSP对应!A:A,线路DSP对应!B:B)</f>
        <v>#N/A</v>
      </c>
      <c r="D1132" s="4" t="s">
        <v>154</v>
      </c>
      <c r="E1132" s="2" t="e">
        <f>_xlfn.XLOOKUP(A1132,转单情况!A:A,转单情况!B:B)</f>
        <v>#N/A</v>
      </c>
      <c r="G1132" s="28">
        <f>ROUND(_xlfn.XLOOKUP(A1132,全量!A:A,全量!B:B,0)/7,1)</f>
        <v>0</v>
      </c>
      <c r="H1132" s="2">
        <f>ROUND(_xlfn.XLOOKUP(A1132,AE!A:A,AE!B:B,0)/7,1)</f>
        <v>0</v>
      </c>
      <c r="I1132" s="2" t="str">
        <f>_xlfn.XLOOKUP(A1132,SWFTX邮编覆盖!A:A,SWFTX邮编覆盖!B:B,"否")</f>
        <v>否</v>
      </c>
      <c r="J1132" s="2" t="str">
        <f>_xlfn.XLOOKUP(A1132,YW邮编覆盖!A:A,YW邮编覆盖!B:B,"否")</f>
        <v>是</v>
      </c>
    </row>
    <row r="1133" spans="1:10">
      <c r="A1133" s="3">
        <v>95056</v>
      </c>
      <c r="B1133" s="1" t="s">
        <v>162</v>
      </c>
      <c r="C1133" s="2" t="e">
        <f>_xlfn.XLOOKUP(B1133,线路DSP对应!A:A,线路DSP对应!B:B)</f>
        <v>#N/A</v>
      </c>
      <c r="D1133" s="4" t="s">
        <v>154</v>
      </c>
      <c r="E1133" s="2" t="e">
        <f>_xlfn.XLOOKUP(A1133,转单情况!A:A,转单情况!B:B)</f>
        <v>#N/A</v>
      </c>
      <c r="G1133" s="28">
        <f>ROUND(_xlfn.XLOOKUP(A1133,全量!A:A,全量!B:B,0)/7,1)</f>
        <v>0</v>
      </c>
      <c r="H1133" s="2">
        <f>ROUND(_xlfn.XLOOKUP(A1133,AE!A:A,AE!B:B,0)/7,1)</f>
        <v>0</v>
      </c>
      <c r="I1133" s="2" t="str">
        <f>_xlfn.XLOOKUP(A1133,SWFTX邮编覆盖!A:A,SWFTX邮编覆盖!B:B,"否")</f>
        <v>否</v>
      </c>
      <c r="J1133" s="2" t="str">
        <f>_xlfn.XLOOKUP(A1133,YW邮编覆盖!A:A,YW邮编覆盖!B:B,"否")</f>
        <v>是</v>
      </c>
    </row>
    <row r="1134" spans="1:10" hidden="1">
      <c r="A1134" s="3">
        <v>94521</v>
      </c>
      <c r="B1134" s="1" t="s">
        <v>142</v>
      </c>
      <c r="C1134" s="2" t="str">
        <f>_xlfn.XLOOKUP(B1134,线路DSP对应!A:A,线路DSP对应!B:B)</f>
        <v>STA_LAX_ChinaOcean</v>
      </c>
      <c r="D1134" s="4" t="s">
        <v>154</v>
      </c>
      <c r="E1134" s="2" t="str">
        <f>_xlfn.XLOOKUP(A1134,转单情况!A:A,转单情况!B:B)</f>
        <v>SW</v>
      </c>
      <c r="G1134" s="28">
        <f>ROUND(_xlfn.XLOOKUP(A1134,全量!A:A,全量!B:B,0)/7,1)</f>
        <v>9.3000000000000007</v>
      </c>
      <c r="H1134" s="2">
        <f>ROUND(_xlfn.XLOOKUP(A1134,AE!A:A,AE!B:B,0)/7,1)</f>
        <v>8.6999999999999993</v>
      </c>
      <c r="I1134" s="2" t="str">
        <f>_xlfn.XLOOKUP(A1134,SWFTX邮编覆盖!A:A,SWFTX邮编覆盖!B:B,"否")</f>
        <v>是</v>
      </c>
      <c r="J1134" s="2" t="str">
        <f>_xlfn.XLOOKUP(A1134,YW邮编覆盖!A:A,YW邮编覆盖!B:B,"否")</f>
        <v>是</v>
      </c>
    </row>
    <row r="1135" spans="1:10">
      <c r="A1135" s="3">
        <v>94518</v>
      </c>
      <c r="B1135" s="1" t="s">
        <v>142</v>
      </c>
      <c r="C1135" s="2" t="str">
        <f>_xlfn.XLOOKUP(B1135,线路DSP对应!A:A,线路DSP对应!B:B)</f>
        <v>STA_LAX_ChinaOcean</v>
      </c>
      <c r="D1135" s="4" t="s">
        <v>154</v>
      </c>
      <c r="E1135" s="2" t="str">
        <f>_xlfn.XLOOKUP(A1135,转单情况!A:A,转单情况!B:B)</f>
        <v>YW</v>
      </c>
      <c r="G1135" s="28">
        <f>ROUND(_xlfn.XLOOKUP(A1135,全量!A:A,全量!B:B,0)/7,1)</f>
        <v>11.6</v>
      </c>
      <c r="H1135" s="2">
        <f>ROUND(_xlfn.XLOOKUP(A1135,AE!A:A,AE!B:B,0)/7,1)</f>
        <v>7.3</v>
      </c>
      <c r="I1135" s="2" t="str">
        <f>_xlfn.XLOOKUP(A1135,SWFTX邮编覆盖!A:A,SWFTX邮编覆盖!B:B,"否")</f>
        <v>否</v>
      </c>
      <c r="J1135" s="2" t="str">
        <f>_xlfn.XLOOKUP(A1135,YW邮编覆盖!A:A,YW邮编覆盖!B:B,"否")</f>
        <v>是</v>
      </c>
    </row>
    <row r="1136" spans="1:10" hidden="1">
      <c r="A1136" s="3">
        <v>94519</v>
      </c>
      <c r="B1136" s="1" t="s">
        <v>142</v>
      </c>
      <c r="C1136" s="2" t="str">
        <f>_xlfn.XLOOKUP(B1136,线路DSP对应!A:A,线路DSP对应!B:B)</f>
        <v>STA_LAX_ChinaOcean</v>
      </c>
      <c r="D1136" s="4" t="s">
        <v>154</v>
      </c>
      <c r="E1136" s="2" t="str">
        <f>_xlfn.XLOOKUP(A1136,转单情况!A:A,转单情况!B:B)</f>
        <v>SW</v>
      </c>
      <c r="G1136" s="28">
        <f>ROUND(_xlfn.XLOOKUP(A1136,全量!A:A,全量!B:B,0)/7,1)</f>
        <v>4.7</v>
      </c>
      <c r="H1136" s="2">
        <f>ROUND(_xlfn.XLOOKUP(A1136,AE!A:A,AE!B:B,0)/7,1)</f>
        <v>4.3</v>
      </c>
      <c r="I1136" s="2" t="str">
        <f>_xlfn.XLOOKUP(A1136,SWFTX邮编覆盖!A:A,SWFTX邮编覆盖!B:B,"否")</f>
        <v>是</v>
      </c>
      <c r="J1136" s="2" t="str">
        <f>_xlfn.XLOOKUP(A1136,YW邮编覆盖!A:A,YW邮编覆盖!B:B,"否")</f>
        <v>是</v>
      </c>
    </row>
    <row r="1137" spans="1:10" hidden="1">
      <c r="A1137" s="3">
        <v>94520</v>
      </c>
      <c r="B1137" s="1" t="s">
        <v>142</v>
      </c>
      <c r="C1137" s="2" t="str">
        <f>_xlfn.XLOOKUP(B1137,线路DSP对应!A:A,线路DSP对应!B:B)</f>
        <v>STA_LAX_ChinaOcean</v>
      </c>
      <c r="D1137" s="4" t="s">
        <v>154</v>
      </c>
      <c r="E1137" s="2" t="str">
        <f>_xlfn.XLOOKUP(A1137,转单情况!A:A,转单情况!B:B)</f>
        <v>SW</v>
      </c>
      <c r="G1137" s="28">
        <f>ROUND(_xlfn.XLOOKUP(A1137,全量!A:A,全量!B:B,0)/7,1)</f>
        <v>8.6</v>
      </c>
      <c r="H1137" s="2">
        <f>ROUND(_xlfn.XLOOKUP(A1137,AE!A:A,AE!B:B,0)/7,1)</f>
        <v>7.6</v>
      </c>
      <c r="I1137" s="2" t="str">
        <f>_xlfn.XLOOKUP(A1137,SWFTX邮编覆盖!A:A,SWFTX邮编覆盖!B:B,"否")</f>
        <v>是</v>
      </c>
      <c r="J1137" s="2" t="str">
        <f>_xlfn.XLOOKUP(A1137,YW邮编覆盖!A:A,YW邮编覆盖!B:B,"否")</f>
        <v>是</v>
      </c>
    </row>
    <row r="1138" spans="1:10" hidden="1">
      <c r="A1138" s="3">
        <v>94523</v>
      </c>
      <c r="B1138" s="1" t="s">
        <v>142</v>
      </c>
      <c r="C1138" s="2" t="str">
        <f>_xlfn.XLOOKUP(B1138,线路DSP对应!A:A,线路DSP对应!B:B)</f>
        <v>STA_LAX_ChinaOcean</v>
      </c>
      <c r="D1138" s="4" t="s">
        <v>154</v>
      </c>
      <c r="E1138" s="2" t="str">
        <f>_xlfn.XLOOKUP(A1138,转单情况!A:A,转单情况!B:B)</f>
        <v>SW</v>
      </c>
      <c r="G1138" s="28">
        <f>ROUND(_xlfn.XLOOKUP(A1138,全量!A:A,全量!B:B,0)/7,1)</f>
        <v>10.3</v>
      </c>
      <c r="H1138" s="2">
        <f>ROUND(_xlfn.XLOOKUP(A1138,AE!A:A,AE!B:B,0)/7,1)</f>
        <v>9.6</v>
      </c>
      <c r="I1138" s="2" t="str">
        <f>_xlfn.XLOOKUP(A1138,SWFTX邮编覆盖!A:A,SWFTX邮编覆盖!B:B,"否")</f>
        <v>是</v>
      </c>
      <c r="J1138" s="2" t="str">
        <f>_xlfn.XLOOKUP(A1138,YW邮编覆盖!A:A,YW邮编覆盖!B:B,"否")</f>
        <v>是</v>
      </c>
    </row>
    <row r="1139" spans="1:10" hidden="1">
      <c r="A1139" s="3">
        <v>94553</v>
      </c>
      <c r="B1139" s="1" t="s">
        <v>142</v>
      </c>
      <c r="C1139" s="2" t="str">
        <f>_xlfn.XLOOKUP(B1139,线路DSP对应!A:A,线路DSP对应!B:B)</f>
        <v>STA_LAX_ChinaOcean</v>
      </c>
      <c r="D1139" s="4" t="s">
        <v>154</v>
      </c>
      <c r="E1139" s="2" t="str">
        <f>_xlfn.XLOOKUP(A1139,转单情况!A:A,转单情况!B:B)</f>
        <v>SW</v>
      </c>
      <c r="G1139" s="28">
        <f>ROUND(_xlfn.XLOOKUP(A1139,全量!A:A,全量!B:B,0)/7,1)</f>
        <v>8.6</v>
      </c>
      <c r="H1139" s="2">
        <f>ROUND(_xlfn.XLOOKUP(A1139,AE!A:A,AE!B:B,0)/7,1)</f>
        <v>7.1</v>
      </c>
      <c r="I1139" s="2" t="str">
        <f>_xlfn.XLOOKUP(A1139,SWFTX邮编覆盖!A:A,SWFTX邮编覆盖!B:B,"否")</f>
        <v>是</v>
      </c>
      <c r="J1139" s="2" t="str">
        <f>_xlfn.XLOOKUP(A1139,YW邮编覆盖!A:A,YW邮编覆盖!B:B,"否")</f>
        <v>否</v>
      </c>
    </row>
    <row r="1140" spans="1:10" hidden="1">
      <c r="A1140" s="3">
        <v>94517</v>
      </c>
      <c r="B1140" s="1" t="s">
        <v>142</v>
      </c>
      <c r="C1140" s="2" t="str">
        <f>_xlfn.XLOOKUP(B1140,线路DSP对应!A:A,线路DSP对应!B:B)</f>
        <v>STA_LAX_ChinaOcean</v>
      </c>
      <c r="D1140" s="4" t="s">
        <v>154</v>
      </c>
      <c r="E1140" s="2" t="str">
        <f>_xlfn.XLOOKUP(A1140,转单情况!A:A,转单情况!B:B)</f>
        <v>SW</v>
      </c>
      <c r="G1140" s="28">
        <f>ROUND(_xlfn.XLOOKUP(A1140,全量!A:A,全量!B:B,0)/7,1)</f>
        <v>1.7</v>
      </c>
      <c r="H1140" s="2">
        <f>ROUND(_xlfn.XLOOKUP(A1140,AE!A:A,AE!B:B,0)/7,1)</f>
        <v>1.6</v>
      </c>
      <c r="I1140" s="2" t="str">
        <f>_xlfn.XLOOKUP(A1140,SWFTX邮编覆盖!A:A,SWFTX邮编覆盖!B:B,"否")</f>
        <v>是</v>
      </c>
      <c r="J1140" s="2" t="str">
        <f>_xlfn.XLOOKUP(A1140,YW邮编覆盖!A:A,YW邮编覆盖!B:B,"否")</f>
        <v>是</v>
      </c>
    </row>
    <row r="1141" spans="1:10" hidden="1">
      <c r="A1141" s="3">
        <v>94806</v>
      </c>
      <c r="B1141" s="1" t="s">
        <v>96</v>
      </c>
      <c r="C1141" s="2" t="str">
        <f>_xlfn.XLOOKUP(B1141,线路DSP对应!A:A,线路DSP对应!B:B)</f>
        <v>STA_SFO_SDG</v>
      </c>
      <c r="D1141" s="4" t="s">
        <v>154</v>
      </c>
      <c r="E1141" s="2" t="str">
        <f>_xlfn.XLOOKUP(A1141,转单情况!A:A,转单情况!B:B)</f>
        <v>否</v>
      </c>
      <c r="G1141" s="28">
        <f>ROUND(_xlfn.XLOOKUP(A1141,全量!A:A,全量!B:B,0)/7,1)</f>
        <v>15.4</v>
      </c>
      <c r="H1141" s="2">
        <f>ROUND(_xlfn.XLOOKUP(A1141,AE!A:A,AE!B:B,0)/7,1)</f>
        <v>14.4</v>
      </c>
      <c r="I1141" s="2" t="str">
        <f>_xlfn.XLOOKUP(A1141,SWFTX邮编覆盖!A:A,SWFTX邮编覆盖!B:B,"否")</f>
        <v>是</v>
      </c>
      <c r="J1141" s="2" t="str">
        <f>_xlfn.XLOOKUP(A1141,YW邮编覆盖!A:A,YW邮编覆盖!B:B,"否")</f>
        <v>是</v>
      </c>
    </row>
    <row r="1142" spans="1:10" hidden="1">
      <c r="A1142" s="3">
        <v>94801</v>
      </c>
      <c r="B1142" s="1" t="s">
        <v>96</v>
      </c>
      <c r="C1142" s="2" t="str">
        <f>_xlfn.XLOOKUP(B1142,线路DSP对应!A:A,线路DSP对应!B:B)</f>
        <v>STA_SFO_SDG</v>
      </c>
      <c r="D1142" s="4" t="s">
        <v>154</v>
      </c>
      <c r="E1142" s="2" t="str">
        <f>_xlfn.XLOOKUP(A1142,转单情况!A:A,转单情况!B:B)</f>
        <v>否</v>
      </c>
      <c r="G1142" s="28">
        <f>ROUND(_xlfn.XLOOKUP(A1142,全量!A:A,全量!B:B,0)/7,1)</f>
        <v>7.6</v>
      </c>
      <c r="H1142" s="2">
        <f>ROUND(_xlfn.XLOOKUP(A1142,AE!A:A,AE!B:B,0)/7,1)</f>
        <v>7.3</v>
      </c>
      <c r="I1142" s="2" t="str">
        <f>_xlfn.XLOOKUP(A1142,SWFTX邮编覆盖!A:A,SWFTX邮编覆盖!B:B,"否")</f>
        <v>是</v>
      </c>
      <c r="J1142" s="2" t="str">
        <f>_xlfn.XLOOKUP(A1142,YW邮编覆盖!A:A,YW邮编覆盖!B:B,"否")</f>
        <v>否</v>
      </c>
    </row>
    <row r="1143" spans="1:10" hidden="1">
      <c r="A1143" s="3">
        <v>94805</v>
      </c>
      <c r="B1143" s="1" t="s">
        <v>96</v>
      </c>
      <c r="C1143" s="2" t="str">
        <f>_xlfn.XLOOKUP(B1143,线路DSP对应!A:A,线路DSP对应!B:B)</f>
        <v>STA_SFO_SDG</v>
      </c>
      <c r="D1143" s="4" t="s">
        <v>154</v>
      </c>
      <c r="E1143" s="2" t="str">
        <f>_xlfn.XLOOKUP(A1143,转单情况!A:A,转单情况!B:B)</f>
        <v>否</v>
      </c>
      <c r="G1143" s="28">
        <f>ROUND(_xlfn.XLOOKUP(A1143,全量!A:A,全量!B:B,0)/7,1)</f>
        <v>7</v>
      </c>
      <c r="H1143" s="2">
        <f>ROUND(_xlfn.XLOOKUP(A1143,AE!A:A,AE!B:B,0)/7,1)</f>
        <v>7</v>
      </c>
      <c r="I1143" s="2" t="str">
        <f>_xlfn.XLOOKUP(A1143,SWFTX邮编覆盖!A:A,SWFTX邮编覆盖!B:B,"否")</f>
        <v>是</v>
      </c>
      <c r="J1143" s="2" t="str">
        <f>_xlfn.XLOOKUP(A1143,YW邮编覆盖!A:A,YW邮编覆盖!B:B,"否")</f>
        <v>是</v>
      </c>
    </row>
    <row r="1144" spans="1:10" hidden="1">
      <c r="A1144" s="3">
        <v>94804</v>
      </c>
      <c r="B1144" s="1" t="s">
        <v>96</v>
      </c>
      <c r="C1144" s="2" t="str">
        <f>_xlfn.XLOOKUP(B1144,线路DSP对应!A:A,线路DSP对应!B:B)</f>
        <v>STA_SFO_SDG</v>
      </c>
      <c r="D1144" s="4" t="s">
        <v>154</v>
      </c>
      <c r="E1144" s="2" t="str">
        <f>_xlfn.XLOOKUP(A1144,转单情况!A:A,转单情况!B:B)</f>
        <v>否</v>
      </c>
      <c r="G1144" s="28">
        <f>ROUND(_xlfn.XLOOKUP(A1144,全量!A:A,全量!B:B,0)/7,1)</f>
        <v>9.6</v>
      </c>
      <c r="H1144" s="2">
        <f>ROUND(_xlfn.XLOOKUP(A1144,AE!A:A,AE!B:B,0)/7,1)</f>
        <v>8.6999999999999993</v>
      </c>
      <c r="I1144" s="2" t="str">
        <f>_xlfn.XLOOKUP(A1144,SWFTX邮编覆盖!A:A,SWFTX邮编覆盖!B:B,"否")</f>
        <v>是</v>
      </c>
      <c r="J1144" s="2" t="str">
        <f>_xlfn.XLOOKUP(A1144,YW邮编覆盖!A:A,YW邮编覆盖!B:B,"否")</f>
        <v>是</v>
      </c>
    </row>
    <row r="1145" spans="1:10" hidden="1">
      <c r="A1145" s="3">
        <v>94531</v>
      </c>
      <c r="B1145" s="1" t="s">
        <v>98</v>
      </c>
      <c r="C1145" s="2" t="str">
        <f>_xlfn.XLOOKUP(B1145,线路DSP对应!A:A,线路DSP对应!B:B)</f>
        <v>STA_SFO_SDG</v>
      </c>
      <c r="D1145" s="4" t="s">
        <v>154</v>
      </c>
      <c r="E1145" s="2" t="str">
        <f>_xlfn.XLOOKUP(A1145,转单情况!A:A,转单情况!B:B)</f>
        <v>否</v>
      </c>
      <c r="G1145" s="28">
        <f>ROUND(_xlfn.XLOOKUP(A1145,全量!A:A,全量!B:B,0)/7,1)</f>
        <v>13.1</v>
      </c>
      <c r="H1145" s="2">
        <f>ROUND(_xlfn.XLOOKUP(A1145,AE!A:A,AE!B:B,0)/7,1)</f>
        <v>12.1</v>
      </c>
      <c r="I1145" s="2" t="str">
        <f>_xlfn.XLOOKUP(A1145,SWFTX邮编覆盖!A:A,SWFTX邮编覆盖!B:B,"否")</f>
        <v>是</v>
      </c>
      <c r="J1145" s="2" t="str">
        <f>_xlfn.XLOOKUP(A1145,YW邮编覆盖!A:A,YW邮编覆盖!B:B,"否")</f>
        <v>是</v>
      </c>
    </row>
    <row r="1146" spans="1:10" hidden="1">
      <c r="A1146" s="3">
        <v>94509</v>
      </c>
      <c r="B1146" s="1" t="s">
        <v>98</v>
      </c>
      <c r="C1146" s="2" t="str">
        <f>_xlfn.XLOOKUP(B1146,线路DSP对应!A:A,线路DSP对应!B:B)</f>
        <v>STA_SFO_SDG</v>
      </c>
      <c r="D1146" s="4" t="s">
        <v>154</v>
      </c>
      <c r="E1146" s="2" t="str">
        <f>_xlfn.XLOOKUP(A1146,转单情况!A:A,转单情况!B:B)</f>
        <v>否</v>
      </c>
      <c r="G1146" s="28">
        <f>ROUND(_xlfn.XLOOKUP(A1146,全量!A:A,全量!B:B,0)/7,1)</f>
        <v>16</v>
      </c>
      <c r="H1146" s="2">
        <f>ROUND(_xlfn.XLOOKUP(A1146,AE!A:A,AE!B:B,0)/7,1)</f>
        <v>15.6</v>
      </c>
      <c r="I1146" s="2" t="str">
        <f>_xlfn.XLOOKUP(A1146,SWFTX邮编覆盖!A:A,SWFTX邮编覆盖!B:B,"否")</f>
        <v>是</v>
      </c>
      <c r="J1146" s="2" t="str">
        <f>_xlfn.XLOOKUP(A1146,YW邮编覆盖!A:A,YW邮编覆盖!B:B,"否")</f>
        <v>是</v>
      </c>
    </row>
    <row r="1147" spans="1:10" hidden="1">
      <c r="A1147" s="3">
        <v>94565</v>
      </c>
      <c r="B1147" s="1" t="s">
        <v>98</v>
      </c>
      <c r="C1147" s="2" t="str">
        <f>_xlfn.XLOOKUP(B1147,线路DSP对应!A:A,线路DSP对应!B:B)</f>
        <v>STA_SFO_SDG</v>
      </c>
      <c r="D1147" s="4" t="s">
        <v>154</v>
      </c>
      <c r="E1147" s="2" t="str">
        <f>_xlfn.XLOOKUP(A1147,转单情况!A:A,转单情况!B:B)</f>
        <v>否</v>
      </c>
      <c r="G1147" s="28">
        <f>ROUND(_xlfn.XLOOKUP(A1147,全量!A:A,全量!B:B,0)/7,1)</f>
        <v>24.1</v>
      </c>
      <c r="H1147" s="2">
        <f>ROUND(_xlfn.XLOOKUP(A1147,AE!A:A,AE!B:B,0)/7,1)</f>
        <v>22.4</v>
      </c>
      <c r="I1147" s="2" t="str">
        <f>_xlfn.XLOOKUP(A1147,SWFTX邮编覆盖!A:A,SWFTX邮编覆盖!B:B,"否")</f>
        <v>是</v>
      </c>
      <c r="J1147" s="2" t="str">
        <f>_xlfn.XLOOKUP(A1147,YW邮编覆盖!A:A,YW邮编覆盖!B:B,"否")</f>
        <v>是</v>
      </c>
    </row>
    <row r="1148" spans="1:10" hidden="1">
      <c r="A1148" s="3">
        <v>94022</v>
      </c>
      <c r="B1148" s="1" t="s">
        <v>99</v>
      </c>
      <c r="C1148" s="2" t="str">
        <f>_xlfn.XLOOKUP(B1148,线路DSP对应!A:A,线路DSP对应!B:B)</f>
        <v>STA_SFO_MYS</v>
      </c>
      <c r="D1148" s="4" t="s">
        <v>154</v>
      </c>
      <c r="E1148" s="2" t="str">
        <f>_xlfn.XLOOKUP(A1148,转单情况!A:A,转单情况!B:B)</f>
        <v>SW</v>
      </c>
      <c r="G1148" s="28">
        <f>ROUND(_xlfn.XLOOKUP(A1148,全量!A:A,全量!B:B,0)/7,1)</f>
        <v>4.5999999999999996</v>
      </c>
      <c r="H1148" s="2">
        <f>ROUND(_xlfn.XLOOKUP(A1148,AE!A:A,AE!B:B,0)/7,1)</f>
        <v>4.4000000000000004</v>
      </c>
      <c r="I1148" s="2" t="str">
        <f>_xlfn.XLOOKUP(A1148,SWFTX邮编覆盖!A:A,SWFTX邮编覆盖!B:B,"否")</f>
        <v>是</v>
      </c>
      <c r="J1148" s="2" t="str">
        <f>_xlfn.XLOOKUP(A1148,YW邮编覆盖!A:A,YW邮编覆盖!B:B,"否")</f>
        <v>是</v>
      </c>
    </row>
    <row r="1149" spans="1:10" hidden="1">
      <c r="A1149" s="3">
        <v>94024</v>
      </c>
      <c r="B1149" s="1" t="s">
        <v>99</v>
      </c>
      <c r="C1149" s="2" t="str">
        <f>_xlfn.XLOOKUP(B1149,线路DSP对应!A:A,线路DSP对应!B:B)</f>
        <v>STA_SFO_MYS</v>
      </c>
      <c r="D1149" s="4" t="s">
        <v>154</v>
      </c>
      <c r="E1149" s="2" t="str">
        <f>_xlfn.XLOOKUP(A1149,转单情况!A:A,转单情况!B:B)</f>
        <v>否</v>
      </c>
      <c r="G1149" s="28">
        <f>ROUND(_xlfn.XLOOKUP(A1149,全量!A:A,全量!B:B,0)/7,1)</f>
        <v>6.1</v>
      </c>
      <c r="H1149" s="2">
        <f>ROUND(_xlfn.XLOOKUP(A1149,AE!A:A,AE!B:B,0)/7,1)</f>
        <v>6</v>
      </c>
      <c r="I1149" s="2" t="str">
        <f>_xlfn.XLOOKUP(A1149,SWFTX邮编覆盖!A:A,SWFTX邮编覆盖!B:B,"否")</f>
        <v>是</v>
      </c>
      <c r="J1149" s="2" t="str">
        <f>_xlfn.XLOOKUP(A1149,YW邮编覆盖!A:A,YW邮编覆盖!B:B,"否")</f>
        <v>是</v>
      </c>
    </row>
    <row r="1150" spans="1:10" hidden="1">
      <c r="A1150" s="3">
        <v>94040</v>
      </c>
      <c r="B1150" s="1" t="s">
        <v>99</v>
      </c>
      <c r="C1150" s="2" t="str">
        <f>_xlfn.XLOOKUP(B1150,线路DSP对应!A:A,线路DSP对应!B:B)</f>
        <v>STA_SFO_MYS</v>
      </c>
      <c r="D1150" s="4" t="s">
        <v>154</v>
      </c>
      <c r="E1150" s="2" t="str">
        <f>_xlfn.XLOOKUP(A1150,转单情况!A:A,转单情况!B:B)</f>
        <v>否</v>
      </c>
      <c r="G1150" s="28">
        <f>ROUND(_xlfn.XLOOKUP(A1150,全量!A:A,全量!B:B,0)/7,1)</f>
        <v>11</v>
      </c>
      <c r="H1150" s="2">
        <f>ROUND(_xlfn.XLOOKUP(A1150,AE!A:A,AE!B:B,0)/7,1)</f>
        <v>10.9</v>
      </c>
      <c r="I1150" s="2" t="str">
        <f>_xlfn.XLOOKUP(A1150,SWFTX邮编覆盖!A:A,SWFTX邮编覆盖!B:B,"否")</f>
        <v>是</v>
      </c>
      <c r="J1150" s="2" t="str">
        <f>_xlfn.XLOOKUP(A1150,YW邮编覆盖!A:A,YW邮编覆盖!B:B,"否")</f>
        <v>是</v>
      </c>
    </row>
    <row r="1151" spans="1:10" hidden="1">
      <c r="A1151" s="3">
        <v>94041</v>
      </c>
      <c r="B1151" s="1" t="s">
        <v>99</v>
      </c>
      <c r="C1151" s="2" t="str">
        <f>_xlfn.XLOOKUP(B1151,线路DSP对应!A:A,线路DSP对应!B:B)</f>
        <v>STA_SFO_MYS</v>
      </c>
      <c r="D1151" s="4" t="s">
        <v>154</v>
      </c>
      <c r="E1151" s="2" t="str">
        <f>_xlfn.XLOOKUP(A1151,转单情况!A:A,转单情况!B:B)</f>
        <v>否</v>
      </c>
      <c r="G1151" s="28">
        <f>ROUND(_xlfn.XLOOKUP(A1151,全量!A:A,全量!B:B,0)/7,1)</f>
        <v>5.3</v>
      </c>
      <c r="H1151" s="2">
        <f>ROUND(_xlfn.XLOOKUP(A1151,AE!A:A,AE!B:B,0)/7,1)</f>
        <v>5</v>
      </c>
      <c r="I1151" s="2" t="str">
        <f>_xlfn.XLOOKUP(A1151,SWFTX邮编覆盖!A:A,SWFTX邮编覆盖!B:B,"否")</f>
        <v>是</v>
      </c>
      <c r="J1151" s="2" t="str">
        <f>_xlfn.XLOOKUP(A1151,YW邮编覆盖!A:A,YW邮编覆盖!B:B,"否")</f>
        <v>是</v>
      </c>
    </row>
    <row r="1152" spans="1:10" hidden="1">
      <c r="A1152" s="3">
        <v>94043</v>
      </c>
      <c r="B1152" s="1" t="s">
        <v>99</v>
      </c>
      <c r="C1152" s="2" t="str">
        <f>_xlfn.XLOOKUP(B1152,线路DSP对应!A:A,线路DSP对应!B:B)</f>
        <v>STA_SFO_MYS</v>
      </c>
      <c r="D1152" s="4" t="s">
        <v>154</v>
      </c>
      <c r="E1152" s="2" t="str">
        <f>_xlfn.XLOOKUP(A1152,转单情况!A:A,转单情况!B:B)</f>
        <v>否</v>
      </c>
      <c r="G1152" s="28">
        <f>ROUND(_xlfn.XLOOKUP(A1152,全量!A:A,全量!B:B,0)/7,1)</f>
        <v>11</v>
      </c>
      <c r="H1152" s="2">
        <f>ROUND(_xlfn.XLOOKUP(A1152,AE!A:A,AE!B:B,0)/7,1)</f>
        <v>10.3</v>
      </c>
      <c r="I1152" s="2" t="str">
        <f>_xlfn.XLOOKUP(A1152,SWFTX邮编覆盖!A:A,SWFTX邮编覆盖!B:B,"否")</f>
        <v>是</v>
      </c>
      <c r="J1152" s="2" t="str">
        <f>_xlfn.XLOOKUP(A1152,YW邮编覆盖!A:A,YW邮编覆盖!B:B,"否")</f>
        <v>是</v>
      </c>
    </row>
    <row r="1153" spans="1:10" hidden="1">
      <c r="A1153" s="3">
        <v>95014</v>
      </c>
      <c r="B1153" s="1" t="s">
        <v>99</v>
      </c>
      <c r="C1153" s="2" t="str">
        <f>_xlfn.XLOOKUP(B1153,线路DSP对应!A:A,线路DSP对应!B:B)</f>
        <v>STA_SFO_MYS</v>
      </c>
      <c r="D1153" s="4" t="s">
        <v>154</v>
      </c>
      <c r="E1153" s="2" t="str">
        <f>_xlfn.XLOOKUP(A1153,转单情况!A:A,转单情况!B:B)</f>
        <v>否</v>
      </c>
      <c r="G1153" s="28">
        <f>ROUND(_xlfn.XLOOKUP(A1153,全量!A:A,全量!B:B,0)/7,1)</f>
        <v>18</v>
      </c>
      <c r="H1153" s="2">
        <f>ROUND(_xlfn.XLOOKUP(A1153,AE!A:A,AE!B:B,0)/7,1)</f>
        <v>18</v>
      </c>
      <c r="I1153" s="2" t="str">
        <f>_xlfn.XLOOKUP(A1153,SWFTX邮编覆盖!A:A,SWFTX邮编覆盖!B:B,"否")</f>
        <v>是</v>
      </c>
      <c r="J1153" s="2" t="str">
        <f>_xlfn.XLOOKUP(A1153,YW邮编覆盖!A:A,YW邮编覆盖!B:B,"否")</f>
        <v>是</v>
      </c>
    </row>
    <row r="1154" spans="1:10" hidden="1">
      <c r="A1154" s="3">
        <v>94087</v>
      </c>
      <c r="B1154" s="1" t="s">
        <v>99</v>
      </c>
      <c r="C1154" s="2" t="str">
        <f>_xlfn.XLOOKUP(B1154,线路DSP对应!A:A,线路DSP对应!B:B)</f>
        <v>STA_SFO_MYS</v>
      </c>
      <c r="D1154" s="4" t="s">
        <v>154</v>
      </c>
      <c r="E1154" s="2" t="str">
        <f>_xlfn.XLOOKUP(A1154,转单情况!A:A,转单情况!B:B)</f>
        <v>否</v>
      </c>
      <c r="G1154" s="28">
        <f>ROUND(_xlfn.XLOOKUP(A1154,全量!A:A,全量!B:B,0)/7,1)</f>
        <v>13.3</v>
      </c>
      <c r="H1154" s="2">
        <f>ROUND(_xlfn.XLOOKUP(A1154,AE!A:A,AE!B:B,0)/7,1)</f>
        <v>13.1</v>
      </c>
      <c r="I1154" s="2" t="str">
        <f>_xlfn.XLOOKUP(A1154,SWFTX邮编覆盖!A:A,SWFTX邮编覆盖!B:B,"否")</f>
        <v>是</v>
      </c>
      <c r="J1154" s="2" t="str">
        <f>_xlfn.XLOOKUP(A1154,YW邮编覆盖!A:A,YW邮编覆盖!B:B,"否")</f>
        <v>是</v>
      </c>
    </row>
    <row r="1155" spans="1:10" hidden="1">
      <c r="A1155" s="3">
        <v>94086</v>
      </c>
      <c r="B1155" s="1" t="s">
        <v>99</v>
      </c>
      <c r="C1155" s="2" t="str">
        <f>_xlfn.XLOOKUP(B1155,线路DSP对应!A:A,线路DSP对应!B:B)</f>
        <v>STA_SFO_MYS</v>
      </c>
      <c r="D1155" s="4" t="s">
        <v>154</v>
      </c>
      <c r="E1155" s="2" t="str">
        <f>_xlfn.XLOOKUP(A1155,转单情况!A:A,转单情况!B:B)</f>
        <v>否</v>
      </c>
      <c r="G1155" s="28">
        <f>ROUND(_xlfn.XLOOKUP(A1155,全量!A:A,全量!B:B,0)/7,1)</f>
        <v>13.9</v>
      </c>
      <c r="H1155" s="2">
        <f>ROUND(_xlfn.XLOOKUP(A1155,AE!A:A,AE!B:B,0)/7,1)</f>
        <v>13.7</v>
      </c>
      <c r="I1155" s="2" t="str">
        <f>_xlfn.XLOOKUP(A1155,SWFTX邮编覆盖!A:A,SWFTX邮编覆盖!B:B,"否")</f>
        <v>是</v>
      </c>
      <c r="J1155" s="2" t="str">
        <f>_xlfn.XLOOKUP(A1155,YW邮编覆盖!A:A,YW邮编覆盖!B:B,"否")</f>
        <v>是</v>
      </c>
    </row>
    <row r="1156" spans="1:10" hidden="1">
      <c r="A1156" s="3">
        <v>94085</v>
      </c>
      <c r="B1156" s="1" t="s">
        <v>99</v>
      </c>
      <c r="C1156" s="2" t="str">
        <f>_xlfn.XLOOKUP(B1156,线路DSP对应!A:A,线路DSP对应!B:B)</f>
        <v>STA_SFO_MYS</v>
      </c>
      <c r="D1156" s="4" t="s">
        <v>154</v>
      </c>
      <c r="E1156" s="2" t="str">
        <f>_xlfn.XLOOKUP(A1156,转单情况!A:A,转单情况!B:B)</f>
        <v>否</v>
      </c>
      <c r="G1156" s="28">
        <f>ROUND(_xlfn.XLOOKUP(A1156,全量!A:A,全量!B:B,0)/7,1)</f>
        <v>7.6</v>
      </c>
      <c r="H1156" s="2">
        <f>ROUND(_xlfn.XLOOKUP(A1156,AE!A:A,AE!B:B,0)/7,1)</f>
        <v>7.4</v>
      </c>
      <c r="I1156" s="2" t="str">
        <f>_xlfn.XLOOKUP(A1156,SWFTX邮编覆盖!A:A,SWFTX邮编覆盖!B:B,"否")</f>
        <v>是</v>
      </c>
      <c r="J1156" s="2" t="str">
        <f>_xlfn.XLOOKUP(A1156,YW邮编覆盖!A:A,YW邮编覆盖!B:B,"否")</f>
        <v>是</v>
      </c>
    </row>
    <row r="1157" spans="1:10" hidden="1">
      <c r="A1157" s="3">
        <v>94089</v>
      </c>
      <c r="B1157" s="1" t="s">
        <v>99</v>
      </c>
      <c r="C1157" s="2" t="str">
        <f>_xlfn.XLOOKUP(B1157,线路DSP对应!A:A,线路DSP对应!B:B)</f>
        <v>STA_SFO_MYS</v>
      </c>
      <c r="D1157" s="4" t="s">
        <v>154</v>
      </c>
      <c r="E1157" s="2" t="str">
        <f>_xlfn.XLOOKUP(A1157,转单情况!A:A,转单情况!B:B)</f>
        <v>否</v>
      </c>
      <c r="G1157" s="28">
        <f>ROUND(_xlfn.XLOOKUP(A1157,全量!A:A,全量!B:B,0)/7,1)</f>
        <v>8.3000000000000007</v>
      </c>
      <c r="H1157" s="2">
        <f>ROUND(_xlfn.XLOOKUP(A1157,AE!A:A,AE!B:B,0)/7,1)</f>
        <v>8.1</v>
      </c>
      <c r="I1157" s="2" t="str">
        <f>_xlfn.XLOOKUP(A1157,SWFTX邮编覆盖!A:A,SWFTX邮编覆盖!B:B,"否")</f>
        <v>是</v>
      </c>
      <c r="J1157" s="2" t="str">
        <f>_xlfn.XLOOKUP(A1157,YW邮编覆盖!A:A,YW邮编覆盖!B:B,"否")</f>
        <v>是</v>
      </c>
    </row>
    <row r="1158" spans="1:10" hidden="1">
      <c r="A1158" s="3">
        <v>94505</v>
      </c>
      <c r="B1158" s="1" t="s">
        <v>101</v>
      </c>
      <c r="C1158" s="2" t="str">
        <f>_xlfn.XLOOKUP(B1158,线路DSP对应!A:A,线路DSP对应!B:B)</f>
        <v>STA_SFO_SDG</v>
      </c>
      <c r="D1158" s="4" t="s">
        <v>154</v>
      </c>
      <c r="E1158" s="2" t="str">
        <f>_xlfn.XLOOKUP(A1158,转单情况!A:A,转单情况!B:B)</f>
        <v>SW</v>
      </c>
      <c r="G1158" s="28">
        <f>ROUND(_xlfn.XLOOKUP(A1158,全量!A:A,全量!B:B,0)/7,1)</f>
        <v>3.4</v>
      </c>
      <c r="H1158" s="2">
        <f>ROUND(_xlfn.XLOOKUP(A1158,AE!A:A,AE!B:B,0)/7,1)</f>
        <v>2.9</v>
      </c>
      <c r="I1158" s="2" t="str">
        <f>_xlfn.XLOOKUP(A1158,SWFTX邮编覆盖!A:A,SWFTX邮编覆盖!B:B,"否")</f>
        <v>是</v>
      </c>
      <c r="J1158" s="2" t="str">
        <f>_xlfn.XLOOKUP(A1158,YW邮编覆盖!A:A,YW邮编覆盖!B:B,"否")</f>
        <v>是</v>
      </c>
    </row>
    <row r="1159" spans="1:10" hidden="1">
      <c r="A1159" s="3">
        <v>94561</v>
      </c>
      <c r="B1159" s="1" t="s">
        <v>101</v>
      </c>
      <c r="C1159" s="2" t="str">
        <f>_xlfn.XLOOKUP(B1159,线路DSP对应!A:A,线路DSP对应!B:B)</f>
        <v>STA_SFO_SDG</v>
      </c>
      <c r="D1159" s="4" t="s">
        <v>154</v>
      </c>
      <c r="E1159" s="2" t="str">
        <f>_xlfn.XLOOKUP(A1159,转单情况!A:A,转单情况!B:B)</f>
        <v>否</v>
      </c>
      <c r="G1159" s="28">
        <f>ROUND(_xlfn.XLOOKUP(A1159,全量!A:A,全量!B:B,0)/7,1)</f>
        <v>37.299999999999997</v>
      </c>
      <c r="H1159" s="2">
        <f>ROUND(_xlfn.XLOOKUP(A1159,AE!A:A,AE!B:B,0)/7,1)</f>
        <v>9</v>
      </c>
      <c r="I1159" s="2" t="str">
        <f>_xlfn.XLOOKUP(A1159,SWFTX邮编覆盖!A:A,SWFTX邮编覆盖!B:B,"否")</f>
        <v>是</v>
      </c>
      <c r="J1159" s="2" t="str">
        <f>_xlfn.XLOOKUP(A1159,YW邮编覆盖!A:A,YW邮编覆盖!B:B,"否")</f>
        <v>是</v>
      </c>
    </row>
    <row r="1160" spans="1:10" hidden="1">
      <c r="A1160" s="3">
        <v>94548</v>
      </c>
      <c r="B1160" s="1" t="s">
        <v>101</v>
      </c>
      <c r="C1160" s="2" t="str">
        <f>_xlfn.XLOOKUP(B1160,线路DSP对应!A:A,线路DSP对应!B:B)</f>
        <v>STA_SFO_SDG</v>
      </c>
      <c r="D1160" s="4" t="s">
        <v>154</v>
      </c>
      <c r="E1160" s="2" t="str">
        <f>_xlfn.XLOOKUP(A1160,转单情况!A:A,转单情况!B:B)</f>
        <v>SW</v>
      </c>
      <c r="G1160" s="28">
        <f>ROUND(_xlfn.XLOOKUP(A1160,全量!A:A,全量!B:B,0)/7,1)</f>
        <v>0.1</v>
      </c>
      <c r="H1160" s="2">
        <f>ROUND(_xlfn.XLOOKUP(A1160,AE!A:A,AE!B:B,0)/7,1)</f>
        <v>0</v>
      </c>
      <c r="I1160" s="2" t="str">
        <f>_xlfn.XLOOKUP(A1160,SWFTX邮编覆盖!A:A,SWFTX邮编覆盖!B:B,"否")</f>
        <v>是</v>
      </c>
      <c r="J1160" s="2" t="str">
        <f>_xlfn.XLOOKUP(A1160,YW邮编覆盖!A:A,YW邮编覆盖!B:B,"否")</f>
        <v>否</v>
      </c>
    </row>
    <row r="1161" spans="1:10" hidden="1">
      <c r="A1161" s="3">
        <v>94514</v>
      </c>
      <c r="B1161" s="1" t="s">
        <v>101</v>
      </c>
      <c r="C1161" s="2" t="str">
        <f>_xlfn.XLOOKUP(B1161,线路DSP对应!A:A,线路DSP对应!B:B)</f>
        <v>STA_SFO_SDG</v>
      </c>
      <c r="D1161" s="4" t="s">
        <v>154</v>
      </c>
      <c r="E1161" s="2" t="str">
        <f>_xlfn.XLOOKUP(A1161,转单情况!A:A,转单情况!B:B)</f>
        <v>SW</v>
      </c>
      <c r="G1161" s="28">
        <f>ROUND(_xlfn.XLOOKUP(A1161,全量!A:A,全量!B:B,0)/7,1)</f>
        <v>1</v>
      </c>
      <c r="H1161" s="2">
        <f>ROUND(_xlfn.XLOOKUP(A1161,AE!A:A,AE!B:B,0)/7,1)</f>
        <v>0</v>
      </c>
      <c r="I1161" s="2" t="str">
        <f>_xlfn.XLOOKUP(A1161,SWFTX邮编覆盖!A:A,SWFTX邮编覆盖!B:B,"否")</f>
        <v>是</v>
      </c>
      <c r="J1161" s="2" t="str">
        <f>_xlfn.XLOOKUP(A1161,YW邮编覆盖!A:A,YW邮编覆盖!B:B,"否")</f>
        <v>否</v>
      </c>
    </row>
    <row r="1162" spans="1:10" hidden="1">
      <c r="A1162" s="3">
        <v>94513</v>
      </c>
      <c r="B1162" s="1" t="s">
        <v>101</v>
      </c>
      <c r="C1162" s="2" t="str">
        <f>_xlfn.XLOOKUP(B1162,线路DSP对应!A:A,线路DSP对应!B:B)</f>
        <v>STA_SFO_SDG</v>
      </c>
      <c r="D1162" s="4" t="s">
        <v>154</v>
      </c>
      <c r="E1162" s="2" t="str">
        <f>_xlfn.XLOOKUP(A1162,转单情况!A:A,转单情况!B:B)</f>
        <v>否</v>
      </c>
      <c r="G1162" s="28">
        <f>ROUND(_xlfn.XLOOKUP(A1162,全量!A:A,全量!B:B,0)/7,1)</f>
        <v>14.1</v>
      </c>
      <c r="H1162" s="2">
        <f>ROUND(_xlfn.XLOOKUP(A1162,AE!A:A,AE!B:B,0)/7,1)</f>
        <v>13.6</v>
      </c>
      <c r="I1162" s="2" t="str">
        <f>_xlfn.XLOOKUP(A1162,SWFTX邮编覆盖!A:A,SWFTX邮编覆盖!B:B,"否")</f>
        <v>是</v>
      </c>
      <c r="J1162" s="2" t="str">
        <f>_xlfn.XLOOKUP(A1162,YW邮编覆盖!A:A,YW邮编覆盖!B:B,"否")</f>
        <v>是</v>
      </c>
    </row>
    <row r="1163" spans="1:10" hidden="1">
      <c r="A1163" s="3">
        <v>95111</v>
      </c>
      <c r="B1163" s="1" t="s">
        <v>102</v>
      </c>
      <c r="C1163" s="2" t="str">
        <f>_xlfn.XLOOKUP(B1163,线路DSP对应!A:A,线路DSP对应!B:B)</f>
        <v>STA_SFO_MYS</v>
      </c>
      <c r="D1163" s="4" t="s">
        <v>154</v>
      </c>
      <c r="E1163" s="2" t="str">
        <f>_xlfn.XLOOKUP(A1163,转单情况!A:A,转单情况!B:B)</f>
        <v>否</v>
      </c>
      <c r="G1163" s="28">
        <f>ROUND(_xlfn.XLOOKUP(A1163,全量!A:A,全量!B:B,0)/7,1)</f>
        <v>22.1</v>
      </c>
      <c r="H1163" s="2">
        <f>ROUND(_xlfn.XLOOKUP(A1163,AE!A:A,AE!B:B,0)/7,1)</f>
        <v>21.4</v>
      </c>
      <c r="I1163" s="2" t="str">
        <f>_xlfn.XLOOKUP(A1163,SWFTX邮编覆盖!A:A,SWFTX邮编覆盖!B:B,"否")</f>
        <v>是</v>
      </c>
      <c r="J1163" s="2" t="str">
        <f>_xlfn.XLOOKUP(A1163,YW邮编覆盖!A:A,YW邮编覆盖!B:B,"否")</f>
        <v>是</v>
      </c>
    </row>
    <row r="1164" spans="1:10" hidden="1">
      <c r="A1164" s="3">
        <v>95139</v>
      </c>
      <c r="B1164" s="1" t="s">
        <v>102</v>
      </c>
      <c r="C1164" s="2" t="str">
        <f>_xlfn.XLOOKUP(B1164,线路DSP对应!A:A,线路DSP对应!B:B)</f>
        <v>STA_SFO_MYS</v>
      </c>
      <c r="D1164" s="4" t="s">
        <v>154</v>
      </c>
      <c r="E1164" s="2" t="str">
        <f>_xlfn.XLOOKUP(A1164,转单情况!A:A,转单情况!B:B)</f>
        <v>否</v>
      </c>
      <c r="G1164" s="28">
        <f>ROUND(_xlfn.XLOOKUP(A1164,全量!A:A,全量!B:B,0)/7,1)</f>
        <v>2.1</v>
      </c>
      <c r="H1164" s="2">
        <f>ROUND(_xlfn.XLOOKUP(A1164,AE!A:A,AE!B:B,0)/7,1)</f>
        <v>2</v>
      </c>
      <c r="I1164" s="2" t="str">
        <f>_xlfn.XLOOKUP(A1164,SWFTX邮编覆盖!A:A,SWFTX邮编覆盖!B:B,"否")</f>
        <v>是</v>
      </c>
      <c r="J1164" s="2" t="str">
        <f>_xlfn.XLOOKUP(A1164,YW邮编覆盖!A:A,YW邮编覆盖!B:B,"否")</f>
        <v>是</v>
      </c>
    </row>
    <row r="1165" spans="1:10" hidden="1">
      <c r="A1165" s="3">
        <v>95119</v>
      </c>
      <c r="B1165" s="1" t="s">
        <v>102</v>
      </c>
      <c r="C1165" s="2" t="str">
        <f>_xlfn.XLOOKUP(B1165,线路DSP对应!A:A,线路DSP对应!B:B)</f>
        <v>STA_SFO_MYS</v>
      </c>
      <c r="D1165" s="4" t="s">
        <v>154</v>
      </c>
      <c r="E1165" s="2" t="str">
        <f>_xlfn.XLOOKUP(A1165,转单情况!A:A,转单情况!B:B)</f>
        <v>否</v>
      </c>
      <c r="G1165" s="28">
        <f>ROUND(_xlfn.XLOOKUP(A1165,全量!A:A,全量!B:B,0)/7,1)</f>
        <v>3.6</v>
      </c>
      <c r="H1165" s="2">
        <f>ROUND(_xlfn.XLOOKUP(A1165,AE!A:A,AE!B:B,0)/7,1)</f>
        <v>3.6</v>
      </c>
      <c r="I1165" s="2" t="str">
        <f>_xlfn.XLOOKUP(A1165,SWFTX邮编覆盖!A:A,SWFTX邮编覆盖!B:B,"否")</f>
        <v>是</v>
      </c>
      <c r="J1165" s="2" t="str">
        <f>_xlfn.XLOOKUP(A1165,YW邮编覆盖!A:A,YW邮编覆盖!B:B,"否")</f>
        <v>是</v>
      </c>
    </row>
    <row r="1166" spans="1:10" hidden="1">
      <c r="A1166" s="3">
        <v>95123</v>
      </c>
      <c r="B1166" s="1" t="s">
        <v>102</v>
      </c>
      <c r="C1166" s="2" t="str">
        <f>_xlfn.XLOOKUP(B1166,线路DSP对应!A:A,线路DSP对应!B:B)</f>
        <v>STA_SFO_MYS</v>
      </c>
      <c r="D1166" s="4" t="s">
        <v>154</v>
      </c>
      <c r="E1166" s="2" t="str">
        <f>_xlfn.XLOOKUP(A1166,转单情况!A:A,转单情况!B:B)</f>
        <v>否</v>
      </c>
      <c r="G1166" s="28">
        <f>ROUND(_xlfn.XLOOKUP(A1166,全量!A:A,全量!B:B,0)/7,1)</f>
        <v>16.7</v>
      </c>
      <c r="H1166" s="2">
        <f>ROUND(_xlfn.XLOOKUP(A1166,AE!A:A,AE!B:B,0)/7,1)</f>
        <v>15.9</v>
      </c>
      <c r="I1166" s="2" t="str">
        <f>_xlfn.XLOOKUP(A1166,SWFTX邮编覆盖!A:A,SWFTX邮编覆盖!B:B,"否")</f>
        <v>是</v>
      </c>
      <c r="J1166" s="2" t="str">
        <f>_xlfn.XLOOKUP(A1166,YW邮编覆盖!A:A,YW邮编覆盖!B:B,"否")</f>
        <v>是</v>
      </c>
    </row>
    <row r="1167" spans="1:10" hidden="1">
      <c r="A1167" s="3">
        <v>95136</v>
      </c>
      <c r="B1167" s="1" t="s">
        <v>102</v>
      </c>
      <c r="C1167" s="2" t="str">
        <f>_xlfn.XLOOKUP(B1167,线路DSP对应!A:A,线路DSP对应!B:B)</f>
        <v>STA_SFO_MYS</v>
      </c>
      <c r="D1167" s="4" t="s">
        <v>154</v>
      </c>
      <c r="E1167" s="2" t="str">
        <f>_xlfn.XLOOKUP(A1167,转单情况!A:A,转单情况!B:B)</f>
        <v>否</v>
      </c>
      <c r="G1167" s="28">
        <f>ROUND(_xlfn.XLOOKUP(A1167,全量!A:A,全量!B:B,0)/7,1)</f>
        <v>15.1</v>
      </c>
      <c r="H1167" s="2">
        <f>ROUND(_xlfn.XLOOKUP(A1167,AE!A:A,AE!B:B,0)/7,1)</f>
        <v>14.9</v>
      </c>
      <c r="I1167" s="2" t="str">
        <f>_xlfn.XLOOKUP(A1167,SWFTX邮编覆盖!A:A,SWFTX邮编覆盖!B:B,"否")</f>
        <v>是</v>
      </c>
      <c r="J1167" s="2" t="str">
        <f>_xlfn.XLOOKUP(A1167,YW邮编覆盖!A:A,YW邮编覆盖!B:B,"否")</f>
        <v>是</v>
      </c>
    </row>
    <row r="1168" spans="1:10" hidden="1">
      <c r="A1168" s="3">
        <v>95035</v>
      </c>
      <c r="B1168" s="1" t="s">
        <v>102</v>
      </c>
      <c r="C1168" s="2" t="str">
        <f>_xlfn.XLOOKUP(B1168,线路DSP对应!A:A,线路DSP对应!B:B)</f>
        <v>STA_SFO_MYS</v>
      </c>
      <c r="D1168" s="4" t="s">
        <v>154</v>
      </c>
      <c r="E1168" s="2" t="str">
        <f>_xlfn.XLOOKUP(A1168,转单情况!A:A,转单情况!B:B)</f>
        <v>否</v>
      </c>
      <c r="G1168" s="28">
        <f>ROUND(_xlfn.XLOOKUP(A1168,全量!A:A,全量!B:B,0)/7,1)</f>
        <v>30.6</v>
      </c>
      <c r="H1168" s="2">
        <f>ROUND(_xlfn.XLOOKUP(A1168,AE!A:A,AE!B:B,0)/7,1)</f>
        <v>29.7</v>
      </c>
      <c r="I1168" s="2" t="str">
        <f>_xlfn.XLOOKUP(A1168,SWFTX邮编覆盖!A:A,SWFTX邮编覆盖!B:B,"否")</f>
        <v>是</v>
      </c>
      <c r="J1168" s="2" t="str">
        <f>_xlfn.XLOOKUP(A1168,YW邮编覆盖!A:A,YW邮编覆盖!B:B,"否")</f>
        <v>是</v>
      </c>
    </row>
    <row r="1169" spans="1:10" hidden="1">
      <c r="A1169" s="3">
        <v>94538</v>
      </c>
      <c r="B1169" s="1" t="s">
        <v>102</v>
      </c>
      <c r="C1169" s="2" t="str">
        <f>_xlfn.XLOOKUP(B1169,线路DSP对应!A:A,线路DSP对应!B:B)</f>
        <v>STA_SFO_MYS</v>
      </c>
      <c r="D1169" s="4" t="s">
        <v>154</v>
      </c>
      <c r="E1169" s="2" t="str">
        <f>_xlfn.XLOOKUP(A1169,转单情况!A:A,转单情况!B:B)</f>
        <v>否</v>
      </c>
      <c r="G1169" s="28">
        <f>ROUND(_xlfn.XLOOKUP(A1169,全量!A:A,全量!B:B,0)/7,1)</f>
        <v>20.3</v>
      </c>
      <c r="H1169" s="2">
        <f>ROUND(_xlfn.XLOOKUP(A1169,AE!A:A,AE!B:B,0)/7,1)</f>
        <v>19.600000000000001</v>
      </c>
      <c r="I1169" s="2" t="str">
        <f>_xlfn.XLOOKUP(A1169,SWFTX邮编覆盖!A:A,SWFTX邮编覆盖!B:B,"否")</f>
        <v>是</v>
      </c>
      <c r="J1169" s="2" t="str">
        <f>_xlfn.XLOOKUP(A1169,YW邮编覆盖!A:A,YW邮编覆盖!B:B,"否")</f>
        <v>是</v>
      </c>
    </row>
    <row r="1170" spans="1:10" hidden="1">
      <c r="A1170" s="3">
        <v>94539</v>
      </c>
      <c r="B1170" s="1" t="s">
        <v>102</v>
      </c>
      <c r="C1170" s="2" t="str">
        <f>_xlfn.XLOOKUP(B1170,线路DSP对应!A:A,线路DSP对应!B:B)</f>
        <v>STA_SFO_MYS</v>
      </c>
      <c r="D1170" s="4" t="s">
        <v>154</v>
      </c>
      <c r="E1170" s="2" t="str">
        <f>_xlfn.XLOOKUP(A1170,转单情况!A:A,转单情况!B:B)</f>
        <v>否</v>
      </c>
      <c r="G1170" s="28">
        <f>ROUND(_xlfn.XLOOKUP(A1170,全量!A:A,全量!B:B,0)/7,1)</f>
        <v>16.7</v>
      </c>
      <c r="H1170" s="2">
        <f>ROUND(_xlfn.XLOOKUP(A1170,AE!A:A,AE!B:B,0)/7,1)</f>
        <v>16.100000000000001</v>
      </c>
      <c r="I1170" s="2" t="str">
        <f>_xlfn.XLOOKUP(A1170,SWFTX邮编覆盖!A:A,SWFTX邮编覆盖!B:B,"否")</f>
        <v>是</v>
      </c>
      <c r="J1170" s="2" t="str">
        <f>_xlfn.XLOOKUP(A1170,YW邮编覆盖!A:A,YW邮编覆盖!B:B,"否")</f>
        <v>是</v>
      </c>
    </row>
    <row r="1171" spans="1:10">
      <c r="A1171" s="3">
        <v>95192</v>
      </c>
      <c r="B1171" s="1" t="s">
        <v>103</v>
      </c>
      <c r="C1171" s="2" t="str">
        <f>_xlfn.XLOOKUP(B1171,线路DSP对应!A:A,线路DSP对应!B:B)</f>
        <v>STA_SFO_MYS</v>
      </c>
      <c r="D1171" s="4" t="s">
        <v>154</v>
      </c>
      <c r="E1171" s="2" t="str">
        <f>_xlfn.XLOOKUP(A1171,转单情况!A:A,转单情况!B:B)</f>
        <v>否</v>
      </c>
      <c r="G1171" s="28">
        <f>ROUND(_xlfn.XLOOKUP(A1171,全量!A:A,全量!B:B,0)/7,1)</f>
        <v>0</v>
      </c>
      <c r="H1171" s="2">
        <f>ROUND(_xlfn.XLOOKUP(A1171,AE!A:A,AE!B:B,0)/7,1)</f>
        <v>0</v>
      </c>
      <c r="I1171" s="2" t="str">
        <f>_xlfn.XLOOKUP(A1171,SWFTX邮编覆盖!A:A,SWFTX邮编覆盖!B:B,"否")</f>
        <v>否</v>
      </c>
      <c r="J1171" s="2" t="str">
        <f>_xlfn.XLOOKUP(A1171,YW邮编覆盖!A:A,YW邮编覆盖!B:B,"否")</f>
        <v>是</v>
      </c>
    </row>
    <row r="1172" spans="1:10" hidden="1">
      <c r="A1172" s="3">
        <v>95125</v>
      </c>
      <c r="B1172" s="1" t="s">
        <v>103</v>
      </c>
      <c r="C1172" s="2" t="str">
        <f>_xlfn.XLOOKUP(B1172,线路DSP对应!A:A,线路DSP对应!B:B)</f>
        <v>STA_SFO_MYS</v>
      </c>
      <c r="D1172" s="4" t="s">
        <v>154</v>
      </c>
      <c r="E1172" s="2" t="str">
        <f>_xlfn.XLOOKUP(A1172,转单情况!A:A,转单情况!B:B)</f>
        <v>否</v>
      </c>
      <c r="G1172" s="28">
        <f>ROUND(_xlfn.XLOOKUP(A1172,全量!A:A,全量!B:B,0)/7,1)</f>
        <v>12.7</v>
      </c>
      <c r="H1172" s="2">
        <f>ROUND(_xlfn.XLOOKUP(A1172,AE!A:A,AE!B:B,0)/7,1)</f>
        <v>11.9</v>
      </c>
      <c r="I1172" s="2" t="str">
        <f>_xlfn.XLOOKUP(A1172,SWFTX邮编覆盖!A:A,SWFTX邮编覆盖!B:B,"否")</f>
        <v>是</v>
      </c>
      <c r="J1172" s="2" t="str">
        <f>_xlfn.XLOOKUP(A1172,YW邮编覆盖!A:A,YW邮编覆盖!B:B,"否")</f>
        <v>是</v>
      </c>
    </row>
    <row r="1173" spans="1:10" hidden="1">
      <c r="A1173" s="3">
        <v>95128</v>
      </c>
      <c r="B1173" s="1" t="s">
        <v>103</v>
      </c>
      <c r="C1173" s="2" t="str">
        <f>_xlfn.XLOOKUP(B1173,线路DSP对应!A:A,线路DSP对应!B:B)</f>
        <v>STA_SFO_MYS</v>
      </c>
      <c r="D1173" s="4" t="s">
        <v>154</v>
      </c>
      <c r="E1173" s="2" t="str">
        <f>_xlfn.XLOOKUP(A1173,转单情况!A:A,转单情况!B:B)</f>
        <v>否</v>
      </c>
      <c r="G1173" s="28">
        <f>ROUND(_xlfn.XLOOKUP(A1173,全量!A:A,全量!B:B,0)/7,1)</f>
        <v>9.1</v>
      </c>
      <c r="H1173" s="2">
        <f>ROUND(_xlfn.XLOOKUP(A1173,AE!A:A,AE!B:B,0)/7,1)</f>
        <v>9</v>
      </c>
      <c r="I1173" s="2" t="str">
        <f>_xlfn.XLOOKUP(A1173,SWFTX邮编覆盖!A:A,SWFTX邮编覆盖!B:B,"否")</f>
        <v>是</v>
      </c>
      <c r="J1173" s="2" t="str">
        <f>_xlfn.XLOOKUP(A1173,YW邮编覆盖!A:A,YW邮编覆盖!B:B,"否")</f>
        <v>是</v>
      </c>
    </row>
    <row r="1174" spans="1:10" hidden="1">
      <c r="A1174" s="3">
        <v>95126</v>
      </c>
      <c r="B1174" s="1" t="s">
        <v>103</v>
      </c>
      <c r="C1174" s="2" t="str">
        <f>_xlfn.XLOOKUP(B1174,线路DSP对应!A:A,线路DSP对应!B:B)</f>
        <v>STA_SFO_MYS</v>
      </c>
      <c r="D1174" s="4" t="s">
        <v>154</v>
      </c>
      <c r="E1174" s="2" t="str">
        <f>_xlfn.XLOOKUP(A1174,转单情况!A:A,转单情况!B:B)</f>
        <v>否</v>
      </c>
      <c r="G1174" s="28">
        <f>ROUND(_xlfn.XLOOKUP(A1174,全量!A:A,全量!B:B,0)/7,1)</f>
        <v>9.4</v>
      </c>
      <c r="H1174" s="2">
        <f>ROUND(_xlfn.XLOOKUP(A1174,AE!A:A,AE!B:B,0)/7,1)</f>
        <v>9.1</v>
      </c>
      <c r="I1174" s="2" t="str">
        <f>_xlfn.XLOOKUP(A1174,SWFTX邮编覆盖!A:A,SWFTX邮编覆盖!B:B,"否")</f>
        <v>是</v>
      </c>
      <c r="J1174" s="2" t="str">
        <f>_xlfn.XLOOKUP(A1174,YW邮编覆盖!A:A,YW邮编覆盖!B:B,"否")</f>
        <v>是</v>
      </c>
    </row>
    <row r="1175" spans="1:10" hidden="1">
      <c r="A1175" s="3">
        <v>95110</v>
      </c>
      <c r="B1175" s="1" t="s">
        <v>103</v>
      </c>
      <c r="C1175" s="2" t="str">
        <f>_xlfn.XLOOKUP(B1175,线路DSP对应!A:A,线路DSP对应!B:B)</f>
        <v>STA_SFO_MYS</v>
      </c>
      <c r="D1175" s="4" t="s">
        <v>154</v>
      </c>
      <c r="E1175" s="2" t="str">
        <f>_xlfn.XLOOKUP(A1175,转单情况!A:A,转单情况!B:B)</f>
        <v>否</v>
      </c>
      <c r="G1175" s="28">
        <f>ROUND(_xlfn.XLOOKUP(A1175,全量!A:A,全量!B:B,0)/7,1)</f>
        <v>5.0999999999999996</v>
      </c>
      <c r="H1175" s="2">
        <f>ROUND(_xlfn.XLOOKUP(A1175,AE!A:A,AE!B:B,0)/7,1)</f>
        <v>4.7</v>
      </c>
      <c r="I1175" s="2" t="str">
        <f>_xlfn.XLOOKUP(A1175,SWFTX邮编覆盖!A:A,SWFTX邮编覆盖!B:B,"否")</f>
        <v>是</v>
      </c>
      <c r="J1175" s="2" t="str">
        <f>_xlfn.XLOOKUP(A1175,YW邮编覆盖!A:A,YW邮编覆盖!B:B,"否")</f>
        <v>是</v>
      </c>
    </row>
    <row r="1176" spans="1:10" hidden="1">
      <c r="A1176" s="3">
        <v>95113</v>
      </c>
      <c r="B1176" s="1" t="s">
        <v>103</v>
      </c>
      <c r="C1176" s="2" t="str">
        <f>_xlfn.XLOOKUP(B1176,线路DSP对应!A:A,线路DSP对应!B:B)</f>
        <v>STA_SFO_MYS</v>
      </c>
      <c r="D1176" s="4" t="s">
        <v>154</v>
      </c>
      <c r="E1176" s="2" t="str">
        <f>_xlfn.XLOOKUP(A1176,转单情况!A:A,转单情况!B:B)</f>
        <v>否</v>
      </c>
      <c r="G1176" s="28">
        <f>ROUND(_xlfn.XLOOKUP(A1176,全量!A:A,全量!B:B,0)/7,1)</f>
        <v>1.1000000000000001</v>
      </c>
      <c r="H1176" s="2">
        <f>ROUND(_xlfn.XLOOKUP(A1176,AE!A:A,AE!B:B,0)/7,1)</f>
        <v>1.1000000000000001</v>
      </c>
      <c r="I1176" s="2" t="str">
        <f>_xlfn.XLOOKUP(A1176,SWFTX邮编覆盖!A:A,SWFTX邮编覆盖!B:B,"否")</f>
        <v>是</v>
      </c>
      <c r="J1176" s="2" t="str">
        <f>_xlfn.XLOOKUP(A1176,YW邮编覆盖!A:A,YW邮编覆盖!B:B,"否")</f>
        <v>是</v>
      </c>
    </row>
    <row r="1177" spans="1:10" hidden="1">
      <c r="A1177" s="3">
        <v>95112</v>
      </c>
      <c r="B1177" s="1" t="s">
        <v>103</v>
      </c>
      <c r="C1177" s="2" t="str">
        <f>_xlfn.XLOOKUP(B1177,线路DSP对应!A:A,线路DSP对应!B:B)</f>
        <v>STA_SFO_MYS</v>
      </c>
      <c r="D1177" s="4" t="s">
        <v>154</v>
      </c>
      <c r="E1177" s="2" t="str">
        <f>_xlfn.XLOOKUP(A1177,转单情况!A:A,转单情况!B:B)</f>
        <v>否</v>
      </c>
      <c r="G1177" s="28">
        <f>ROUND(_xlfn.XLOOKUP(A1177,全量!A:A,全量!B:B,0)/7,1)</f>
        <v>17.600000000000001</v>
      </c>
      <c r="H1177" s="2">
        <f>ROUND(_xlfn.XLOOKUP(A1177,AE!A:A,AE!B:B,0)/7,1)</f>
        <v>17.100000000000001</v>
      </c>
      <c r="I1177" s="2" t="str">
        <f>_xlfn.XLOOKUP(A1177,SWFTX邮编覆盖!A:A,SWFTX邮编覆盖!B:B,"否")</f>
        <v>是</v>
      </c>
      <c r="J1177" s="2" t="str">
        <f>_xlfn.XLOOKUP(A1177,YW邮编覆盖!A:A,YW邮编覆盖!B:B,"否")</f>
        <v>是</v>
      </c>
    </row>
    <row r="1178" spans="1:10" hidden="1">
      <c r="A1178" s="3">
        <v>95138</v>
      </c>
      <c r="B1178" s="1" t="s">
        <v>103</v>
      </c>
      <c r="C1178" s="2" t="str">
        <f>_xlfn.XLOOKUP(B1178,线路DSP对应!A:A,线路DSP对应!B:B)</f>
        <v>STA_SFO_MYS</v>
      </c>
      <c r="D1178" s="4" t="s">
        <v>154</v>
      </c>
      <c r="E1178" s="2" t="str">
        <f>_xlfn.XLOOKUP(A1178,转单情况!A:A,转单情况!B:B)</f>
        <v>否</v>
      </c>
      <c r="G1178" s="28">
        <f>ROUND(_xlfn.XLOOKUP(A1178,全量!A:A,全量!B:B,0)/7,1)</f>
        <v>7.3</v>
      </c>
      <c r="H1178" s="2">
        <f>ROUND(_xlfn.XLOOKUP(A1178,AE!A:A,AE!B:B,0)/7,1)</f>
        <v>7</v>
      </c>
      <c r="I1178" s="2" t="str">
        <f>_xlfn.XLOOKUP(A1178,SWFTX邮编覆盖!A:A,SWFTX邮编覆盖!B:B,"否")</f>
        <v>是</v>
      </c>
      <c r="J1178" s="2" t="str">
        <f>_xlfn.XLOOKUP(A1178,YW邮编覆盖!A:A,YW邮编覆盖!B:B,"否")</f>
        <v>是</v>
      </c>
    </row>
    <row r="1179" spans="1:10" hidden="1">
      <c r="A1179" s="3">
        <v>95135</v>
      </c>
      <c r="B1179" s="1" t="s">
        <v>103</v>
      </c>
      <c r="C1179" s="2" t="str">
        <f>_xlfn.XLOOKUP(B1179,线路DSP对应!A:A,线路DSP对应!B:B)</f>
        <v>STA_SFO_MYS</v>
      </c>
      <c r="D1179" s="4" t="s">
        <v>154</v>
      </c>
      <c r="E1179" s="2" t="str">
        <f>_xlfn.XLOOKUP(A1179,转单情况!A:A,转单情况!B:B)</f>
        <v>否</v>
      </c>
      <c r="G1179" s="28">
        <f>ROUND(_xlfn.XLOOKUP(A1179,全量!A:A,全量!B:B,0)/7,1)</f>
        <v>3.9</v>
      </c>
      <c r="H1179" s="2">
        <f>ROUND(_xlfn.XLOOKUP(A1179,AE!A:A,AE!B:B,0)/7,1)</f>
        <v>3.6</v>
      </c>
      <c r="I1179" s="2" t="str">
        <f>_xlfn.XLOOKUP(A1179,SWFTX邮编覆盖!A:A,SWFTX邮编覆盖!B:B,"否")</f>
        <v>是</v>
      </c>
      <c r="J1179" s="2" t="str">
        <f>_xlfn.XLOOKUP(A1179,YW邮编覆盖!A:A,YW邮编覆盖!B:B,"否")</f>
        <v>是</v>
      </c>
    </row>
    <row r="1180" spans="1:10" hidden="1">
      <c r="A1180" s="3">
        <v>95148</v>
      </c>
      <c r="B1180" s="1" t="s">
        <v>104</v>
      </c>
      <c r="C1180" s="2" t="str">
        <f>_xlfn.XLOOKUP(B1180,线路DSP对应!A:A,线路DSP对应!B:B)</f>
        <v>STA_SFO_MYS</v>
      </c>
      <c r="D1180" s="4" t="s">
        <v>154</v>
      </c>
      <c r="E1180" s="2" t="str">
        <f>_xlfn.XLOOKUP(A1180,转单情况!A:A,转单情况!B:B)</f>
        <v>否</v>
      </c>
      <c r="G1180" s="28">
        <f>ROUND(_xlfn.XLOOKUP(A1180,全量!A:A,全量!B:B,0)/7,1)</f>
        <v>18.7</v>
      </c>
      <c r="H1180" s="2">
        <f>ROUND(_xlfn.XLOOKUP(A1180,AE!A:A,AE!B:B,0)/7,1)</f>
        <v>18</v>
      </c>
      <c r="I1180" s="2" t="str">
        <f>_xlfn.XLOOKUP(A1180,SWFTX邮编覆盖!A:A,SWFTX邮编覆盖!B:B,"否")</f>
        <v>是</v>
      </c>
      <c r="J1180" s="2" t="str">
        <f>_xlfn.XLOOKUP(A1180,YW邮编覆盖!A:A,YW邮编覆盖!B:B,"否")</f>
        <v>是</v>
      </c>
    </row>
    <row r="1181" spans="1:10" hidden="1">
      <c r="A1181" s="3">
        <v>95121</v>
      </c>
      <c r="B1181" s="1" t="s">
        <v>104</v>
      </c>
      <c r="C1181" s="2" t="str">
        <f>_xlfn.XLOOKUP(B1181,线路DSP对应!A:A,线路DSP对应!B:B)</f>
        <v>STA_SFO_MYS</v>
      </c>
      <c r="D1181" s="4" t="s">
        <v>154</v>
      </c>
      <c r="E1181" s="2" t="str">
        <f>_xlfn.XLOOKUP(A1181,转单情况!A:A,转单情况!B:B)</f>
        <v>否</v>
      </c>
      <c r="G1181" s="28">
        <f>ROUND(_xlfn.XLOOKUP(A1181,全量!A:A,全量!B:B,0)/7,1)</f>
        <v>17.399999999999999</v>
      </c>
      <c r="H1181" s="2">
        <f>ROUND(_xlfn.XLOOKUP(A1181,AE!A:A,AE!B:B,0)/7,1)</f>
        <v>17</v>
      </c>
      <c r="I1181" s="2" t="str">
        <f>_xlfn.XLOOKUP(A1181,SWFTX邮编覆盖!A:A,SWFTX邮编覆盖!B:B,"否")</f>
        <v>是</v>
      </c>
      <c r="J1181" s="2" t="str">
        <f>_xlfn.XLOOKUP(A1181,YW邮编覆盖!A:A,YW邮编覆盖!B:B,"否")</f>
        <v>是</v>
      </c>
    </row>
    <row r="1182" spans="1:10" hidden="1">
      <c r="A1182" s="3">
        <v>95122</v>
      </c>
      <c r="B1182" s="1" t="s">
        <v>104</v>
      </c>
      <c r="C1182" s="2" t="str">
        <f>_xlfn.XLOOKUP(B1182,线路DSP对应!A:A,线路DSP对应!B:B)</f>
        <v>STA_SFO_MYS</v>
      </c>
      <c r="D1182" s="4" t="s">
        <v>154</v>
      </c>
      <c r="E1182" s="2" t="str">
        <f>_xlfn.XLOOKUP(A1182,转单情况!A:A,转单情况!B:B)</f>
        <v>否</v>
      </c>
      <c r="G1182" s="28">
        <f>ROUND(_xlfn.XLOOKUP(A1182,全量!A:A,全量!B:B,0)/7,1)</f>
        <v>18.899999999999999</v>
      </c>
      <c r="H1182" s="2">
        <f>ROUND(_xlfn.XLOOKUP(A1182,AE!A:A,AE!B:B,0)/7,1)</f>
        <v>17.600000000000001</v>
      </c>
      <c r="I1182" s="2" t="str">
        <f>_xlfn.XLOOKUP(A1182,SWFTX邮编覆盖!A:A,SWFTX邮编覆盖!B:B,"否")</f>
        <v>是</v>
      </c>
      <c r="J1182" s="2" t="str">
        <f>_xlfn.XLOOKUP(A1182,YW邮编覆盖!A:A,YW邮编覆盖!B:B,"否")</f>
        <v>是</v>
      </c>
    </row>
    <row r="1183" spans="1:10" hidden="1">
      <c r="A1183" s="3">
        <v>95140</v>
      </c>
      <c r="B1183" s="1" t="s">
        <v>104</v>
      </c>
      <c r="C1183" s="2" t="str">
        <f>_xlfn.XLOOKUP(B1183,线路DSP对应!A:A,线路DSP对应!B:B)</f>
        <v>STA_SFO_MYS</v>
      </c>
      <c r="D1183" s="4" t="s">
        <v>154</v>
      </c>
      <c r="E1183" s="2" t="str">
        <f>_xlfn.XLOOKUP(A1183,转单情况!A:A,转单情况!B:B)</f>
        <v>否</v>
      </c>
      <c r="G1183" s="28">
        <f>ROUND(_xlfn.XLOOKUP(A1183,全量!A:A,全量!B:B,0)/7,1)</f>
        <v>0.3</v>
      </c>
      <c r="H1183" s="2">
        <f>ROUND(_xlfn.XLOOKUP(A1183,AE!A:A,AE!B:B,0)/7,1)</f>
        <v>0</v>
      </c>
      <c r="I1183" s="2" t="str">
        <f>_xlfn.XLOOKUP(A1183,SWFTX邮编覆盖!A:A,SWFTX邮编覆盖!B:B,"否")</f>
        <v>否</v>
      </c>
      <c r="J1183" s="2" t="str">
        <f>_xlfn.XLOOKUP(A1183,YW邮编覆盖!A:A,YW邮编覆盖!B:B,"否")</f>
        <v>否</v>
      </c>
    </row>
    <row r="1184" spans="1:10" hidden="1">
      <c r="A1184" s="3">
        <v>95127</v>
      </c>
      <c r="B1184" s="1" t="s">
        <v>104</v>
      </c>
      <c r="C1184" s="2" t="str">
        <f>_xlfn.XLOOKUP(B1184,线路DSP对应!A:A,线路DSP对应!B:B)</f>
        <v>STA_SFO_MYS</v>
      </c>
      <c r="D1184" s="4" t="s">
        <v>154</v>
      </c>
      <c r="E1184" s="2" t="str">
        <f>_xlfn.XLOOKUP(A1184,转单情况!A:A,转单情况!B:B)</f>
        <v>否</v>
      </c>
      <c r="G1184" s="28">
        <f>ROUND(_xlfn.XLOOKUP(A1184,全量!A:A,全量!B:B,0)/7,1)</f>
        <v>20</v>
      </c>
      <c r="H1184" s="2">
        <f>ROUND(_xlfn.XLOOKUP(A1184,AE!A:A,AE!B:B,0)/7,1)</f>
        <v>19</v>
      </c>
      <c r="I1184" s="2" t="str">
        <f>_xlfn.XLOOKUP(A1184,SWFTX邮编覆盖!A:A,SWFTX邮编覆盖!B:B,"否")</f>
        <v>是</v>
      </c>
      <c r="J1184" s="2" t="str">
        <f>_xlfn.XLOOKUP(A1184,YW邮编覆盖!A:A,YW邮编覆盖!B:B,"否")</f>
        <v>是</v>
      </c>
    </row>
    <row r="1185" spans="1:10" hidden="1">
      <c r="A1185" s="3">
        <v>95116</v>
      </c>
      <c r="B1185" s="1" t="s">
        <v>104</v>
      </c>
      <c r="C1185" s="2" t="str">
        <f>_xlfn.XLOOKUP(B1185,线路DSP对应!A:A,线路DSP对应!B:B)</f>
        <v>STA_SFO_MYS</v>
      </c>
      <c r="D1185" s="4" t="s">
        <v>154</v>
      </c>
      <c r="E1185" s="2" t="str">
        <f>_xlfn.XLOOKUP(A1185,转单情况!A:A,转单情况!B:B)</f>
        <v>否</v>
      </c>
      <c r="G1185" s="28">
        <f>ROUND(_xlfn.XLOOKUP(A1185,全量!A:A,全量!B:B,0)/7,1)</f>
        <v>13.9</v>
      </c>
      <c r="H1185" s="2">
        <f>ROUND(_xlfn.XLOOKUP(A1185,AE!A:A,AE!B:B,0)/7,1)</f>
        <v>13.4</v>
      </c>
      <c r="I1185" s="2" t="str">
        <f>_xlfn.XLOOKUP(A1185,SWFTX邮编覆盖!A:A,SWFTX邮编覆盖!B:B,"否")</f>
        <v>是</v>
      </c>
      <c r="J1185" s="2" t="str">
        <f>_xlfn.XLOOKUP(A1185,YW邮编覆盖!A:A,YW邮编覆盖!B:B,"否")</f>
        <v>是</v>
      </c>
    </row>
    <row r="1186" spans="1:10" hidden="1">
      <c r="A1186" s="3">
        <v>95133</v>
      </c>
      <c r="B1186" s="1" t="s">
        <v>104</v>
      </c>
      <c r="C1186" s="2" t="str">
        <f>_xlfn.XLOOKUP(B1186,线路DSP对应!A:A,线路DSP对应!B:B)</f>
        <v>STA_SFO_MYS</v>
      </c>
      <c r="D1186" s="4" t="s">
        <v>154</v>
      </c>
      <c r="E1186" s="2" t="str">
        <f>_xlfn.XLOOKUP(A1186,转单情况!A:A,转单情况!B:B)</f>
        <v>否</v>
      </c>
      <c r="G1186" s="28">
        <f>ROUND(_xlfn.XLOOKUP(A1186,全量!A:A,全量!B:B,0)/7,1)</f>
        <v>9</v>
      </c>
      <c r="H1186" s="2">
        <f>ROUND(_xlfn.XLOOKUP(A1186,AE!A:A,AE!B:B,0)/7,1)</f>
        <v>8.6</v>
      </c>
      <c r="I1186" s="2" t="str">
        <f>_xlfn.XLOOKUP(A1186,SWFTX邮编覆盖!A:A,SWFTX邮编覆盖!B:B,"否")</f>
        <v>是</v>
      </c>
      <c r="J1186" s="2" t="str">
        <f>_xlfn.XLOOKUP(A1186,YW邮编覆盖!A:A,YW邮编覆盖!B:B,"否")</f>
        <v>是</v>
      </c>
    </row>
    <row r="1187" spans="1:10" hidden="1">
      <c r="A1187" s="3">
        <v>95131</v>
      </c>
      <c r="B1187" s="1" t="s">
        <v>104</v>
      </c>
      <c r="C1187" s="2" t="str">
        <f>_xlfn.XLOOKUP(B1187,线路DSP对应!A:A,线路DSP对应!B:B)</f>
        <v>STA_SFO_MYS</v>
      </c>
      <c r="D1187" s="4" t="s">
        <v>154</v>
      </c>
      <c r="E1187" s="2" t="str">
        <f>_xlfn.XLOOKUP(A1187,转单情况!A:A,转单情况!B:B)</f>
        <v>否</v>
      </c>
      <c r="G1187" s="28">
        <f>ROUND(_xlfn.XLOOKUP(A1187,全量!A:A,全量!B:B,0)/7,1)</f>
        <v>14.6</v>
      </c>
      <c r="H1187" s="2">
        <f>ROUND(_xlfn.XLOOKUP(A1187,AE!A:A,AE!B:B,0)/7,1)</f>
        <v>14.1</v>
      </c>
      <c r="I1187" s="2" t="str">
        <f>_xlfn.XLOOKUP(A1187,SWFTX邮编覆盖!A:A,SWFTX邮编覆盖!B:B,"否")</f>
        <v>是</v>
      </c>
      <c r="J1187" s="2" t="str">
        <f>_xlfn.XLOOKUP(A1187,YW邮编覆盖!A:A,YW邮编覆盖!B:B,"否")</f>
        <v>是</v>
      </c>
    </row>
    <row r="1188" spans="1:10" hidden="1">
      <c r="A1188" s="3">
        <v>95132</v>
      </c>
      <c r="B1188" s="1" t="s">
        <v>104</v>
      </c>
      <c r="C1188" s="2" t="str">
        <f>_xlfn.XLOOKUP(B1188,线路DSP对应!A:A,线路DSP对应!B:B)</f>
        <v>STA_SFO_MYS</v>
      </c>
      <c r="D1188" s="4" t="s">
        <v>154</v>
      </c>
      <c r="E1188" s="2" t="str">
        <f>_xlfn.XLOOKUP(A1188,转单情况!A:A,转单情况!B:B)</f>
        <v>否</v>
      </c>
      <c r="G1188" s="28">
        <f>ROUND(_xlfn.XLOOKUP(A1188,全量!A:A,全量!B:B,0)/7,1)</f>
        <v>14.9</v>
      </c>
      <c r="H1188" s="2">
        <f>ROUND(_xlfn.XLOOKUP(A1188,AE!A:A,AE!B:B,0)/7,1)</f>
        <v>14.9</v>
      </c>
      <c r="I1188" s="2" t="str">
        <f>_xlfn.XLOOKUP(A1188,SWFTX邮编覆盖!A:A,SWFTX邮编覆盖!B:B,"否")</f>
        <v>是</v>
      </c>
      <c r="J1188" s="2" t="str">
        <f>_xlfn.XLOOKUP(A1188,YW邮编覆盖!A:A,YW邮编覆盖!B:B,"否")</f>
        <v>是</v>
      </c>
    </row>
    <row r="1189" spans="1:10" hidden="1">
      <c r="A1189" s="3">
        <v>95134</v>
      </c>
      <c r="B1189" s="1" t="s">
        <v>104</v>
      </c>
      <c r="C1189" s="2" t="str">
        <f>_xlfn.XLOOKUP(B1189,线路DSP对应!A:A,线路DSP对应!B:B)</f>
        <v>STA_SFO_MYS</v>
      </c>
      <c r="D1189" s="4" t="s">
        <v>154</v>
      </c>
      <c r="E1189" s="2" t="str">
        <f>_xlfn.XLOOKUP(A1189,转单情况!A:A,转单情况!B:B)</f>
        <v>否</v>
      </c>
      <c r="G1189" s="28">
        <f>ROUND(_xlfn.XLOOKUP(A1189,全量!A:A,全量!B:B,0)/7,1)</f>
        <v>8.6</v>
      </c>
      <c r="H1189" s="2">
        <f>ROUND(_xlfn.XLOOKUP(A1189,AE!A:A,AE!B:B,0)/7,1)</f>
        <v>8.6</v>
      </c>
      <c r="I1189" s="2" t="str">
        <f>_xlfn.XLOOKUP(A1189,SWFTX邮编覆盖!A:A,SWFTX邮编覆盖!B:B,"否")</f>
        <v>是</v>
      </c>
      <c r="J1189" s="2" t="str">
        <f>_xlfn.XLOOKUP(A1189,YW邮编覆盖!A:A,YW邮编覆盖!B:B,"否")</f>
        <v>是</v>
      </c>
    </row>
    <row r="1190" spans="1:10" hidden="1">
      <c r="A1190" s="3">
        <v>94619</v>
      </c>
      <c r="B1190" s="1" t="s">
        <v>105</v>
      </c>
      <c r="C1190" s="2" t="str">
        <f>_xlfn.XLOOKUP(B1190,线路DSP对应!A:A,线路DSP对应!B:B)</f>
        <v>STA_SFO_SDG</v>
      </c>
      <c r="D1190" s="4" t="s">
        <v>154</v>
      </c>
      <c r="E1190" s="2" t="str">
        <f>_xlfn.XLOOKUP(A1190,转单情况!A:A,转单情况!B:B)</f>
        <v>否</v>
      </c>
      <c r="G1190" s="28">
        <f>ROUND(_xlfn.XLOOKUP(A1190,全量!A:A,全量!B:B,0)/7,1)</f>
        <v>7.4</v>
      </c>
      <c r="H1190" s="2">
        <f>ROUND(_xlfn.XLOOKUP(A1190,AE!A:A,AE!B:B,0)/7,1)</f>
        <v>7.4</v>
      </c>
      <c r="I1190" s="2" t="str">
        <f>_xlfn.XLOOKUP(A1190,SWFTX邮编覆盖!A:A,SWFTX邮编覆盖!B:B,"否")</f>
        <v>是</v>
      </c>
      <c r="J1190" s="2" t="str">
        <f>_xlfn.XLOOKUP(A1190,YW邮编覆盖!A:A,YW邮编覆盖!B:B,"否")</f>
        <v>是</v>
      </c>
    </row>
    <row r="1191" spans="1:10" hidden="1">
      <c r="A1191" s="3">
        <v>94608</v>
      </c>
      <c r="B1191" s="1" t="s">
        <v>105</v>
      </c>
      <c r="C1191" s="2" t="str">
        <f>_xlfn.XLOOKUP(B1191,线路DSP对应!A:A,线路DSP对应!B:B)</f>
        <v>STA_SFO_SDG</v>
      </c>
      <c r="D1191" s="4" t="s">
        <v>154</v>
      </c>
      <c r="E1191" s="2" t="str">
        <f>_xlfn.XLOOKUP(A1191,转单情况!A:A,转单情况!B:B)</f>
        <v>否</v>
      </c>
      <c r="G1191" s="28">
        <f>ROUND(_xlfn.XLOOKUP(A1191,全量!A:A,全量!B:B,0)/7,1)</f>
        <v>11.4</v>
      </c>
      <c r="H1191" s="2">
        <f>ROUND(_xlfn.XLOOKUP(A1191,AE!A:A,AE!B:B,0)/7,1)</f>
        <v>11.1</v>
      </c>
      <c r="I1191" s="2" t="str">
        <f>_xlfn.XLOOKUP(A1191,SWFTX邮编覆盖!A:A,SWFTX邮编覆盖!B:B,"否")</f>
        <v>是</v>
      </c>
      <c r="J1191" s="2" t="str">
        <f>_xlfn.XLOOKUP(A1191,YW邮编覆盖!A:A,YW邮编覆盖!B:B,"否")</f>
        <v>是</v>
      </c>
    </row>
    <row r="1192" spans="1:10" hidden="1">
      <c r="A1192" s="3">
        <v>94609</v>
      </c>
      <c r="B1192" s="1" t="s">
        <v>105</v>
      </c>
      <c r="C1192" s="2" t="str">
        <f>_xlfn.XLOOKUP(B1192,线路DSP对应!A:A,线路DSP对应!B:B)</f>
        <v>STA_SFO_SDG</v>
      </c>
      <c r="D1192" s="4" t="s">
        <v>154</v>
      </c>
      <c r="E1192" s="2" t="str">
        <f>_xlfn.XLOOKUP(A1192,转单情况!A:A,转单情况!B:B)</f>
        <v>否</v>
      </c>
      <c r="G1192" s="28">
        <f>ROUND(_xlfn.XLOOKUP(A1192,全量!A:A,全量!B:B,0)/7,1)</f>
        <v>6.6</v>
      </c>
      <c r="H1192" s="2">
        <f>ROUND(_xlfn.XLOOKUP(A1192,AE!A:A,AE!B:B,0)/7,1)</f>
        <v>6</v>
      </c>
      <c r="I1192" s="2" t="str">
        <f>_xlfn.XLOOKUP(A1192,SWFTX邮编覆盖!A:A,SWFTX邮编覆盖!B:B,"否")</f>
        <v>是</v>
      </c>
      <c r="J1192" s="2" t="str">
        <f>_xlfn.XLOOKUP(A1192,YW邮编覆盖!A:A,YW邮编覆盖!B:B,"否")</f>
        <v>是</v>
      </c>
    </row>
    <row r="1193" spans="1:10" hidden="1">
      <c r="A1193" s="3">
        <v>94611</v>
      </c>
      <c r="B1193" s="1" t="s">
        <v>105</v>
      </c>
      <c r="C1193" s="2" t="str">
        <f>_xlfn.XLOOKUP(B1193,线路DSP对应!A:A,线路DSP对应!B:B)</f>
        <v>STA_SFO_SDG</v>
      </c>
      <c r="D1193" s="4" t="s">
        <v>154</v>
      </c>
      <c r="E1193" s="2" t="str">
        <f>_xlfn.XLOOKUP(A1193,转单情况!A:A,转单情况!B:B)</f>
        <v>否</v>
      </c>
      <c r="G1193" s="28">
        <f>ROUND(_xlfn.XLOOKUP(A1193,全量!A:A,全量!B:B,0)/7,1)</f>
        <v>9.4</v>
      </c>
      <c r="H1193" s="2">
        <f>ROUND(_xlfn.XLOOKUP(A1193,AE!A:A,AE!B:B,0)/7,1)</f>
        <v>8.6999999999999993</v>
      </c>
      <c r="I1193" s="2" t="str">
        <f>_xlfn.XLOOKUP(A1193,SWFTX邮编覆盖!A:A,SWFTX邮编覆盖!B:B,"否")</f>
        <v>是</v>
      </c>
      <c r="J1193" s="2" t="str">
        <f>_xlfn.XLOOKUP(A1193,YW邮编覆盖!A:A,YW邮编覆盖!B:B,"否")</f>
        <v>是</v>
      </c>
    </row>
    <row r="1194" spans="1:10" hidden="1">
      <c r="A1194" s="3">
        <v>94618</v>
      </c>
      <c r="B1194" s="1" t="s">
        <v>105</v>
      </c>
      <c r="C1194" s="2" t="str">
        <f>_xlfn.XLOOKUP(B1194,线路DSP对应!A:A,线路DSP对应!B:B)</f>
        <v>STA_SFO_SDG</v>
      </c>
      <c r="D1194" s="4" t="s">
        <v>154</v>
      </c>
      <c r="E1194" s="2" t="str">
        <f>_xlfn.XLOOKUP(A1194,转单情况!A:A,转单情况!B:B)</f>
        <v>否</v>
      </c>
      <c r="G1194" s="28">
        <f>ROUND(_xlfn.XLOOKUP(A1194,全量!A:A,全量!B:B,0)/7,1)</f>
        <v>4.0999999999999996</v>
      </c>
      <c r="H1194" s="2">
        <f>ROUND(_xlfn.XLOOKUP(A1194,AE!A:A,AE!B:B,0)/7,1)</f>
        <v>4</v>
      </c>
      <c r="I1194" s="2" t="str">
        <f>_xlfn.XLOOKUP(A1194,SWFTX邮编覆盖!A:A,SWFTX邮编覆盖!B:B,"否")</f>
        <v>是</v>
      </c>
      <c r="J1194" s="2" t="str">
        <f>_xlfn.XLOOKUP(A1194,YW邮编覆盖!A:A,YW邮编覆盖!B:B,"否")</f>
        <v>是</v>
      </c>
    </row>
    <row r="1195" spans="1:10" hidden="1">
      <c r="A1195" s="3">
        <v>94613</v>
      </c>
      <c r="B1195" s="1" t="s">
        <v>105</v>
      </c>
      <c r="C1195" s="2" t="str">
        <f>_xlfn.XLOOKUP(B1195,线路DSP对应!A:A,线路DSP对应!B:B)</f>
        <v>STA_SFO_SDG</v>
      </c>
      <c r="D1195" s="4" t="s">
        <v>154</v>
      </c>
      <c r="E1195" s="2" t="str">
        <f>_xlfn.XLOOKUP(A1195,转单情况!A:A,转单情况!B:B)</f>
        <v>SW</v>
      </c>
      <c r="G1195" s="28">
        <f>ROUND(_xlfn.XLOOKUP(A1195,全量!A:A,全量!B:B,0)/7,1)</f>
        <v>0</v>
      </c>
      <c r="H1195" s="2">
        <f>ROUND(_xlfn.XLOOKUP(A1195,AE!A:A,AE!B:B,0)/7,1)</f>
        <v>0</v>
      </c>
      <c r="I1195" s="2" t="str">
        <f>_xlfn.XLOOKUP(A1195,SWFTX邮编覆盖!A:A,SWFTX邮编覆盖!B:B,"否")</f>
        <v>是</v>
      </c>
      <c r="J1195" s="2" t="str">
        <f>_xlfn.XLOOKUP(A1195,YW邮编覆盖!A:A,YW邮编覆盖!B:B,"否")</f>
        <v>是</v>
      </c>
    </row>
    <row r="1196" spans="1:10" hidden="1">
      <c r="A1196" s="3">
        <v>94621</v>
      </c>
      <c r="B1196" s="1" t="s">
        <v>105</v>
      </c>
      <c r="C1196" s="2" t="str">
        <f>_xlfn.XLOOKUP(B1196,线路DSP对应!A:A,线路DSP对应!B:B)</f>
        <v>STA_SFO_SDG</v>
      </c>
      <c r="D1196" s="4" t="s">
        <v>154</v>
      </c>
      <c r="E1196" s="2" t="str">
        <f>_xlfn.XLOOKUP(A1196,转单情况!A:A,转单情况!B:B)</f>
        <v>否</v>
      </c>
      <c r="G1196" s="28">
        <f>ROUND(_xlfn.XLOOKUP(A1196,全量!A:A,全量!B:B,0)/7,1)</f>
        <v>5.9</v>
      </c>
      <c r="H1196" s="2">
        <f>ROUND(_xlfn.XLOOKUP(A1196,AE!A:A,AE!B:B,0)/7,1)</f>
        <v>5.3</v>
      </c>
      <c r="I1196" s="2" t="str">
        <f>_xlfn.XLOOKUP(A1196,SWFTX邮编覆盖!A:A,SWFTX邮编覆盖!B:B,"否")</f>
        <v>是</v>
      </c>
      <c r="J1196" s="2" t="str">
        <f>_xlfn.XLOOKUP(A1196,YW邮编覆盖!A:A,YW邮编覆盖!B:B,"否")</f>
        <v>是</v>
      </c>
    </row>
    <row r="1197" spans="1:10" hidden="1">
      <c r="A1197" s="3">
        <v>94603</v>
      </c>
      <c r="B1197" s="1" t="s">
        <v>105</v>
      </c>
      <c r="C1197" s="2" t="str">
        <f>_xlfn.XLOOKUP(B1197,线路DSP对应!A:A,线路DSP对应!B:B)</f>
        <v>STA_SFO_SDG</v>
      </c>
      <c r="D1197" s="4" t="s">
        <v>154</v>
      </c>
      <c r="E1197" s="2" t="str">
        <f>_xlfn.XLOOKUP(A1197,转单情况!A:A,转单情况!B:B)</f>
        <v>否</v>
      </c>
      <c r="G1197" s="28">
        <f>ROUND(_xlfn.XLOOKUP(A1197,全量!A:A,全量!B:B,0)/7,1)</f>
        <v>5.3</v>
      </c>
      <c r="H1197" s="2">
        <f>ROUND(_xlfn.XLOOKUP(A1197,AE!A:A,AE!B:B,0)/7,1)</f>
        <v>4.9000000000000004</v>
      </c>
      <c r="I1197" s="2" t="str">
        <f>_xlfn.XLOOKUP(A1197,SWFTX邮编覆盖!A:A,SWFTX邮编覆盖!B:B,"否")</f>
        <v>是</v>
      </c>
      <c r="J1197" s="2" t="str">
        <f>_xlfn.XLOOKUP(A1197,YW邮编覆盖!A:A,YW邮编覆盖!B:B,"否")</f>
        <v>是</v>
      </c>
    </row>
    <row r="1198" spans="1:10" hidden="1">
      <c r="A1198" s="3">
        <v>94605</v>
      </c>
      <c r="B1198" s="1" t="s">
        <v>105</v>
      </c>
      <c r="C1198" s="2" t="str">
        <f>_xlfn.XLOOKUP(B1198,线路DSP对应!A:A,线路DSP对应!B:B)</f>
        <v>STA_SFO_SDG</v>
      </c>
      <c r="D1198" s="4" t="s">
        <v>154</v>
      </c>
      <c r="E1198" s="2" t="str">
        <f>_xlfn.XLOOKUP(A1198,转单情况!A:A,转单情况!B:B)</f>
        <v>否</v>
      </c>
      <c r="G1198" s="28">
        <f>ROUND(_xlfn.XLOOKUP(A1198,全量!A:A,全量!B:B,0)/7,1)</f>
        <v>9.9</v>
      </c>
      <c r="H1198" s="2">
        <f>ROUND(_xlfn.XLOOKUP(A1198,AE!A:A,AE!B:B,0)/7,1)</f>
        <v>9.3000000000000007</v>
      </c>
      <c r="I1198" s="2" t="str">
        <f>_xlfn.XLOOKUP(A1198,SWFTX邮编覆盖!A:A,SWFTX邮编覆盖!B:B,"否")</f>
        <v>是</v>
      </c>
      <c r="J1198" s="2" t="str">
        <f>_xlfn.XLOOKUP(A1198,YW邮编覆盖!A:A,YW邮编覆盖!B:B,"否")</f>
        <v>是</v>
      </c>
    </row>
    <row r="1199" spans="1:10" hidden="1">
      <c r="A1199" s="3">
        <v>94601</v>
      </c>
      <c r="B1199" s="1" t="s">
        <v>105</v>
      </c>
      <c r="C1199" s="2" t="str">
        <f>_xlfn.XLOOKUP(B1199,线路DSP对应!A:A,线路DSP对应!B:B)</f>
        <v>STA_SFO_SDG</v>
      </c>
      <c r="D1199" s="4" t="s">
        <v>154</v>
      </c>
      <c r="E1199" s="2" t="str">
        <f>_xlfn.XLOOKUP(A1199,转单情况!A:A,转单情况!B:B)</f>
        <v>否</v>
      </c>
      <c r="G1199" s="28">
        <f>ROUND(_xlfn.XLOOKUP(A1199,全量!A:A,全量!B:B,0)/7,1)</f>
        <v>9.6</v>
      </c>
      <c r="H1199" s="2">
        <f>ROUND(_xlfn.XLOOKUP(A1199,AE!A:A,AE!B:B,0)/7,1)</f>
        <v>9</v>
      </c>
      <c r="I1199" s="2" t="str">
        <f>_xlfn.XLOOKUP(A1199,SWFTX邮编覆盖!A:A,SWFTX邮编覆盖!B:B,"否")</f>
        <v>是</v>
      </c>
      <c r="J1199" s="2" t="str">
        <f>_xlfn.XLOOKUP(A1199,YW邮编覆盖!A:A,YW邮编覆盖!B:B,"否")</f>
        <v>是</v>
      </c>
    </row>
    <row r="1200" spans="1:10" hidden="1">
      <c r="A1200" s="3">
        <v>94602</v>
      </c>
      <c r="B1200" s="1" t="s">
        <v>105</v>
      </c>
      <c r="C1200" s="2" t="str">
        <f>_xlfn.XLOOKUP(B1200,线路DSP对应!A:A,线路DSP对应!B:B)</f>
        <v>STA_SFO_SDG</v>
      </c>
      <c r="D1200" s="4" t="s">
        <v>154</v>
      </c>
      <c r="E1200" s="2" t="str">
        <f>_xlfn.XLOOKUP(A1200,转单情况!A:A,转单情况!B:B)</f>
        <v>否</v>
      </c>
      <c r="G1200" s="28">
        <f>ROUND(_xlfn.XLOOKUP(A1200,全量!A:A,全量!B:B,0)/7,1)</f>
        <v>5.9</v>
      </c>
      <c r="H1200" s="2">
        <f>ROUND(_xlfn.XLOOKUP(A1200,AE!A:A,AE!B:B,0)/7,1)</f>
        <v>5.6</v>
      </c>
      <c r="I1200" s="2" t="str">
        <f>_xlfn.XLOOKUP(A1200,SWFTX邮编覆盖!A:A,SWFTX邮编覆盖!B:B,"否")</f>
        <v>是</v>
      </c>
      <c r="J1200" s="2" t="str">
        <f>_xlfn.XLOOKUP(A1200,YW邮编覆盖!A:A,YW邮编覆盖!B:B,"否")</f>
        <v>是</v>
      </c>
    </row>
    <row r="1201" spans="1:10" hidden="1">
      <c r="A1201" s="3">
        <v>94502</v>
      </c>
      <c r="B1201" s="1" t="s">
        <v>105</v>
      </c>
      <c r="C1201" s="2" t="str">
        <f>_xlfn.XLOOKUP(B1201,线路DSP对应!A:A,线路DSP对应!B:B)</f>
        <v>STA_SFO_SDG</v>
      </c>
      <c r="D1201" s="4" t="s">
        <v>154</v>
      </c>
      <c r="E1201" s="2" t="str">
        <f>_xlfn.XLOOKUP(A1201,转单情况!A:A,转单情况!B:B)</f>
        <v>否</v>
      </c>
      <c r="G1201" s="28">
        <f>ROUND(_xlfn.XLOOKUP(A1201,全量!A:A,全量!B:B,0)/7,1)</f>
        <v>5.4</v>
      </c>
      <c r="H1201" s="2">
        <f>ROUND(_xlfn.XLOOKUP(A1201,AE!A:A,AE!B:B,0)/7,1)</f>
        <v>3.9</v>
      </c>
      <c r="I1201" s="2" t="str">
        <f>_xlfn.XLOOKUP(A1201,SWFTX邮编覆盖!A:A,SWFTX邮编覆盖!B:B,"否")</f>
        <v>否</v>
      </c>
      <c r="J1201" s="2" t="str">
        <f>_xlfn.XLOOKUP(A1201,YW邮编覆盖!A:A,YW邮编覆盖!B:B,"否")</f>
        <v>否</v>
      </c>
    </row>
    <row r="1202" spans="1:10">
      <c r="A1202" s="3">
        <v>94501</v>
      </c>
      <c r="B1202" s="1" t="s">
        <v>105</v>
      </c>
      <c r="C1202" s="2" t="str">
        <f>_xlfn.XLOOKUP(B1202,线路DSP对应!A:A,线路DSP对应!B:B)</f>
        <v>STA_SFO_SDG</v>
      </c>
      <c r="D1202" s="4" t="s">
        <v>154</v>
      </c>
      <c r="E1202" s="2" t="str">
        <f>_xlfn.XLOOKUP(A1202,转单情况!A:A,转单情况!B:B)</f>
        <v>否</v>
      </c>
      <c r="G1202" s="28">
        <f>ROUND(_xlfn.XLOOKUP(A1202,全量!A:A,全量!B:B,0)/7,1)</f>
        <v>23</v>
      </c>
      <c r="H1202" s="2">
        <f>ROUND(_xlfn.XLOOKUP(A1202,AE!A:A,AE!B:B,0)/7,1)</f>
        <v>18.7</v>
      </c>
      <c r="I1202" s="2" t="str">
        <f>_xlfn.XLOOKUP(A1202,SWFTX邮编覆盖!A:A,SWFTX邮编覆盖!B:B,"否")</f>
        <v>否</v>
      </c>
      <c r="J1202" s="2" t="str">
        <f>_xlfn.XLOOKUP(A1202,YW邮编覆盖!A:A,YW邮编覆盖!B:B,"否")</f>
        <v>是</v>
      </c>
    </row>
    <row r="1203" spans="1:10" hidden="1">
      <c r="A1203" s="3">
        <v>94606</v>
      </c>
      <c r="B1203" s="1" t="s">
        <v>105</v>
      </c>
      <c r="C1203" s="2" t="str">
        <f>_xlfn.XLOOKUP(B1203,线路DSP对应!A:A,线路DSP对应!B:B)</f>
        <v>STA_SFO_SDG</v>
      </c>
      <c r="D1203" s="4" t="s">
        <v>154</v>
      </c>
      <c r="E1203" s="2" t="str">
        <f>_xlfn.XLOOKUP(A1203,转单情况!A:A,转单情况!B:B)</f>
        <v>否</v>
      </c>
      <c r="G1203" s="28">
        <f>ROUND(_xlfn.XLOOKUP(A1203,全量!A:A,全量!B:B,0)/7,1)</f>
        <v>11.3</v>
      </c>
      <c r="H1203" s="2">
        <f>ROUND(_xlfn.XLOOKUP(A1203,AE!A:A,AE!B:B,0)/7,1)</f>
        <v>11</v>
      </c>
      <c r="I1203" s="2" t="str">
        <f>_xlfn.XLOOKUP(A1203,SWFTX邮编覆盖!A:A,SWFTX邮编覆盖!B:B,"否")</f>
        <v>是</v>
      </c>
      <c r="J1203" s="2" t="str">
        <f>_xlfn.XLOOKUP(A1203,YW邮编覆盖!A:A,YW邮编覆盖!B:B,"否")</f>
        <v>是</v>
      </c>
    </row>
    <row r="1204" spans="1:10" hidden="1">
      <c r="A1204" s="3">
        <v>94610</v>
      </c>
      <c r="B1204" s="1" t="s">
        <v>105</v>
      </c>
      <c r="C1204" s="2" t="str">
        <f>_xlfn.XLOOKUP(B1204,线路DSP对应!A:A,线路DSP对应!B:B)</f>
        <v>STA_SFO_SDG</v>
      </c>
      <c r="D1204" s="4" t="s">
        <v>154</v>
      </c>
      <c r="E1204" s="2" t="str">
        <f>_xlfn.XLOOKUP(A1204,转单情况!A:A,转单情况!B:B)</f>
        <v>否</v>
      </c>
      <c r="G1204" s="28">
        <f>ROUND(_xlfn.XLOOKUP(A1204,全量!A:A,全量!B:B,0)/7,1)</f>
        <v>6.7</v>
      </c>
      <c r="H1204" s="2">
        <f>ROUND(_xlfn.XLOOKUP(A1204,AE!A:A,AE!B:B,0)/7,1)</f>
        <v>6.4</v>
      </c>
      <c r="I1204" s="2" t="str">
        <f>_xlfn.XLOOKUP(A1204,SWFTX邮编覆盖!A:A,SWFTX邮编覆盖!B:B,"否")</f>
        <v>是</v>
      </c>
      <c r="J1204" s="2" t="str">
        <f>_xlfn.XLOOKUP(A1204,YW邮编覆盖!A:A,YW邮编覆盖!B:B,"否")</f>
        <v>是</v>
      </c>
    </row>
    <row r="1205" spans="1:10" hidden="1">
      <c r="A1205" s="3">
        <v>94612</v>
      </c>
      <c r="B1205" s="1" t="s">
        <v>105</v>
      </c>
      <c r="C1205" s="2" t="str">
        <f>_xlfn.XLOOKUP(B1205,线路DSP对应!A:A,线路DSP对应!B:B)</f>
        <v>STA_SFO_SDG</v>
      </c>
      <c r="D1205" s="4" t="s">
        <v>154</v>
      </c>
      <c r="E1205" s="2" t="str">
        <f>_xlfn.XLOOKUP(A1205,转单情况!A:A,转单情况!B:B)</f>
        <v>否</v>
      </c>
      <c r="G1205" s="28">
        <f>ROUND(_xlfn.XLOOKUP(A1205,全量!A:A,全量!B:B,0)/7,1)</f>
        <v>14.6</v>
      </c>
      <c r="H1205" s="2">
        <f>ROUND(_xlfn.XLOOKUP(A1205,AE!A:A,AE!B:B,0)/7,1)</f>
        <v>7.7</v>
      </c>
      <c r="I1205" s="2" t="str">
        <f>_xlfn.XLOOKUP(A1205,SWFTX邮编覆盖!A:A,SWFTX邮编覆盖!B:B,"否")</f>
        <v>是</v>
      </c>
      <c r="J1205" s="2" t="str">
        <f>_xlfn.XLOOKUP(A1205,YW邮编覆盖!A:A,YW邮编覆盖!B:B,"否")</f>
        <v>否</v>
      </c>
    </row>
    <row r="1206" spans="1:10" hidden="1">
      <c r="A1206" s="3">
        <v>94607</v>
      </c>
      <c r="B1206" s="1" t="s">
        <v>105</v>
      </c>
      <c r="C1206" s="2" t="str">
        <f>_xlfn.XLOOKUP(B1206,线路DSP对应!A:A,线路DSP对应!B:B)</f>
        <v>STA_SFO_SDG</v>
      </c>
      <c r="D1206" s="4" t="s">
        <v>154</v>
      </c>
      <c r="E1206" s="2" t="str">
        <f>_xlfn.XLOOKUP(A1206,转单情况!A:A,转单情况!B:B)</f>
        <v>否</v>
      </c>
      <c r="G1206" s="28">
        <f>ROUND(_xlfn.XLOOKUP(A1206,全量!A:A,全量!B:B,0)/7,1)</f>
        <v>10.1</v>
      </c>
      <c r="H1206" s="2">
        <f>ROUND(_xlfn.XLOOKUP(A1206,AE!A:A,AE!B:B,0)/7,1)</f>
        <v>9.9</v>
      </c>
      <c r="I1206" s="2" t="str">
        <f>_xlfn.XLOOKUP(A1206,SWFTX邮编覆盖!A:A,SWFTX邮编覆盖!B:B,"否")</f>
        <v>是</v>
      </c>
      <c r="J1206" s="2" t="str">
        <f>_xlfn.XLOOKUP(A1206,YW邮编覆盖!A:A,YW邮编覆盖!B:B,"否")</f>
        <v>是</v>
      </c>
    </row>
    <row r="1207" spans="1:10" hidden="1">
      <c r="A1207" s="3">
        <v>94568</v>
      </c>
      <c r="B1207" s="1" t="s">
        <v>106</v>
      </c>
      <c r="C1207" s="2" t="str">
        <f>_xlfn.XLOOKUP(B1207,线路DSP对应!A:A,线路DSP对应!B:B)</f>
        <v>STA_SFO_MYS</v>
      </c>
      <c r="D1207" s="4" t="s">
        <v>154</v>
      </c>
      <c r="E1207" s="2" t="str">
        <f>_xlfn.XLOOKUP(A1207,转单情况!A:A,转单情况!B:B)</f>
        <v>否</v>
      </c>
      <c r="G1207" s="28">
        <f>ROUND(_xlfn.XLOOKUP(A1207,全量!A:A,全量!B:B,0)/7,1)</f>
        <v>17.600000000000001</v>
      </c>
      <c r="H1207" s="2">
        <f>ROUND(_xlfn.XLOOKUP(A1207,AE!A:A,AE!B:B,0)/7,1)</f>
        <v>16.100000000000001</v>
      </c>
      <c r="I1207" s="2" t="str">
        <f>_xlfn.XLOOKUP(A1207,SWFTX邮编覆盖!A:A,SWFTX邮编覆盖!B:B,"否")</f>
        <v>是</v>
      </c>
      <c r="J1207" s="2" t="str">
        <f>_xlfn.XLOOKUP(A1207,YW邮编覆盖!A:A,YW邮编覆盖!B:B,"否")</f>
        <v>是</v>
      </c>
    </row>
    <row r="1208" spans="1:10" hidden="1">
      <c r="A1208" s="3">
        <v>94582</v>
      </c>
      <c r="B1208" s="1" t="s">
        <v>106</v>
      </c>
      <c r="C1208" s="2" t="str">
        <f>_xlfn.XLOOKUP(B1208,线路DSP对应!A:A,线路DSP对应!B:B)</f>
        <v>STA_SFO_MYS</v>
      </c>
      <c r="D1208" s="4" t="s">
        <v>154</v>
      </c>
      <c r="E1208" s="2" t="str">
        <f>_xlfn.XLOOKUP(A1208,转单情况!A:A,转单情况!B:B)</f>
        <v>否</v>
      </c>
      <c r="G1208" s="28">
        <f>ROUND(_xlfn.XLOOKUP(A1208,全量!A:A,全量!B:B,0)/7,1)</f>
        <v>11.4</v>
      </c>
      <c r="H1208" s="2">
        <f>ROUND(_xlfn.XLOOKUP(A1208,AE!A:A,AE!B:B,0)/7,1)</f>
        <v>11</v>
      </c>
      <c r="I1208" s="2" t="str">
        <f>_xlfn.XLOOKUP(A1208,SWFTX邮编覆盖!A:A,SWFTX邮编覆盖!B:B,"否")</f>
        <v>是</v>
      </c>
      <c r="J1208" s="2" t="str">
        <f>_xlfn.XLOOKUP(A1208,YW邮编覆盖!A:A,YW邮编覆盖!B:B,"否")</f>
        <v>是</v>
      </c>
    </row>
    <row r="1209" spans="1:10" hidden="1">
      <c r="A1209" s="3">
        <v>94583</v>
      </c>
      <c r="B1209" s="1" t="s">
        <v>106</v>
      </c>
      <c r="C1209" s="2" t="str">
        <f>_xlfn.XLOOKUP(B1209,线路DSP对应!A:A,线路DSP对应!B:B)</f>
        <v>STA_SFO_MYS</v>
      </c>
      <c r="D1209" s="4" t="s">
        <v>154</v>
      </c>
      <c r="E1209" s="2" t="str">
        <f>_xlfn.XLOOKUP(A1209,转单情况!A:A,转单情况!B:B)</f>
        <v>否</v>
      </c>
      <c r="G1209" s="28">
        <f>ROUND(_xlfn.XLOOKUP(A1209,全量!A:A,全量!B:B,0)/7,1)</f>
        <v>9.3000000000000007</v>
      </c>
      <c r="H1209" s="2">
        <f>ROUND(_xlfn.XLOOKUP(A1209,AE!A:A,AE!B:B,0)/7,1)</f>
        <v>9.1</v>
      </c>
      <c r="I1209" s="2" t="str">
        <f>_xlfn.XLOOKUP(A1209,SWFTX邮编覆盖!A:A,SWFTX邮编覆盖!B:B,"否")</f>
        <v>是</v>
      </c>
      <c r="J1209" s="2" t="str">
        <f>_xlfn.XLOOKUP(A1209,YW邮编覆盖!A:A,YW邮编覆盖!B:B,"否")</f>
        <v>是</v>
      </c>
    </row>
    <row r="1210" spans="1:10" hidden="1">
      <c r="A1210" s="3">
        <v>94566</v>
      </c>
      <c r="B1210" s="1" t="s">
        <v>106</v>
      </c>
      <c r="C1210" s="2" t="str">
        <f>_xlfn.XLOOKUP(B1210,线路DSP对应!A:A,线路DSP对应!B:B)</f>
        <v>STA_SFO_MYS</v>
      </c>
      <c r="D1210" s="4" t="s">
        <v>154</v>
      </c>
      <c r="E1210" s="2" t="str">
        <f>_xlfn.XLOOKUP(A1210,转单情况!A:A,转单情况!B:B)</f>
        <v>否</v>
      </c>
      <c r="G1210" s="28">
        <f>ROUND(_xlfn.XLOOKUP(A1210,全量!A:A,全量!B:B,0)/7,1)</f>
        <v>8.6</v>
      </c>
      <c r="H1210" s="2">
        <f>ROUND(_xlfn.XLOOKUP(A1210,AE!A:A,AE!B:B,0)/7,1)</f>
        <v>8.3000000000000007</v>
      </c>
      <c r="I1210" s="2" t="str">
        <f>_xlfn.XLOOKUP(A1210,SWFTX邮编覆盖!A:A,SWFTX邮编覆盖!B:B,"否")</f>
        <v>是</v>
      </c>
      <c r="J1210" s="2" t="str">
        <f>_xlfn.XLOOKUP(A1210,YW邮编覆盖!A:A,YW邮编覆盖!B:B,"否")</f>
        <v>是</v>
      </c>
    </row>
    <row r="1211" spans="1:10" hidden="1">
      <c r="A1211" s="3">
        <v>94588</v>
      </c>
      <c r="B1211" s="1" t="s">
        <v>106</v>
      </c>
      <c r="C1211" s="2" t="str">
        <f>_xlfn.XLOOKUP(B1211,线路DSP对应!A:A,线路DSP对应!B:B)</f>
        <v>STA_SFO_MYS</v>
      </c>
      <c r="D1211" s="4" t="s">
        <v>154</v>
      </c>
      <c r="E1211" s="2" t="str">
        <f>_xlfn.XLOOKUP(A1211,转单情况!A:A,转单情况!B:B)</f>
        <v>否</v>
      </c>
      <c r="G1211" s="28">
        <f>ROUND(_xlfn.XLOOKUP(A1211,全量!A:A,全量!B:B,0)/7,1)</f>
        <v>6.9</v>
      </c>
      <c r="H1211" s="2">
        <f>ROUND(_xlfn.XLOOKUP(A1211,AE!A:A,AE!B:B,0)/7,1)</f>
        <v>6.7</v>
      </c>
      <c r="I1211" s="2" t="str">
        <f>_xlfn.XLOOKUP(A1211,SWFTX邮编覆盖!A:A,SWFTX邮编覆盖!B:B,"否")</f>
        <v>是</v>
      </c>
      <c r="J1211" s="2" t="str">
        <f>_xlfn.XLOOKUP(A1211,YW邮编覆盖!A:A,YW邮编覆盖!B:B,"否")</f>
        <v>是</v>
      </c>
    </row>
    <row r="1212" spans="1:10" hidden="1">
      <c r="A1212" s="3">
        <v>94550</v>
      </c>
      <c r="B1212" s="1" t="s">
        <v>106</v>
      </c>
      <c r="C1212" s="2" t="str">
        <f>_xlfn.XLOOKUP(B1212,线路DSP对应!A:A,线路DSP对应!B:B)</f>
        <v>STA_SFO_MYS</v>
      </c>
      <c r="D1212" s="4" t="s">
        <v>154</v>
      </c>
      <c r="E1212" s="2" t="str">
        <f>_xlfn.XLOOKUP(A1212,转单情况!A:A,转单情况!B:B)</f>
        <v>否</v>
      </c>
      <c r="G1212" s="28">
        <f>ROUND(_xlfn.XLOOKUP(A1212,全量!A:A,全量!B:B,0)/7,1)</f>
        <v>12.1</v>
      </c>
      <c r="H1212" s="2">
        <f>ROUND(_xlfn.XLOOKUP(A1212,AE!A:A,AE!B:B,0)/7,1)</f>
        <v>11.9</v>
      </c>
      <c r="I1212" s="2" t="str">
        <f>_xlfn.XLOOKUP(A1212,SWFTX邮编覆盖!A:A,SWFTX邮编覆盖!B:B,"否")</f>
        <v>是</v>
      </c>
      <c r="J1212" s="2" t="str">
        <f>_xlfn.XLOOKUP(A1212,YW邮编覆盖!A:A,YW邮编覆盖!B:B,"否")</f>
        <v>是</v>
      </c>
    </row>
    <row r="1213" spans="1:10" hidden="1">
      <c r="A1213" s="3">
        <v>94551</v>
      </c>
      <c r="B1213" s="1" t="s">
        <v>106</v>
      </c>
      <c r="C1213" s="2" t="str">
        <f>_xlfn.XLOOKUP(B1213,线路DSP对应!A:A,线路DSP对应!B:B)</f>
        <v>STA_SFO_MYS</v>
      </c>
      <c r="D1213" s="4" t="s">
        <v>154</v>
      </c>
      <c r="E1213" s="2" t="str">
        <f>_xlfn.XLOOKUP(A1213,转单情况!A:A,转单情况!B:B)</f>
        <v>否</v>
      </c>
      <c r="G1213" s="28">
        <f>ROUND(_xlfn.XLOOKUP(A1213,全量!A:A,全量!B:B,0)/7,1)</f>
        <v>7.1</v>
      </c>
      <c r="H1213" s="2">
        <f>ROUND(_xlfn.XLOOKUP(A1213,AE!A:A,AE!B:B,0)/7,1)</f>
        <v>6.4</v>
      </c>
      <c r="I1213" s="2" t="str">
        <f>_xlfn.XLOOKUP(A1213,SWFTX邮编覆盖!A:A,SWFTX邮编覆盖!B:B,"否")</f>
        <v>是</v>
      </c>
      <c r="J1213" s="2" t="str">
        <f>_xlfn.XLOOKUP(A1213,YW邮编覆盖!A:A,YW邮编覆盖!B:B,"否")</f>
        <v>是</v>
      </c>
    </row>
    <row r="1214" spans="1:10" hidden="1">
      <c r="A1214" s="3">
        <v>94577</v>
      </c>
      <c r="B1214" s="1" t="s">
        <v>107</v>
      </c>
      <c r="C1214" s="2" t="str">
        <f>_xlfn.XLOOKUP(B1214,线路DSP对应!A:A,线路DSP对应!B:B)</f>
        <v>STA_SFO_SDG</v>
      </c>
      <c r="D1214" s="4" t="s">
        <v>154</v>
      </c>
      <c r="E1214" s="2" t="str">
        <f>_xlfn.XLOOKUP(A1214,转单情况!A:A,转单情况!B:B)</f>
        <v>否</v>
      </c>
      <c r="G1214" s="28">
        <f>ROUND(_xlfn.XLOOKUP(A1214,全量!A:A,全量!B:B,0)/7,1)</f>
        <v>12.3</v>
      </c>
      <c r="H1214" s="2">
        <f>ROUND(_xlfn.XLOOKUP(A1214,AE!A:A,AE!B:B,0)/7,1)</f>
        <v>11.1</v>
      </c>
      <c r="I1214" s="2" t="str">
        <f>_xlfn.XLOOKUP(A1214,SWFTX邮编覆盖!A:A,SWFTX邮编覆盖!B:B,"否")</f>
        <v>是</v>
      </c>
      <c r="J1214" s="2" t="str">
        <f>_xlfn.XLOOKUP(A1214,YW邮编覆盖!A:A,YW邮编覆盖!B:B,"否")</f>
        <v>是</v>
      </c>
    </row>
    <row r="1215" spans="1:10" hidden="1">
      <c r="A1215" s="3">
        <v>94578</v>
      </c>
      <c r="B1215" s="1" t="s">
        <v>107</v>
      </c>
      <c r="C1215" s="2" t="str">
        <f>_xlfn.XLOOKUP(B1215,线路DSP对应!A:A,线路DSP对应!B:B)</f>
        <v>STA_SFO_SDG</v>
      </c>
      <c r="D1215" s="4" t="s">
        <v>154</v>
      </c>
      <c r="E1215" s="2" t="str">
        <f>_xlfn.XLOOKUP(A1215,转单情况!A:A,转单情况!B:B)</f>
        <v>否</v>
      </c>
      <c r="G1215" s="28">
        <f>ROUND(_xlfn.XLOOKUP(A1215,全量!A:A,全量!B:B,0)/7,1)</f>
        <v>11.6</v>
      </c>
      <c r="H1215" s="2">
        <f>ROUND(_xlfn.XLOOKUP(A1215,AE!A:A,AE!B:B,0)/7,1)</f>
        <v>11.4</v>
      </c>
      <c r="I1215" s="2" t="str">
        <f>_xlfn.XLOOKUP(A1215,SWFTX邮编覆盖!A:A,SWFTX邮编覆盖!B:B,"否")</f>
        <v>是</v>
      </c>
      <c r="J1215" s="2" t="str">
        <f>_xlfn.XLOOKUP(A1215,YW邮编覆盖!A:A,YW邮编覆盖!B:B,"否")</f>
        <v>是</v>
      </c>
    </row>
    <row r="1216" spans="1:10" hidden="1">
      <c r="A1216" s="3">
        <v>94579</v>
      </c>
      <c r="B1216" s="1" t="s">
        <v>107</v>
      </c>
      <c r="C1216" s="2" t="str">
        <f>_xlfn.XLOOKUP(B1216,线路DSP对应!A:A,线路DSP对应!B:B)</f>
        <v>STA_SFO_SDG</v>
      </c>
      <c r="D1216" s="4" t="s">
        <v>154</v>
      </c>
      <c r="E1216" s="2" t="str">
        <f>_xlfn.XLOOKUP(A1216,转单情况!A:A,转单情况!B:B)</f>
        <v>否</v>
      </c>
      <c r="G1216" s="28">
        <f>ROUND(_xlfn.XLOOKUP(A1216,全量!A:A,全量!B:B,0)/7,1)</f>
        <v>9.3000000000000007</v>
      </c>
      <c r="H1216" s="2">
        <f>ROUND(_xlfn.XLOOKUP(A1216,AE!A:A,AE!B:B,0)/7,1)</f>
        <v>9</v>
      </c>
      <c r="I1216" s="2" t="str">
        <f>_xlfn.XLOOKUP(A1216,SWFTX邮编覆盖!A:A,SWFTX邮编覆盖!B:B,"否")</f>
        <v>是</v>
      </c>
      <c r="J1216" s="2" t="str">
        <f>_xlfn.XLOOKUP(A1216,YW邮编覆盖!A:A,YW邮编覆盖!B:B,"否")</f>
        <v>是</v>
      </c>
    </row>
    <row r="1217" spans="1:10" hidden="1">
      <c r="A1217" s="3">
        <v>94580</v>
      </c>
      <c r="B1217" s="1" t="s">
        <v>107</v>
      </c>
      <c r="C1217" s="2" t="str">
        <f>_xlfn.XLOOKUP(B1217,线路DSP对应!A:A,线路DSP对应!B:B)</f>
        <v>STA_SFO_SDG</v>
      </c>
      <c r="D1217" s="4" t="s">
        <v>154</v>
      </c>
      <c r="E1217" s="2" t="str">
        <f>_xlfn.XLOOKUP(A1217,转单情况!A:A,转单情况!B:B)</f>
        <v>否</v>
      </c>
      <c r="G1217" s="28">
        <f>ROUND(_xlfn.XLOOKUP(A1217,全量!A:A,全量!B:B,0)/7,1)</f>
        <v>12.3</v>
      </c>
      <c r="H1217" s="2">
        <f>ROUND(_xlfn.XLOOKUP(A1217,AE!A:A,AE!B:B,0)/7,1)</f>
        <v>11.6</v>
      </c>
      <c r="I1217" s="2" t="str">
        <f>_xlfn.XLOOKUP(A1217,SWFTX邮编覆盖!A:A,SWFTX邮编覆盖!B:B,"否")</f>
        <v>是</v>
      </c>
      <c r="J1217" s="2" t="str">
        <f>_xlfn.XLOOKUP(A1217,YW邮编覆盖!A:A,YW邮编覆盖!B:B,"否")</f>
        <v>是</v>
      </c>
    </row>
    <row r="1218" spans="1:10" hidden="1">
      <c r="A1218" s="3">
        <v>94546</v>
      </c>
      <c r="B1218" s="1" t="s">
        <v>107</v>
      </c>
      <c r="C1218" s="2" t="str">
        <f>_xlfn.XLOOKUP(B1218,线路DSP对应!A:A,线路DSP对应!B:B)</f>
        <v>STA_SFO_SDG</v>
      </c>
      <c r="D1218" s="4" t="s">
        <v>154</v>
      </c>
      <c r="E1218" s="2" t="str">
        <f>_xlfn.XLOOKUP(A1218,转单情况!A:A,转单情况!B:B)</f>
        <v>否</v>
      </c>
      <c r="G1218" s="28">
        <f>ROUND(_xlfn.XLOOKUP(A1218,全量!A:A,全量!B:B,0)/7,1)</f>
        <v>15.3</v>
      </c>
      <c r="H1218" s="2">
        <f>ROUND(_xlfn.XLOOKUP(A1218,AE!A:A,AE!B:B,0)/7,1)</f>
        <v>14.9</v>
      </c>
      <c r="I1218" s="2" t="str">
        <f>_xlfn.XLOOKUP(A1218,SWFTX邮编覆盖!A:A,SWFTX邮编覆盖!B:B,"否")</f>
        <v>是</v>
      </c>
      <c r="J1218" s="2" t="str">
        <f>_xlfn.XLOOKUP(A1218,YW邮编覆盖!A:A,YW邮编覆盖!B:B,"否")</f>
        <v>是</v>
      </c>
    </row>
    <row r="1219" spans="1:10" hidden="1">
      <c r="A1219" s="3">
        <v>94552</v>
      </c>
      <c r="B1219" s="1" t="s">
        <v>107</v>
      </c>
      <c r="C1219" s="2" t="str">
        <f>_xlfn.XLOOKUP(B1219,线路DSP对应!A:A,线路DSP对应!B:B)</f>
        <v>STA_SFO_SDG</v>
      </c>
      <c r="D1219" s="4" t="s">
        <v>154</v>
      </c>
      <c r="E1219" s="2" t="str">
        <f>_xlfn.XLOOKUP(A1219,转单情况!A:A,转单情况!B:B)</f>
        <v>SW</v>
      </c>
      <c r="F1219" s="29"/>
      <c r="G1219" s="28">
        <f>ROUND(_xlfn.XLOOKUP(A1219,全量!A:A,全量!B:B,0)/7,1)</f>
        <v>4.0999999999999996</v>
      </c>
      <c r="H1219" s="2">
        <f>ROUND(_xlfn.XLOOKUP(A1219,AE!A:A,AE!B:B,0)/7,1)</f>
        <v>4</v>
      </c>
      <c r="I1219" s="2" t="str">
        <f>_xlfn.XLOOKUP(A1219,SWFTX邮编覆盖!A:A,SWFTX邮编覆盖!B:B,"否")</f>
        <v>是</v>
      </c>
      <c r="J1219" s="2" t="str">
        <f>_xlfn.XLOOKUP(A1219,YW邮编覆盖!A:A,YW邮编覆盖!B:B,"否")</f>
        <v>否</v>
      </c>
    </row>
    <row r="1220" spans="1:10" hidden="1">
      <c r="A1220" s="3">
        <v>95066</v>
      </c>
      <c r="B1220" s="1" t="s">
        <v>108</v>
      </c>
      <c r="C1220" s="2" t="str">
        <f>_xlfn.XLOOKUP(B1220,线路DSP对应!A:A,线路DSP对应!B:B)</f>
        <v>STA_SFO_RR</v>
      </c>
      <c r="D1220" s="4" t="s">
        <v>154</v>
      </c>
      <c r="E1220" s="2" t="str">
        <f>_xlfn.XLOOKUP(A1220,转单情况!A:A,转单情况!B:B)</f>
        <v>否</v>
      </c>
      <c r="G1220" s="28">
        <f>ROUND(_xlfn.XLOOKUP(A1220,全量!A:A,全量!B:B,0)/7,1)</f>
        <v>10.7</v>
      </c>
      <c r="H1220" s="2">
        <f>ROUND(_xlfn.XLOOKUP(A1220,AE!A:A,AE!B:B,0)/7,1)</f>
        <v>3</v>
      </c>
      <c r="I1220" s="2" t="str">
        <f>_xlfn.XLOOKUP(A1220,SWFTX邮编覆盖!A:A,SWFTX邮编覆盖!B:B,"否")</f>
        <v>否</v>
      </c>
      <c r="J1220" s="2" t="str">
        <f>_xlfn.XLOOKUP(A1220,YW邮编覆盖!A:A,YW邮编覆盖!B:B,"否")</f>
        <v>否</v>
      </c>
    </row>
    <row r="1221" spans="1:10" hidden="1">
      <c r="A1221" s="3">
        <v>95018</v>
      </c>
      <c r="B1221" s="1" t="s">
        <v>108</v>
      </c>
      <c r="C1221" s="2" t="str">
        <f>_xlfn.XLOOKUP(B1221,线路DSP对应!A:A,线路DSP对应!B:B)</f>
        <v>STA_SFO_RR</v>
      </c>
      <c r="D1221" s="4" t="s">
        <v>154</v>
      </c>
      <c r="E1221" s="2" t="str">
        <f>_xlfn.XLOOKUP(A1221,转单情况!A:A,转单情况!B:B)</f>
        <v>否</v>
      </c>
      <c r="G1221" s="28">
        <f>ROUND(_xlfn.XLOOKUP(A1221,全量!A:A,全量!B:B,0)/7,1)</f>
        <v>2.4</v>
      </c>
      <c r="H1221" s="2">
        <f>ROUND(_xlfn.XLOOKUP(A1221,AE!A:A,AE!B:B,0)/7,1)</f>
        <v>1.4</v>
      </c>
      <c r="I1221" s="2" t="str">
        <f>_xlfn.XLOOKUP(A1221,SWFTX邮编覆盖!A:A,SWFTX邮编覆盖!B:B,"否")</f>
        <v>否</v>
      </c>
      <c r="J1221" s="2" t="str">
        <f>_xlfn.XLOOKUP(A1221,YW邮编覆盖!A:A,YW邮编覆盖!B:B,"否")</f>
        <v>否</v>
      </c>
    </row>
    <row r="1222" spans="1:10" hidden="1">
      <c r="A1222" s="3">
        <v>95005</v>
      </c>
      <c r="B1222" s="1" t="s">
        <v>108</v>
      </c>
      <c r="C1222" s="2" t="str">
        <f>_xlfn.XLOOKUP(B1222,线路DSP对应!A:A,线路DSP对应!B:B)</f>
        <v>STA_SFO_RR</v>
      </c>
      <c r="D1222" s="4" t="s">
        <v>154</v>
      </c>
      <c r="E1222" s="2" t="str">
        <f>_xlfn.XLOOKUP(A1222,转单情况!A:A,转单情况!B:B)</f>
        <v>否</v>
      </c>
      <c r="G1222" s="28">
        <f>ROUND(_xlfn.XLOOKUP(A1222,全量!A:A,全量!B:B,0)/7,1)</f>
        <v>3.7</v>
      </c>
      <c r="H1222" s="2">
        <f>ROUND(_xlfn.XLOOKUP(A1222,AE!A:A,AE!B:B,0)/7,1)</f>
        <v>2.1</v>
      </c>
      <c r="I1222" s="2" t="str">
        <f>_xlfn.XLOOKUP(A1222,SWFTX邮编覆盖!A:A,SWFTX邮编覆盖!B:B,"否")</f>
        <v>否</v>
      </c>
      <c r="J1222" s="2" t="str">
        <f>_xlfn.XLOOKUP(A1222,YW邮编覆盖!A:A,YW邮编覆盖!B:B,"否")</f>
        <v>否</v>
      </c>
    </row>
    <row r="1223" spans="1:10" hidden="1">
      <c r="A1223" s="3">
        <v>95065</v>
      </c>
      <c r="B1223" s="1" t="s">
        <v>108</v>
      </c>
      <c r="C1223" s="2" t="str">
        <f>_xlfn.XLOOKUP(B1223,线路DSP对应!A:A,线路DSP对应!B:B)</f>
        <v>STA_SFO_RR</v>
      </c>
      <c r="D1223" s="4" t="s">
        <v>154</v>
      </c>
      <c r="E1223" s="2" t="str">
        <f>_xlfn.XLOOKUP(A1223,转单情况!A:A,转单情况!B:B)</f>
        <v>否</v>
      </c>
      <c r="G1223" s="28">
        <f>ROUND(_xlfn.XLOOKUP(A1223,全量!A:A,全量!B:B,0)/7,1)</f>
        <v>3.1</v>
      </c>
      <c r="H1223" s="2">
        <f>ROUND(_xlfn.XLOOKUP(A1223,AE!A:A,AE!B:B,0)/7,1)</f>
        <v>2.2999999999999998</v>
      </c>
      <c r="I1223" s="2" t="str">
        <f>_xlfn.XLOOKUP(A1223,SWFTX邮编覆盖!A:A,SWFTX邮编覆盖!B:B,"否")</f>
        <v>否</v>
      </c>
      <c r="J1223" s="2" t="str">
        <f>_xlfn.XLOOKUP(A1223,YW邮编覆盖!A:A,YW邮编覆盖!B:B,"否")</f>
        <v>否</v>
      </c>
    </row>
    <row r="1224" spans="1:10" hidden="1">
      <c r="A1224" s="3">
        <v>95064</v>
      </c>
      <c r="B1224" s="1" t="s">
        <v>108</v>
      </c>
      <c r="C1224" s="2" t="str">
        <f>_xlfn.XLOOKUP(B1224,线路DSP对应!A:A,线路DSP对应!B:B)</f>
        <v>STA_SFO_RR</v>
      </c>
      <c r="D1224" s="4" t="s">
        <v>154</v>
      </c>
      <c r="E1224" s="2" t="str">
        <f>_xlfn.XLOOKUP(A1224,转单情况!A:A,转单情况!B:B)</f>
        <v>否</v>
      </c>
      <c r="G1224" s="28">
        <f>ROUND(_xlfn.XLOOKUP(A1224,全量!A:A,全量!B:B,0)/7,1)</f>
        <v>1</v>
      </c>
      <c r="H1224" s="2">
        <f>ROUND(_xlfn.XLOOKUP(A1224,AE!A:A,AE!B:B,0)/7,1)</f>
        <v>0.3</v>
      </c>
      <c r="I1224" s="2" t="str">
        <f>_xlfn.XLOOKUP(A1224,SWFTX邮编覆盖!A:A,SWFTX邮编覆盖!B:B,"否")</f>
        <v>否</v>
      </c>
      <c r="J1224" s="2" t="str">
        <f>_xlfn.XLOOKUP(A1224,YW邮编覆盖!A:A,YW邮编覆盖!B:B,"否")</f>
        <v>否</v>
      </c>
    </row>
    <row r="1225" spans="1:10" hidden="1">
      <c r="A1225" s="3">
        <v>95062</v>
      </c>
      <c r="B1225" s="1" t="s">
        <v>108</v>
      </c>
      <c r="C1225" s="2" t="str">
        <f>_xlfn.XLOOKUP(B1225,线路DSP对应!A:A,线路DSP对应!B:B)</f>
        <v>STA_SFO_RR</v>
      </c>
      <c r="D1225" s="4" t="s">
        <v>154</v>
      </c>
      <c r="E1225" s="2" t="str">
        <f>_xlfn.XLOOKUP(A1225,转单情况!A:A,转单情况!B:B)</f>
        <v>否</v>
      </c>
      <c r="G1225" s="28">
        <f>ROUND(_xlfn.XLOOKUP(A1225,全量!A:A,全量!B:B,0)/7,1)</f>
        <v>10.1</v>
      </c>
      <c r="H1225" s="2">
        <f>ROUND(_xlfn.XLOOKUP(A1225,AE!A:A,AE!B:B,0)/7,1)</f>
        <v>6.9</v>
      </c>
      <c r="I1225" s="2" t="str">
        <f>_xlfn.XLOOKUP(A1225,SWFTX邮编覆盖!A:A,SWFTX邮编覆盖!B:B,"否")</f>
        <v>否</v>
      </c>
      <c r="J1225" s="2" t="str">
        <f>_xlfn.XLOOKUP(A1225,YW邮编覆盖!A:A,YW邮编覆盖!B:B,"否")</f>
        <v>否</v>
      </c>
    </row>
    <row r="1226" spans="1:10" hidden="1">
      <c r="A1226" s="3">
        <v>95060</v>
      </c>
      <c r="B1226" s="1" t="s">
        <v>108</v>
      </c>
      <c r="C1226" s="2" t="str">
        <f>_xlfn.XLOOKUP(B1226,线路DSP对应!A:A,线路DSP对应!B:B)</f>
        <v>STA_SFO_RR</v>
      </c>
      <c r="D1226" s="4" t="s">
        <v>154</v>
      </c>
      <c r="E1226" s="2" t="str">
        <f>_xlfn.XLOOKUP(A1226,转单情况!A:A,转单情况!B:B)</f>
        <v>否</v>
      </c>
      <c r="G1226" s="28">
        <f>ROUND(_xlfn.XLOOKUP(A1226,全量!A:A,全量!B:B,0)/7,1)</f>
        <v>30.3</v>
      </c>
      <c r="H1226" s="2">
        <f>ROUND(_xlfn.XLOOKUP(A1226,AE!A:A,AE!B:B,0)/7,1)</f>
        <v>11.6</v>
      </c>
      <c r="I1226" s="2" t="str">
        <f>_xlfn.XLOOKUP(A1226,SWFTX邮编覆盖!A:A,SWFTX邮编覆盖!B:B,"否")</f>
        <v>否</v>
      </c>
      <c r="J1226" s="2" t="str">
        <f>_xlfn.XLOOKUP(A1226,YW邮编覆盖!A:A,YW邮编覆盖!B:B,"否")</f>
        <v>否</v>
      </c>
    </row>
    <row r="1227" spans="1:10" hidden="1">
      <c r="A1227" s="3">
        <v>95010</v>
      </c>
      <c r="B1227" s="1" t="s">
        <v>108</v>
      </c>
      <c r="C1227" s="2" t="str">
        <f>_xlfn.XLOOKUP(B1227,线路DSP对应!A:A,线路DSP对应!B:B)</f>
        <v>STA_SFO_RR</v>
      </c>
      <c r="D1227" s="4" t="s">
        <v>154</v>
      </c>
      <c r="E1227" s="2" t="str">
        <f>_xlfn.XLOOKUP(A1227,转单情况!A:A,转单情况!B:B)</f>
        <v>否</v>
      </c>
      <c r="G1227" s="28">
        <f>ROUND(_xlfn.XLOOKUP(A1227,全量!A:A,全量!B:B,0)/7,1)</f>
        <v>2.9</v>
      </c>
      <c r="H1227" s="2">
        <f>ROUND(_xlfn.XLOOKUP(A1227,AE!A:A,AE!B:B,0)/7,1)</f>
        <v>2.6</v>
      </c>
      <c r="I1227" s="2" t="str">
        <f>_xlfn.XLOOKUP(A1227,SWFTX邮编覆盖!A:A,SWFTX邮编覆盖!B:B,"否")</f>
        <v>否</v>
      </c>
      <c r="J1227" s="2" t="str">
        <f>_xlfn.XLOOKUP(A1227,YW邮编覆盖!A:A,YW邮编覆盖!B:B,"否")</f>
        <v>否</v>
      </c>
    </row>
    <row r="1228" spans="1:10" hidden="1">
      <c r="A1228" s="3">
        <v>95003</v>
      </c>
      <c r="B1228" s="1" t="s">
        <v>108</v>
      </c>
      <c r="C1228" s="2" t="str">
        <f>_xlfn.XLOOKUP(B1228,线路DSP对应!A:A,线路DSP对应!B:B)</f>
        <v>STA_SFO_RR</v>
      </c>
      <c r="D1228" s="4" t="s">
        <v>154</v>
      </c>
      <c r="E1228" s="2" t="str">
        <f>_xlfn.XLOOKUP(A1228,转单情况!A:A,转单情况!B:B)</f>
        <v>否</v>
      </c>
      <c r="G1228" s="28">
        <f>ROUND(_xlfn.XLOOKUP(A1228,全量!A:A,全量!B:B,0)/7,1)</f>
        <v>8.6</v>
      </c>
      <c r="H1228" s="2">
        <f>ROUND(_xlfn.XLOOKUP(A1228,AE!A:A,AE!B:B,0)/7,1)</f>
        <v>4.4000000000000004</v>
      </c>
      <c r="I1228" s="2" t="str">
        <f>_xlfn.XLOOKUP(A1228,SWFTX邮编覆盖!A:A,SWFTX邮编覆盖!B:B,"否")</f>
        <v>否</v>
      </c>
      <c r="J1228" s="2" t="str">
        <f>_xlfn.XLOOKUP(A1228,YW邮编覆盖!A:A,YW邮编覆盖!B:B,"否")</f>
        <v>否</v>
      </c>
    </row>
    <row r="1229" spans="1:10" hidden="1">
      <c r="A1229" s="3">
        <v>95002</v>
      </c>
      <c r="B1229" s="1" t="s">
        <v>109</v>
      </c>
      <c r="C1229" s="2" t="str">
        <f>_xlfn.XLOOKUP(B1229,线路DSP对应!A:A,线路DSP对应!B:B)</f>
        <v>STA_SFO_RR</v>
      </c>
      <c r="D1229" s="4" t="s">
        <v>154</v>
      </c>
      <c r="E1229" s="2" t="str">
        <f>_xlfn.XLOOKUP(A1229,转单情况!A:A,转单情况!B:B)</f>
        <v>SW</v>
      </c>
      <c r="G1229" s="28">
        <f>ROUND(_xlfn.XLOOKUP(A1229,全量!A:A,全量!B:B,0)/7,1)</f>
        <v>0.1</v>
      </c>
      <c r="H1229" s="2">
        <f>ROUND(_xlfn.XLOOKUP(A1229,AE!A:A,AE!B:B,0)/7,1)</f>
        <v>0.1</v>
      </c>
      <c r="I1229" s="2" t="str">
        <f>_xlfn.XLOOKUP(A1229,SWFTX邮编覆盖!A:A,SWFTX邮编覆盖!B:B,"否")</f>
        <v>是</v>
      </c>
      <c r="J1229" s="2" t="str">
        <f>_xlfn.XLOOKUP(A1229,YW邮编覆盖!A:A,YW邮编覆盖!B:B,"否")</f>
        <v>是</v>
      </c>
    </row>
    <row r="1230" spans="1:10" hidden="1">
      <c r="A1230" s="3">
        <v>95051</v>
      </c>
      <c r="B1230" s="1" t="s">
        <v>109</v>
      </c>
      <c r="C1230" s="2" t="str">
        <f>_xlfn.XLOOKUP(B1230,线路DSP对应!A:A,线路DSP对应!B:B)</f>
        <v>STA_SFO_RR</v>
      </c>
      <c r="D1230" s="4" t="s">
        <v>154</v>
      </c>
      <c r="E1230" s="2" t="str">
        <f>_xlfn.XLOOKUP(A1230,转单情况!A:A,转单情况!B:B)</f>
        <v>否</v>
      </c>
      <c r="G1230" s="28">
        <f>ROUND(_xlfn.XLOOKUP(A1230,全量!A:A,全量!B:B,0)/7,1)</f>
        <v>14.3</v>
      </c>
      <c r="H1230" s="2">
        <f>ROUND(_xlfn.XLOOKUP(A1230,AE!A:A,AE!B:B,0)/7,1)</f>
        <v>13.7</v>
      </c>
      <c r="I1230" s="2" t="str">
        <f>_xlfn.XLOOKUP(A1230,SWFTX邮编覆盖!A:A,SWFTX邮编覆盖!B:B,"否")</f>
        <v>是</v>
      </c>
      <c r="J1230" s="2" t="str">
        <f>_xlfn.XLOOKUP(A1230,YW邮编覆盖!A:A,YW邮编覆盖!B:B,"否")</f>
        <v>是</v>
      </c>
    </row>
    <row r="1231" spans="1:10">
      <c r="A1231" s="3">
        <v>95053</v>
      </c>
      <c r="B1231" s="1" t="s">
        <v>109</v>
      </c>
      <c r="C1231" s="2" t="str">
        <f>_xlfn.XLOOKUP(B1231,线路DSP对应!A:A,线路DSP对应!B:B)</f>
        <v>STA_SFO_RR</v>
      </c>
      <c r="D1231" s="4" t="s">
        <v>154</v>
      </c>
      <c r="E1231" s="2" t="str">
        <f>_xlfn.XLOOKUP(A1231,转单情况!A:A,转单情况!B:B)</f>
        <v>YW</v>
      </c>
      <c r="G1231" s="28">
        <f>ROUND(_xlfn.XLOOKUP(A1231,全量!A:A,全量!B:B,0)/7,1)</f>
        <v>0</v>
      </c>
      <c r="H1231" s="2">
        <f>ROUND(_xlfn.XLOOKUP(A1231,AE!A:A,AE!B:B,0)/7,1)</f>
        <v>0</v>
      </c>
      <c r="I1231" s="2" t="str">
        <f>_xlfn.XLOOKUP(A1231,SWFTX邮编覆盖!A:A,SWFTX邮编覆盖!B:B,"否")</f>
        <v>否</v>
      </c>
      <c r="J1231" s="2" t="str">
        <f>_xlfn.XLOOKUP(A1231,YW邮编覆盖!A:A,YW邮编覆盖!B:B,"否")</f>
        <v>是</v>
      </c>
    </row>
    <row r="1232" spans="1:10" hidden="1">
      <c r="A1232" s="3">
        <v>95050</v>
      </c>
      <c r="B1232" s="1" t="s">
        <v>109</v>
      </c>
      <c r="C1232" s="2" t="str">
        <f>_xlfn.XLOOKUP(B1232,线路DSP对应!A:A,线路DSP对应!B:B)</f>
        <v>STA_SFO_RR</v>
      </c>
      <c r="D1232" s="4" t="s">
        <v>154</v>
      </c>
      <c r="E1232" s="2" t="str">
        <f>_xlfn.XLOOKUP(A1232,转单情况!A:A,转单情况!B:B)</f>
        <v>否</v>
      </c>
      <c r="G1232" s="28">
        <f>ROUND(_xlfn.XLOOKUP(A1232,全量!A:A,全量!B:B,0)/7,1)</f>
        <v>11.6</v>
      </c>
      <c r="H1232" s="2">
        <f>ROUND(_xlfn.XLOOKUP(A1232,AE!A:A,AE!B:B,0)/7,1)</f>
        <v>11.6</v>
      </c>
      <c r="I1232" s="2" t="str">
        <f>_xlfn.XLOOKUP(A1232,SWFTX邮编覆盖!A:A,SWFTX邮编覆盖!B:B,"否")</f>
        <v>是</v>
      </c>
      <c r="J1232" s="2" t="str">
        <f>_xlfn.XLOOKUP(A1232,YW邮编覆盖!A:A,YW邮编覆盖!B:B,"否")</f>
        <v>是</v>
      </c>
    </row>
    <row r="1233" spans="1:10" hidden="1">
      <c r="A1233" s="3">
        <v>95054</v>
      </c>
      <c r="B1233" s="1" t="s">
        <v>109</v>
      </c>
      <c r="C1233" s="2" t="str">
        <f>_xlfn.XLOOKUP(B1233,线路DSP对应!A:A,线路DSP对应!B:B)</f>
        <v>STA_SFO_RR</v>
      </c>
      <c r="D1233" s="4" t="s">
        <v>154</v>
      </c>
      <c r="E1233" s="2" t="str">
        <f>_xlfn.XLOOKUP(A1233,转单情况!A:A,转单情况!B:B)</f>
        <v>否</v>
      </c>
      <c r="G1233" s="28">
        <f>ROUND(_xlfn.XLOOKUP(A1233,全量!A:A,全量!B:B,0)/7,1)</f>
        <v>11.4</v>
      </c>
      <c r="H1233" s="2">
        <f>ROUND(_xlfn.XLOOKUP(A1233,AE!A:A,AE!B:B,0)/7,1)</f>
        <v>11</v>
      </c>
      <c r="I1233" s="2" t="str">
        <f>_xlfn.XLOOKUP(A1233,SWFTX邮编覆盖!A:A,SWFTX邮编覆盖!B:B,"否")</f>
        <v>是</v>
      </c>
      <c r="J1233" s="2" t="str">
        <f>_xlfn.XLOOKUP(A1233,YW邮编覆盖!A:A,YW邮编覆盖!B:B,"否")</f>
        <v>是</v>
      </c>
    </row>
    <row r="1234" spans="1:10" hidden="1">
      <c r="A1234" s="3">
        <v>95070</v>
      </c>
      <c r="B1234" s="1" t="s">
        <v>109</v>
      </c>
      <c r="C1234" s="2" t="str">
        <f>_xlfn.XLOOKUP(B1234,线路DSP对应!A:A,线路DSP对应!B:B)</f>
        <v>STA_SFO_RR</v>
      </c>
      <c r="D1234" s="4" t="s">
        <v>154</v>
      </c>
      <c r="E1234" s="2" t="str">
        <f>_xlfn.XLOOKUP(A1234,转单情况!A:A,转单情况!B:B)</f>
        <v>否</v>
      </c>
      <c r="G1234" s="28">
        <f>ROUND(_xlfn.XLOOKUP(A1234,全量!A:A,全量!B:B,0)/7,1)</f>
        <v>10.7</v>
      </c>
      <c r="H1234" s="2">
        <f>ROUND(_xlfn.XLOOKUP(A1234,AE!A:A,AE!B:B,0)/7,1)</f>
        <v>10.6</v>
      </c>
      <c r="I1234" s="2" t="str">
        <f>_xlfn.XLOOKUP(A1234,SWFTX邮编覆盖!A:A,SWFTX邮编覆盖!B:B,"否")</f>
        <v>是</v>
      </c>
      <c r="J1234" s="2" t="str">
        <f>_xlfn.XLOOKUP(A1234,YW邮编覆盖!A:A,YW邮编覆盖!B:B,"否")</f>
        <v>是</v>
      </c>
    </row>
    <row r="1235" spans="1:10" hidden="1">
      <c r="A1235" s="3">
        <v>95129</v>
      </c>
      <c r="B1235" s="1" t="s">
        <v>109</v>
      </c>
      <c r="C1235" s="2" t="str">
        <f>_xlfn.XLOOKUP(B1235,线路DSP对应!A:A,线路DSP对应!B:B)</f>
        <v>STA_SFO_RR</v>
      </c>
      <c r="D1235" s="4" t="s">
        <v>154</v>
      </c>
      <c r="E1235" s="2" t="str">
        <f>_xlfn.XLOOKUP(A1235,转单情况!A:A,转单情况!B:B)</f>
        <v>否</v>
      </c>
      <c r="G1235" s="28">
        <f>ROUND(_xlfn.XLOOKUP(A1235,全量!A:A,全量!B:B,0)/7,1)</f>
        <v>14.7</v>
      </c>
      <c r="H1235" s="2">
        <f>ROUND(_xlfn.XLOOKUP(A1235,AE!A:A,AE!B:B,0)/7,1)</f>
        <v>14.7</v>
      </c>
      <c r="I1235" s="2" t="str">
        <f>_xlfn.XLOOKUP(A1235,SWFTX邮编覆盖!A:A,SWFTX邮编覆盖!B:B,"否")</f>
        <v>是</v>
      </c>
      <c r="J1235" s="2" t="str">
        <f>_xlfn.XLOOKUP(A1235,YW邮编覆盖!A:A,YW邮编覆盖!B:B,"否")</f>
        <v>是</v>
      </c>
    </row>
    <row r="1236" spans="1:10" hidden="1">
      <c r="A1236" s="3">
        <v>95008</v>
      </c>
      <c r="B1236" s="1" t="s">
        <v>109</v>
      </c>
      <c r="C1236" s="2" t="str">
        <f>_xlfn.XLOOKUP(B1236,线路DSP对应!A:A,线路DSP对应!B:B)</f>
        <v>STA_SFO_RR</v>
      </c>
      <c r="D1236" s="4" t="s">
        <v>154</v>
      </c>
      <c r="E1236" s="2" t="str">
        <f>_xlfn.XLOOKUP(A1236,转单情况!A:A,转单情况!B:B)</f>
        <v>否</v>
      </c>
      <c r="G1236" s="28">
        <f>ROUND(_xlfn.XLOOKUP(A1236,全量!A:A,全量!B:B,0)/7,1)</f>
        <v>15.6</v>
      </c>
      <c r="H1236" s="2">
        <f>ROUND(_xlfn.XLOOKUP(A1236,AE!A:A,AE!B:B,0)/7,1)</f>
        <v>15.6</v>
      </c>
      <c r="I1236" s="2" t="str">
        <f>_xlfn.XLOOKUP(A1236,SWFTX邮编覆盖!A:A,SWFTX邮编覆盖!B:B,"否")</f>
        <v>是</v>
      </c>
      <c r="J1236" s="2" t="str">
        <f>_xlfn.XLOOKUP(A1236,YW邮编覆盖!A:A,YW邮编覆盖!B:B,"否")</f>
        <v>是</v>
      </c>
    </row>
    <row r="1237" spans="1:10" hidden="1">
      <c r="A1237" s="3">
        <v>95130</v>
      </c>
      <c r="B1237" s="1" t="s">
        <v>109</v>
      </c>
      <c r="C1237" s="2" t="str">
        <f>_xlfn.XLOOKUP(B1237,线路DSP对应!A:A,线路DSP对应!B:B)</f>
        <v>STA_SFO_RR</v>
      </c>
      <c r="D1237" s="4" t="s">
        <v>154</v>
      </c>
      <c r="E1237" s="2" t="str">
        <f>_xlfn.XLOOKUP(A1237,转单情况!A:A,转单情况!B:B)</f>
        <v>否</v>
      </c>
      <c r="G1237" s="28">
        <f>ROUND(_xlfn.XLOOKUP(A1237,全量!A:A,全量!B:B,0)/7,1)</f>
        <v>4.4000000000000004</v>
      </c>
      <c r="H1237" s="2">
        <f>ROUND(_xlfn.XLOOKUP(A1237,AE!A:A,AE!B:B,0)/7,1)</f>
        <v>4.4000000000000004</v>
      </c>
      <c r="I1237" s="2" t="str">
        <f>_xlfn.XLOOKUP(A1237,SWFTX邮编覆盖!A:A,SWFTX邮编覆盖!B:B,"否")</f>
        <v>是</v>
      </c>
      <c r="J1237" s="2" t="str">
        <f>_xlfn.XLOOKUP(A1237,YW邮编覆盖!A:A,YW邮编覆盖!B:B,"否")</f>
        <v>是</v>
      </c>
    </row>
    <row r="1238" spans="1:10" hidden="1">
      <c r="A1238" s="3">
        <v>95117</v>
      </c>
      <c r="B1238" s="1" t="s">
        <v>109</v>
      </c>
      <c r="C1238" s="2" t="str">
        <f>_xlfn.XLOOKUP(B1238,线路DSP对应!A:A,线路DSP对应!B:B)</f>
        <v>STA_SFO_RR</v>
      </c>
      <c r="D1238" s="4" t="s">
        <v>154</v>
      </c>
      <c r="E1238" s="2" t="str">
        <f>_xlfn.XLOOKUP(A1238,转单情况!A:A,转单情况!B:B)</f>
        <v>否</v>
      </c>
      <c r="G1238" s="28">
        <f>ROUND(_xlfn.XLOOKUP(A1238,全量!A:A,全量!B:B,0)/7,1)</f>
        <v>8</v>
      </c>
      <c r="H1238" s="2">
        <f>ROUND(_xlfn.XLOOKUP(A1238,AE!A:A,AE!B:B,0)/7,1)</f>
        <v>7.7</v>
      </c>
      <c r="I1238" s="2" t="str">
        <f>_xlfn.XLOOKUP(A1238,SWFTX邮编覆盖!A:A,SWFTX邮编覆盖!B:B,"否")</f>
        <v>是</v>
      </c>
      <c r="J1238" s="2" t="str">
        <f>_xlfn.XLOOKUP(A1238,YW邮编覆盖!A:A,YW邮编覆盖!B:B,"否")</f>
        <v>是</v>
      </c>
    </row>
    <row r="1239" spans="1:10" hidden="1">
      <c r="A1239" s="3">
        <v>95030</v>
      </c>
      <c r="B1239" s="1" t="s">
        <v>109</v>
      </c>
      <c r="C1239" s="2" t="str">
        <f>_xlfn.XLOOKUP(B1239,线路DSP对应!A:A,线路DSP对应!B:B)</f>
        <v>STA_SFO_RR</v>
      </c>
      <c r="D1239" s="4" t="s">
        <v>154</v>
      </c>
      <c r="E1239" s="2" t="str">
        <f>_xlfn.XLOOKUP(A1239,转单情况!A:A,转单情况!B:B)</f>
        <v>否</v>
      </c>
      <c r="G1239" s="28">
        <f>ROUND(_xlfn.XLOOKUP(A1239,全量!A:A,全量!B:B,0)/7,1)</f>
        <v>1.6</v>
      </c>
      <c r="H1239" s="2">
        <f>ROUND(_xlfn.XLOOKUP(A1239,AE!A:A,AE!B:B,0)/7,1)</f>
        <v>1.6</v>
      </c>
      <c r="I1239" s="2" t="str">
        <f>_xlfn.XLOOKUP(A1239,SWFTX邮编覆盖!A:A,SWFTX邮编覆盖!B:B,"否")</f>
        <v>是</v>
      </c>
      <c r="J1239" s="2" t="str">
        <f>_xlfn.XLOOKUP(A1239,YW邮编覆盖!A:A,YW邮编覆盖!B:B,"否")</f>
        <v>是</v>
      </c>
    </row>
    <row r="1240" spans="1:10" hidden="1">
      <c r="A1240" s="3">
        <v>95032</v>
      </c>
      <c r="B1240" s="1" t="s">
        <v>109</v>
      </c>
      <c r="C1240" s="2" t="str">
        <f>_xlfn.XLOOKUP(B1240,线路DSP对应!A:A,线路DSP对应!B:B)</f>
        <v>STA_SFO_RR</v>
      </c>
      <c r="D1240" s="4" t="s">
        <v>154</v>
      </c>
      <c r="E1240" s="2" t="str">
        <f>_xlfn.XLOOKUP(A1240,转单情况!A:A,转单情况!B:B)</f>
        <v>否</v>
      </c>
      <c r="G1240" s="28">
        <f>ROUND(_xlfn.XLOOKUP(A1240,全量!A:A,全量!B:B,0)/7,1)</f>
        <v>7.9</v>
      </c>
      <c r="H1240" s="2">
        <f>ROUND(_xlfn.XLOOKUP(A1240,AE!A:A,AE!B:B,0)/7,1)</f>
        <v>7.9</v>
      </c>
      <c r="I1240" s="2" t="str">
        <f>_xlfn.XLOOKUP(A1240,SWFTX邮编覆盖!A:A,SWFTX邮编覆盖!B:B,"否")</f>
        <v>是</v>
      </c>
      <c r="J1240" s="2" t="str">
        <f>_xlfn.XLOOKUP(A1240,YW邮编覆盖!A:A,YW邮编覆盖!B:B,"否")</f>
        <v>是</v>
      </c>
    </row>
    <row r="1241" spans="1:10" hidden="1">
      <c r="A1241" s="3">
        <v>95124</v>
      </c>
      <c r="B1241" s="1" t="s">
        <v>109</v>
      </c>
      <c r="C1241" s="2" t="str">
        <f>_xlfn.XLOOKUP(B1241,线路DSP对应!A:A,线路DSP对应!B:B)</f>
        <v>STA_SFO_RR</v>
      </c>
      <c r="D1241" s="4" t="s">
        <v>154</v>
      </c>
      <c r="E1241" s="2" t="str">
        <f>_xlfn.XLOOKUP(A1241,转单情况!A:A,转单情况!B:B)</f>
        <v>否</v>
      </c>
      <c r="G1241" s="28">
        <f>ROUND(_xlfn.XLOOKUP(A1241,全量!A:A,全量!B:B,0)/7,1)</f>
        <v>10.6</v>
      </c>
      <c r="H1241" s="2">
        <f>ROUND(_xlfn.XLOOKUP(A1241,AE!A:A,AE!B:B,0)/7,1)</f>
        <v>10.3</v>
      </c>
      <c r="I1241" s="2" t="str">
        <f>_xlfn.XLOOKUP(A1241,SWFTX邮编覆盖!A:A,SWFTX邮编覆盖!B:B,"否")</f>
        <v>是</v>
      </c>
      <c r="J1241" s="2" t="str">
        <f>_xlfn.XLOOKUP(A1241,YW邮编覆盖!A:A,YW邮编覆盖!B:B,"否")</f>
        <v>是</v>
      </c>
    </row>
    <row r="1242" spans="1:10" hidden="1">
      <c r="A1242" s="3">
        <v>95120</v>
      </c>
      <c r="B1242" s="1" t="s">
        <v>109</v>
      </c>
      <c r="C1242" s="2" t="str">
        <f>_xlfn.XLOOKUP(B1242,线路DSP对应!A:A,线路DSP对应!B:B)</f>
        <v>STA_SFO_RR</v>
      </c>
      <c r="D1242" s="4" t="s">
        <v>154</v>
      </c>
      <c r="E1242" s="2" t="str">
        <f>_xlfn.XLOOKUP(A1242,转单情况!A:A,转单情况!B:B)</f>
        <v>否</v>
      </c>
      <c r="G1242" s="28">
        <f>ROUND(_xlfn.XLOOKUP(A1242,全量!A:A,全量!B:B,0)/7,1)</f>
        <v>11</v>
      </c>
      <c r="H1242" s="2">
        <f>ROUND(_xlfn.XLOOKUP(A1242,AE!A:A,AE!B:B,0)/7,1)</f>
        <v>10.4</v>
      </c>
      <c r="I1242" s="2" t="str">
        <f>_xlfn.XLOOKUP(A1242,SWFTX邮编覆盖!A:A,SWFTX邮编覆盖!B:B,"否")</f>
        <v>是</v>
      </c>
      <c r="J1242" s="2" t="str">
        <f>_xlfn.XLOOKUP(A1242,YW邮编覆盖!A:A,YW邮编覆盖!B:B,"否")</f>
        <v>是</v>
      </c>
    </row>
    <row r="1243" spans="1:10" hidden="1">
      <c r="A1243" s="3">
        <v>95118</v>
      </c>
      <c r="B1243" s="1" t="s">
        <v>109</v>
      </c>
      <c r="C1243" s="2" t="str">
        <f>_xlfn.XLOOKUP(B1243,线路DSP对应!A:A,线路DSP对应!B:B)</f>
        <v>STA_SFO_RR</v>
      </c>
      <c r="D1243" s="4" t="s">
        <v>154</v>
      </c>
      <c r="E1243" s="2" t="str">
        <f>_xlfn.XLOOKUP(A1243,转单情况!A:A,转单情况!B:B)</f>
        <v>否</v>
      </c>
      <c r="G1243" s="28">
        <f>ROUND(_xlfn.XLOOKUP(A1243,全量!A:A,全量!B:B,0)/7,1)</f>
        <v>8.1</v>
      </c>
      <c r="H1243" s="2">
        <f>ROUND(_xlfn.XLOOKUP(A1243,AE!A:A,AE!B:B,0)/7,1)</f>
        <v>7.9</v>
      </c>
      <c r="I1243" s="2" t="str">
        <f>_xlfn.XLOOKUP(A1243,SWFTX邮编覆盖!A:A,SWFTX邮编覆盖!B:B,"否")</f>
        <v>是</v>
      </c>
      <c r="J1243" s="2" t="str">
        <f>_xlfn.XLOOKUP(A1243,YW邮编覆盖!A:A,YW邮编覆盖!B:B,"否")</f>
        <v>是</v>
      </c>
    </row>
    <row r="1244" spans="1:10" hidden="1">
      <c r="A1244" s="3">
        <v>95039</v>
      </c>
      <c r="B1244" s="1" t="s">
        <v>110</v>
      </c>
      <c r="C1244" s="2" t="str">
        <f>_xlfn.XLOOKUP(B1244,线路DSP对应!A:A,线路DSP对应!B:B)</f>
        <v>STA_SFO_RR</v>
      </c>
      <c r="D1244" s="4" t="s">
        <v>154</v>
      </c>
      <c r="E1244" s="2" t="str">
        <f>_xlfn.XLOOKUP(A1244,转单情况!A:A,转单情况!B:B)</f>
        <v>否</v>
      </c>
      <c r="G1244" s="28">
        <f>ROUND(_xlfn.XLOOKUP(A1244,全量!A:A,全量!B:B,0)/7,1)</f>
        <v>1.7</v>
      </c>
      <c r="H1244" s="2">
        <f>ROUND(_xlfn.XLOOKUP(A1244,AE!A:A,AE!B:B,0)/7,1)</f>
        <v>0.4</v>
      </c>
      <c r="I1244" s="2" t="str">
        <f>_xlfn.XLOOKUP(A1244,SWFTX邮编覆盖!A:A,SWFTX邮编覆盖!B:B,"否")</f>
        <v>否</v>
      </c>
      <c r="J1244" s="2" t="str">
        <f>_xlfn.XLOOKUP(A1244,YW邮编覆盖!A:A,YW邮编覆盖!B:B,"否")</f>
        <v>否</v>
      </c>
    </row>
    <row r="1245" spans="1:10" hidden="1">
      <c r="A1245" s="3">
        <v>95019</v>
      </c>
      <c r="B1245" s="1" t="s">
        <v>110</v>
      </c>
      <c r="C1245" s="2" t="str">
        <f>_xlfn.XLOOKUP(B1245,线路DSP对应!A:A,线路DSP对应!B:B)</f>
        <v>STA_SFO_RR</v>
      </c>
      <c r="D1245" s="4" t="s">
        <v>154</v>
      </c>
      <c r="E1245" s="2" t="str">
        <f>_xlfn.XLOOKUP(A1245,转单情况!A:A,转单情况!B:B)</f>
        <v>否</v>
      </c>
      <c r="G1245" s="28">
        <f>ROUND(_xlfn.XLOOKUP(A1245,全量!A:A,全量!B:B,0)/7,1)</f>
        <v>3.7</v>
      </c>
      <c r="H1245" s="2">
        <f>ROUND(_xlfn.XLOOKUP(A1245,AE!A:A,AE!B:B,0)/7,1)</f>
        <v>1.6</v>
      </c>
      <c r="I1245" s="2" t="str">
        <f>_xlfn.XLOOKUP(A1245,SWFTX邮编覆盖!A:A,SWFTX邮编覆盖!B:B,"否")</f>
        <v>是</v>
      </c>
      <c r="J1245" s="2" t="str">
        <f>_xlfn.XLOOKUP(A1245,YW邮编覆盖!A:A,YW邮编覆盖!B:B,"否")</f>
        <v>否</v>
      </c>
    </row>
    <row r="1246" spans="1:10" hidden="1">
      <c r="A1246" s="3">
        <v>95012</v>
      </c>
      <c r="B1246" s="1" t="s">
        <v>110</v>
      </c>
      <c r="C1246" s="2" t="str">
        <f>_xlfn.XLOOKUP(B1246,线路DSP对应!A:A,线路DSP对应!B:B)</f>
        <v>STA_SFO_RR</v>
      </c>
      <c r="D1246" s="4" t="s">
        <v>154</v>
      </c>
      <c r="E1246" s="2" t="str">
        <f>_xlfn.XLOOKUP(A1246,转单情况!A:A,转单情况!B:B)</f>
        <v>否</v>
      </c>
      <c r="G1246" s="28">
        <f>ROUND(_xlfn.XLOOKUP(A1246,全量!A:A,全量!B:B,0)/7,1)</f>
        <v>9</v>
      </c>
      <c r="H1246" s="2">
        <f>ROUND(_xlfn.XLOOKUP(A1246,AE!A:A,AE!B:B,0)/7,1)</f>
        <v>1.9</v>
      </c>
      <c r="I1246" s="2" t="str">
        <f>_xlfn.XLOOKUP(A1246,SWFTX邮编覆盖!A:A,SWFTX邮编覆盖!B:B,"否")</f>
        <v>否</v>
      </c>
      <c r="J1246" s="2" t="str">
        <f>_xlfn.XLOOKUP(A1246,YW邮编覆盖!A:A,YW邮编覆盖!B:B,"否")</f>
        <v>否</v>
      </c>
    </row>
    <row r="1247" spans="1:10" hidden="1">
      <c r="A1247" s="3">
        <v>93955</v>
      </c>
      <c r="B1247" s="1" t="s">
        <v>110</v>
      </c>
      <c r="C1247" s="2" t="str">
        <f>_xlfn.XLOOKUP(B1247,线路DSP对应!A:A,线路DSP对应!B:B)</f>
        <v>STA_SFO_RR</v>
      </c>
      <c r="D1247" s="4" t="s">
        <v>154</v>
      </c>
      <c r="E1247" s="2" t="str">
        <f>_xlfn.XLOOKUP(A1247,转单情况!A:A,转单情况!B:B)</f>
        <v>否</v>
      </c>
      <c r="G1247" s="28">
        <f>ROUND(_xlfn.XLOOKUP(A1247,全量!A:A,全量!B:B,0)/7,1)</f>
        <v>18.100000000000001</v>
      </c>
      <c r="H1247" s="2">
        <f>ROUND(_xlfn.XLOOKUP(A1247,AE!A:A,AE!B:B,0)/7,1)</f>
        <v>7</v>
      </c>
      <c r="I1247" s="2" t="str">
        <f>_xlfn.XLOOKUP(A1247,SWFTX邮编覆盖!A:A,SWFTX邮编覆盖!B:B,"否")</f>
        <v>是</v>
      </c>
      <c r="J1247" s="2" t="str">
        <f>_xlfn.XLOOKUP(A1247,YW邮编覆盖!A:A,YW邮编覆盖!B:B,"否")</f>
        <v>否</v>
      </c>
    </row>
    <row r="1248" spans="1:10" hidden="1">
      <c r="A1248" s="3">
        <v>93953</v>
      </c>
      <c r="B1248" s="1" t="s">
        <v>110</v>
      </c>
      <c r="C1248" s="2" t="str">
        <f>_xlfn.XLOOKUP(B1248,线路DSP对应!A:A,线路DSP对应!B:B)</f>
        <v>STA_SFO_RR</v>
      </c>
      <c r="D1248" s="4" t="s">
        <v>154</v>
      </c>
      <c r="E1248" s="2" t="str">
        <f>_xlfn.XLOOKUP(A1248,转单情况!A:A,转单情况!B:B)</f>
        <v>否</v>
      </c>
      <c r="G1248" s="28">
        <f>ROUND(_xlfn.XLOOKUP(A1248,全量!A:A,全量!B:B,0)/7,1)</f>
        <v>4.9000000000000004</v>
      </c>
      <c r="H1248" s="2">
        <f>ROUND(_xlfn.XLOOKUP(A1248,AE!A:A,AE!B:B,0)/7,1)</f>
        <v>1</v>
      </c>
      <c r="I1248" s="2" t="str">
        <f>_xlfn.XLOOKUP(A1248,SWFTX邮编覆盖!A:A,SWFTX邮编覆盖!B:B,"否")</f>
        <v>否</v>
      </c>
      <c r="J1248" s="2" t="str">
        <f>_xlfn.XLOOKUP(A1248,YW邮编覆盖!A:A,YW邮编覆盖!B:B,"否")</f>
        <v>否</v>
      </c>
    </row>
    <row r="1249" spans="1:10" hidden="1">
      <c r="A1249" s="3">
        <v>93950</v>
      </c>
      <c r="B1249" s="1" t="s">
        <v>110</v>
      </c>
      <c r="C1249" s="2" t="str">
        <f>_xlfn.XLOOKUP(B1249,线路DSP对应!A:A,线路DSP对应!B:B)</f>
        <v>STA_SFO_RR</v>
      </c>
      <c r="D1249" s="4" t="s">
        <v>154</v>
      </c>
      <c r="E1249" s="2" t="str">
        <f>_xlfn.XLOOKUP(A1249,转单情况!A:A,转单情况!B:B)</f>
        <v>否</v>
      </c>
      <c r="G1249" s="28">
        <f>ROUND(_xlfn.XLOOKUP(A1249,全量!A:A,全量!B:B,0)/7,1)</f>
        <v>12.6</v>
      </c>
      <c r="H1249" s="2">
        <f>ROUND(_xlfn.XLOOKUP(A1249,AE!A:A,AE!B:B,0)/7,1)</f>
        <v>2.7</v>
      </c>
      <c r="I1249" s="2" t="str">
        <f>_xlfn.XLOOKUP(A1249,SWFTX邮编覆盖!A:A,SWFTX邮编覆盖!B:B,"否")</f>
        <v>否</v>
      </c>
      <c r="J1249" s="2" t="str">
        <f>_xlfn.XLOOKUP(A1249,YW邮编覆盖!A:A,YW邮编覆盖!B:B,"否")</f>
        <v>否</v>
      </c>
    </row>
    <row r="1250" spans="1:10" hidden="1">
      <c r="A1250" s="3">
        <v>93943</v>
      </c>
      <c r="B1250" s="1" t="s">
        <v>110</v>
      </c>
      <c r="C1250" s="2" t="str">
        <f>_xlfn.XLOOKUP(B1250,线路DSP对应!A:A,线路DSP对应!B:B)</f>
        <v>STA_SFO_RR</v>
      </c>
      <c r="D1250" s="4" t="s">
        <v>154</v>
      </c>
      <c r="E1250" s="2" t="str">
        <f>_xlfn.XLOOKUP(A1250,转单情况!A:A,转单情况!B:B)</f>
        <v>否</v>
      </c>
      <c r="G1250" s="28">
        <f>ROUND(_xlfn.XLOOKUP(A1250,全量!A:A,全量!B:B,0)/7,1)</f>
        <v>0</v>
      </c>
      <c r="H1250" s="2">
        <f>ROUND(_xlfn.XLOOKUP(A1250,AE!A:A,AE!B:B,0)/7,1)</f>
        <v>0</v>
      </c>
      <c r="I1250" s="2" t="str">
        <f>_xlfn.XLOOKUP(A1250,SWFTX邮编覆盖!A:A,SWFTX邮编覆盖!B:B,"否")</f>
        <v>否</v>
      </c>
      <c r="J1250" s="2" t="str">
        <f>_xlfn.XLOOKUP(A1250,YW邮编覆盖!A:A,YW邮编覆盖!B:B,"否")</f>
        <v>否</v>
      </c>
    </row>
    <row r="1251" spans="1:10" hidden="1">
      <c r="A1251" s="3">
        <v>93940</v>
      </c>
      <c r="B1251" s="1" t="s">
        <v>110</v>
      </c>
      <c r="C1251" s="2" t="str">
        <f>_xlfn.XLOOKUP(B1251,线路DSP对应!A:A,线路DSP对应!B:B)</f>
        <v>STA_SFO_RR</v>
      </c>
      <c r="D1251" s="4" t="s">
        <v>154</v>
      </c>
      <c r="E1251" s="2" t="str">
        <f>_xlfn.XLOOKUP(A1251,转单情况!A:A,转单情况!B:B)</f>
        <v>否</v>
      </c>
      <c r="G1251" s="28">
        <f>ROUND(_xlfn.XLOOKUP(A1251,全量!A:A,全量!B:B,0)/7,1)</f>
        <v>19</v>
      </c>
      <c r="H1251" s="2">
        <f>ROUND(_xlfn.XLOOKUP(A1251,AE!A:A,AE!B:B,0)/7,1)</f>
        <v>4.9000000000000004</v>
      </c>
      <c r="I1251" s="2" t="str">
        <f>_xlfn.XLOOKUP(A1251,SWFTX邮编覆盖!A:A,SWFTX邮编覆盖!B:B,"否")</f>
        <v>是</v>
      </c>
      <c r="J1251" s="2" t="str">
        <f>_xlfn.XLOOKUP(A1251,YW邮编覆盖!A:A,YW邮编覆盖!B:B,"否")</f>
        <v>否</v>
      </c>
    </row>
    <row r="1252" spans="1:10" hidden="1">
      <c r="A1252" s="3">
        <v>93933</v>
      </c>
      <c r="B1252" s="1" t="s">
        <v>110</v>
      </c>
      <c r="C1252" s="2" t="str">
        <f>_xlfn.XLOOKUP(B1252,线路DSP对应!A:A,线路DSP对应!B:B)</f>
        <v>STA_SFO_RR</v>
      </c>
      <c r="D1252" s="4" t="s">
        <v>154</v>
      </c>
      <c r="E1252" s="2" t="str">
        <f>_xlfn.XLOOKUP(A1252,转单情况!A:A,转单情况!B:B)</f>
        <v>否</v>
      </c>
      <c r="G1252" s="28">
        <f>ROUND(_xlfn.XLOOKUP(A1252,全量!A:A,全量!B:B,0)/7,1)</f>
        <v>18.899999999999999</v>
      </c>
      <c r="H1252" s="2">
        <f>ROUND(_xlfn.XLOOKUP(A1252,AE!A:A,AE!B:B,0)/7,1)</f>
        <v>6.6</v>
      </c>
      <c r="I1252" s="2" t="str">
        <f>_xlfn.XLOOKUP(A1252,SWFTX邮编覆盖!A:A,SWFTX邮编覆盖!B:B,"否")</f>
        <v>是</v>
      </c>
      <c r="J1252" s="2" t="str">
        <f>_xlfn.XLOOKUP(A1252,YW邮编覆盖!A:A,YW邮编覆盖!B:B,"否")</f>
        <v>否</v>
      </c>
    </row>
    <row r="1253" spans="1:10" hidden="1">
      <c r="A1253" s="3">
        <v>93923</v>
      </c>
      <c r="B1253" s="1" t="s">
        <v>110</v>
      </c>
      <c r="C1253" s="2" t="str">
        <f>_xlfn.XLOOKUP(B1253,线路DSP对应!A:A,线路DSP对应!B:B)</f>
        <v>STA_SFO_RR</v>
      </c>
      <c r="D1253" s="4" t="s">
        <v>154</v>
      </c>
      <c r="E1253" s="2" t="str">
        <f>_xlfn.XLOOKUP(A1253,转单情况!A:A,转单情况!B:B)</f>
        <v>否</v>
      </c>
      <c r="G1253" s="28">
        <f>ROUND(_xlfn.XLOOKUP(A1253,全量!A:A,全量!B:B,0)/7,1)</f>
        <v>20.100000000000001</v>
      </c>
      <c r="H1253" s="2">
        <f>ROUND(_xlfn.XLOOKUP(A1253,AE!A:A,AE!B:B,0)/7,1)</f>
        <v>3.7</v>
      </c>
      <c r="I1253" s="2" t="str">
        <f>_xlfn.XLOOKUP(A1253,SWFTX邮编覆盖!A:A,SWFTX邮编覆盖!B:B,"否")</f>
        <v>否</v>
      </c>
      <c r="J1253" s="2" t="str">
        <f>_xlfn.XLOOKUP(A1253,YW邮编覆盖!A:A,YW邮编覆盖!B:B,"否")</f>
        <v>否</v>
      </c>
    </row>
    <row r="1254" spans="1:10" hidden="1">
      <c r="A1254" s="3">
        <v>93921</v>
      </c>
      <c r="B1254" s="1" t="s">
        <v>110</v>
      </c>
      <c r="C1254" s="2" t="str">
        <f>_xlfn.XLOOKUP(B1254,线路DSP对应!A:A,线路DSP对应!B:B)</f>
        <v>STA_SFO_RR</v>
      </c>
      <c r="D1254" s="4" t="s">
        <v>154</v>
      </c>
      <c r="E1254" s="2" t="str">
        <f>_xlfn.XLOOKUP(A1254,转单情况!A:A,转单情况!B:B)</f>
        <v>否</v>
      </c>
      <c r="G1254" s="28">
        <f>ROUND(_xlfn.XLOOKUP(A1254,全量!A:A,全量!B:B,0)/7,1)</f>
        <v>1</v>
      </c>
      <c r="H1254" s="2">
        <f>ROUND(_xlfn.XLOOKUP(A1254,AE!A:A,AE!B:B,0)/7,1)</f>
        <v>0.3</v>
      </c>
      <c r="I1254" s="2" t="str">
        <f>_xlfn.XLOOKUP(A1254,SWFTX邮编覆盖!A:A,SWFTX邮编覆盖!B:B,"否")</f>
        <v>否</v>
      </c>
      <c r="J1254" s="2" t="str">
        <f>_xlfn.XLOOKUP(A1254,YW邮编覆盖!A:A,YW邮编覆盖!B:B,"否")</f>
        <v>否</v>
      </c>
    </row>
    <row r="1255" spans="1:10" hidden="1">
      <c r="A1255" s="3">
        <v>93907</v>
      </c>
      <c r="B1255" s="1" t="s">
        <v>110</v>
      </c>
      <c r="C1255" s="2" t="str">
        <f>_xlfn.XLOOKUP(B1255,线路DSP对应!A:A,线路DSP对应!B:B)</f>
        <v>STA_SFO_RR</v>
      </c>
      <c r="D1255" s="4" t="s">
        <v>154</v>
      </c>
      <c r="E1255" s="2" t="str">
        <f>_xlfn.XLOOKUP(A1255,转单情况!A:A,转单情况!B:B)</f>
        <v>否</v>
      </c>
      <c r="G1255" s="28">
        <f>ROUND(_xlfn.XLOOKUP(A1255,全量!A:A,全量!B:B,0)/7,1)</f>
        <v>10.9</v>
      </c>
      <c r="H1255" s="2">
        <f>ROUND(_xlfn.XLOOKUP(A1255,AE!A:A,AE!B:B,0)/7,1)</f>
        <v>2.6</v>
      </c>
      <c r="I1255" s="2" t="str">
        <f>_xlfn.XLOOKUP(A1255,SWFTX邮编覆盖!A:A,SWFTX邮编覆盖!B:B,"否")</f>
        <v>是</v>
      </c>
      <c r="J1255" s="2" t="str">
        <f>_xlfn.XLOOKUP(A1255,YW邮编覆盖!A:A,YW邮编覆盖!B:B,"否")</f>
        <v>否</v>
      </c>
    </row>
    <row r="1256" spans="1:10" hidden="1">
      <c r="A1256" s="3">
        <v>93906</v>
      </c>
      <c r="B1256" s="1" t="s">
        <v>110</v>
      </c>
      <c r="C1256" s="2" t="str">
        <f>_xlfn.XLOOKUP(B1256,线路DSP对应!A:A,线路DSP对应!B:B)</f>
        <v>STA_SFO_RR</v>
      </c>
      <c r="D1256" s="4" t="s">
        <v>154</v>
      </c>
      <c r="E1256" s="2" t="str">
        <f>_xlfn.XLOOKUP(A1256,转单情况!A:A,转单情况!B:B)</f>
        <v>否</v>
      </c>
      <c r="G1256" s="28">
        <f>ROUND(_xlfn.XLOOKUP(A1256,全量!A:A,全量!B:B,0)/7,1)</f>
        <v>33.1</v>
      </c>
      <c r="H1256" s="2">
        <f>ROUND(_xlfn.XLOOKUP(A1256,AE!A:A,AE!B:B,0)/7,1)</f>
        <v>14</v>
      </c>
      <c r="I1256" s="2" t="str">
        <f>_xlfn.XLOOKUP(A1256,SWFTX邮编覆盖!A:A,SWFTX邮编覆盖!B:B,"否")</f>
        <v>是</v>
      </c>
      <c r="J1256" s="2" t="str">
        <f>_xlfn.XLOOKUP(A1256,YW邮编覆盖!A:A,YW邮编覆盖!B:B,"否")</f>
        <v>否</v>
      </c>
    </row>
    <row r="1257" spans="1:10" hidden="1">
      <c r="A1257" s="3">
        <v>93905</v>
      </c>
      <c r="B1257" s="1" t="s">
        <v>110</v>
      </c>
      <c r="C1257" s="2" t="str">
        <f>_xlfn.XLOOKUP(B1257,线路DSP对应!A:A,线路DSP对应!B:B)</f>
        <v>STA_SFO_RR</v>
      </c>
      <c r="D1257" s="4" t="s">
        <v>154</v>
      </c>
      <c r="E1257" s="2" t="str">
        <f>_xlfn.XLOOKUP(A1257,转单情况!A:A,转单情况!B:B)</f>
        <v>否</v>
      </c>
      <c r="G1257" s="28">
        <f>ROUND(_xlfn.XLOOKUP(A1257,全量!A:A,全量!B:B,0)/7,1)</f>
        <v>31.3</v>
      </c>
      <c r="H1257" s="2">
        <f>ROUND(_xlfn.XLOOKUP(A1257,AE!A:A,AE!B:B,0)/7,1)</f>
        <v>13.3</v>
      </c>
      <c r="I1257" s="2" t="str">
        <f>_xlfn.XLOOKUP(A1257,SWFTX邮编覆盖!A:A,SWFTX邮编覆盖!B:B,"否")</f>
        <v>是</v>
      </c>
      <c r="J1257" s="2" t="str">
        <f>_xlfn.XLOOKUP(A1257,YW邮编覆盖!A:A,YW邮编覆盖!B:B,"否")</f>
        <v>否</v>
      </c>
    </row>
    <row r="1258" spans="1:10" hidden="1">
      <c r="A1258" s="3">
        <v>93901</v>
      </c>
      <c r="B1258" s="1" t="s">
        <v>110</v>
      </c>
      <c r="C1258" s="2" t="str">
        <f>_xlfn.XLOOKUP(B1258,线路DSP对应!A:A,线路DSP对应!B:B)</f>
        <v>STA_SFO_RR</v>
      </c>
      <c r="D1258" s="4" t="s">
        <v>154</v>
      </c>
      <c r="E1258" s="2" t="str">
        <f>_xlfn.XLOOKUP(A1258,转单情况!A:A,转单情况!B:B)</f>
        <v>否</v>
      </c>
      <c r="G1258" s="28">
        <f>ROUND(_xlfn.XLOOKUP(A1258,全量!A:A,全量!B:B,0)/7,1)</f>
        <v>16.100000000000001</v>
      </c>
      <c r="H1258" s="2">
        <f>ROUND(_xlfn.XLOOKUP(A1258,AE!A:A,AE!B:B,0)/7,1)</f>
        <v>3.3</v>
      </c>
      <c r="I1258" s="2" t="str">
        <f>_xlfn.XLOOKUP(A1258,SWFTX邮编覆盖!A:A,SWFTX邮编覆盖!B:B,"否")</f>
        <v>是</v>
      </c>
      <c r="J1258" s="2" t="str">
        <f>_xlfn.XLOOKUP(A1258,YW邮编覆盖!A:A,YW邮编覆盖!B:B,"否")</f>
        <v>否</v>
      </c>
    </row>
    <row r="1259" spans="1:10" hidden="1">
      <c r="A1259" s="3">
        <v>95076</v>
      </c>
      <c r="B1259" s="1" t="s">
        <v>110</v>
      </c>
      <c r="C1259" s="2" t="str">
        <f>_xlfn.XLOOKUP(B1259,线路DSP对应!A:A,线路DSP对应!B:B)</f>
        <v>STA_SFO_RR</v>
      </c>
      <c r="D1259" s="4" t="s">
        <v>154</v>
      </c>
      <c r="E1259" s="2" t="str">
        <f>_xlfn.XLOOKUP(A1259,转单情况!A:A,转单情况!B:B)</f>
        <v>否</v>
      </c>
      <c r="G1259" s="28">
        <f>ROUND(_xlfn.XLOOKUP(A1259,全量!A:A,全量!B:B,0)/7,1)</f>
        <v>41.9</v>
      </c>
      <c r="H1259" s="2">
        <f>ROUND(_xlfn.XLOOKUP(A1259,AE!A:A,AE!B:B,0)/7,1)</f>
        <v>16.100000000000001</v>
      </c>
      <c r="I1259" s="2" t="str">
        <f>_xlfn.XLOOKUP(A1259,SWFTX邮编覆盖!A:A,SWFTX邮编覆盖!B:B,"否")</f>
        <v>是</v>
      </c>
      <c r="J1259" s="2" t="str">
        <f>_xlfn.XLOOKUP(A1259,YW邮编覆盖!A:A,YW邮编覆盖!B:B,"否")</f>
        <v>否</v>
      </c>
    </row>
    <row r="1260" spans="1:10" hidden="1">
      <c r="A1260" s="3">
        <v>94587</v>
      </c>
      <c r="B1260" s="1" t="s">
        <v>111</v>
      </c>
      <c r="C1260" s="2" t="str">
        <f>_xlfn.XLOOKUP(B1260,线路DSP对应!A:A,线路DSP对应!B:B)</f>
        <v>STA_SFO_RR</v>
      </c>
      <c r="D1260" s="4" t="s">
        <v>154</v>
      </c>
      <c r="E1260" s="2" t="str">
        <f>_xlfn.XLOOKUP(A1260,转单情况!A:A,转单情况!B:B)</f>
        <v>否</v>
      </c>
      <c r="G1260" s="28">
        <f>ROUND(_xlfn.XLOOKUP(A1260,全量!A:A,全量!B:B,0)/7,1)</f>
        <v>24.3</v>
      </c>
      <c r="H1260" s="2">
        <f>ROUND(_xlfn.XLOOKUP(A1260,AE!A:A,AE!B:B,0)/7,1)</f>
        <v>23.4</v>
      </c>
      <c r="I1260" s="2" t="str">
        <f>_xlfn.XLOOKUP(A1260,SWFTX邮编覆盖!A:A,SWFTX邮编覆盖!B:B,"否")</f>
        <v>是</v>
      </c>
      <c r="J1260" s="2" t="str">
        <f>_xlfn.XLOOKUP(A1260,YW邮编覆盖!A:A,YW邮编覆盖!B:B,"否")</f>
        <v>是</v>
      </c>
    </row>
    <row r="1261" spans="1:10" hidden="1">
      <c r="A1261" s="3">
        <v>94536</v>
      </c>
      <c r="B1261" s="1" t="s">
        <v>111</v>
      </c>
      <c r="C1261" s="2" t="str">
        <f>_xlfn.XLOOKUP(B1261,线路DSP对应!A:A,线路DSP对应!B:B)</f>
        <v>STA_SFO_RR</v>
      </c>
      <c r="D1261" s="4" t="s">
        <v>154</v>
      </c>
      <c r="E1261" s="2" t="str">
        <f>_xlfn.XLOOKUP(A1261,转单情况!A:A,转单情况!B:B)</f>
        <v>否</v>
      </c>
      <c r="G1261" s="28">
        <f>ROUND(_xlfn.XLOOKUP(A1261,全量!A:A,全量!B:B,0)/7,1)</f>
        <v>18.3</v>
      </c>
      <c r="H1261" s="2">
        <f>ROUND(_xlfn.XLOOKUP(A1261,AE!A:A,AE!B:B,0)/7,1)</f>
        <v>17.899999999999999</v>
      </c>
      <c r="I1261" s="2" t="str">
        <f>_xlfn.XLOOKUP(A1261,SWFTX邮编覆盖!A:A,SWFTX邮编覆盖!B:B,"否")</f>
        <v>是</v>
      </c>
      <c r="J1261" s="2" t="str">
        <f>_xlfn.XLOOKUP(A1261,YW邮编覆盖!A:A,YW邮编覆盖!B:B,"否")</f>
        <v>是</v>
      </c>
    </row>
    <row r="1262" spans="1:10" hidden="1">
      <c r="A1262" s="3">
        <v>94555</v>
      </c>
      <c r="B1262" s="1" t="s">
        <v>111</v>
      </c>
      <c r="C1262" s="2" t="str">
        <f>_xlfn.XLOOKUP(B1262,线路DSP对应!A:A,线路DSP对应!B:B)</f>
        <v>STA_SFO_RR</v>
      </c>
      <c r="D1262" s="4" t="s">
        <v>154</v>
      </c>
      <c r="E1262" s="2" t="str">
        <f>_xlfn.XLOOKUP(A1262,转单情况!A:A,转单情况!B:B)</f>
        <v>否</v>
      </c>
      <c r="G1262" s="28">
        <f>ROUND(_xlfn.XLOOKUP(A1262,全量!A:A,全量!B:B,0)/7,1)</f>
        <v>10.9</v>
      </c>
      <c r="H1262" s="2">
        <f>ROUND(_xlfn.XLOOKUP(A1262,AE!A:A,AE!B:B,0)/7,1)</f>
        <v>10.3</v>
      </c>
      <c r="I1262" s="2" t="str">
        <f>_xlfn.XLOOKUP(A1262,SWFTX邮编覆盖!A:A,SWFTX邮编覆盖!B:B,"否")</f>
        <v>是</v>
      </c>
      <c r="J1262" s="2" t="str">
        <f>_xlfn.XLOOKUP(A1262,YW邮编覆盖!A:A,YW邮编覆盖!B:B,"否")</f>
        <v>是</v>
      </c>
    </row>
    <row r="1263" spans="1:10" hidden="1">
      <c r="A1263" s="3">
        <v>94560</v>
      </c>
      <c r="B1263" s="1" t="s">
        <v>111</v>
      </c>
      <c r="C1263" s="2" t="str">
        <f>_xlfn.XLOOKUP(B1263,线路DSP对应!A:A,线路DSP对应!B:B)</f>
        <v>STA_SFO_RR</v>
      </c>
      <c r="D1263" s="4" t="s">
        <v>154</v>
      </c>
      <c r="E1263" s="2" t="str">
        <f>_xlfn.XLOOKUP(A1263,转单情况!A:A,转单情况!B:B)</f>
        <v>否</v>
      </c>
      <c r="G1263" s="28">
        <f>ROUND(_xlfn.XLOOKUP(A1263,全量!A:A,全量!B:B,0)/7,1)</f>
        <v>16</v>
      </c>
      <c r="H1263" s="2">
        <f>ROUND(_xlfn.XLOOKUP(A1263,AE!A:A,AE!B:B,0)/7,1)</f>
        <v>15</v>
      </c>
      <c r="I1263" s="2" t="str">
        <f>_xlfn.XLOOKUP(A1263,SWFTX邮编覆盖!A:A,SWFTX邮编覆盖!B:B,"否")</f>
        <v>是</v>
      </c>
      <c r="J1263" s="2" t="str">
        <f>_xlfn.XLOOKUP(A1263,YW邮编覆盖!A:A,YW邮编覆盖!B:B,"否")</f>
        <v>是</v>
      </c>
    </row>
    <row r="1264" spans="1:10" hidden="1">
      <c r="A1264" s="3">
        <v>94541</v>
      </c>
      <c r="B1264" s="1" t="s">
        <v>111</v>
      </c>
      <c r="C1264" s="2" t="str">
        <f>_xlfn.XLOOKUP(B1264,线路DSP对应!A:A,线路DSP对应!B:B)</f>
        <v>STA_SFO_RR</v>
      </c>
      <c r="D1264" s="4" t="s">
        <v>154</v>
      </c>
      <c r="E1264" s="2" t="str">
        <f>_xlfn.XLOOKUP(A1264,转单情况!A:A,转单情况!B:B)</f>
        <v>否</v>
      </c>
      <c r="G1264" s="28">
        <f>ROUND(_xlfn.XLOOKUP(A1264,全量!A:A,全量!B:B,0)/7,1)</f>
        <v>15</v>
      </c>
      <c r="H1264" s="2">
        <f>ROUND(_xlfn.XLOOKUP(A1264,AE!A:A,AE!B:B,0)/7,1)</f>
        <v>14</v>
      </c>
      <c r="I1264" s="2" t="str">
        <f>_xlfn.XLOOKUP(A1264,SWFTX邮编覆盖!A:A,SWFTX邮编覆盖!B:B,"否")</f>
        <v>是</v>
      </c>
      <c r="J1264" s="2" t="str">
        <f>_xlfn.XLOOKUP(A1264,YW邮编覆盖!A:A,YW邮编覆盖!B:B,"否")</f>
        <v>是</v>
      </c>
    </row>
    <row r="1265" spans="1:10" hidden="1">
      <c r="A1265" s="3">
        <v>94542</v>
      </c>
      <c r="B1265" s="1" t="s">
        <v>111</v>
      </c>
      <c r="C1265" s="2" t="str">
        <f>_xlfn.XLOOKUP(B1265,线路DSP对应!A:A,线路DSP对应!B:B)</f>
        <v>STA_SFO_RR</v>
      </c>
      <c r="D1265" s="4" t="s">
        <v>154</v>
      </c>
      <c r="E1265" s="2" t="str">
        <f>_xlfn.XLOOKUP(A1265,转单情况!A:A,转单情况!B:B)</f>
        <v>否</v>
      </c>
      <c r="G1265" s="28">
        <f>ROUND(_xlfn.XLOOKUP(A1265,全量!A:A,全量!B:B,0)/7,1)</f>
        <v>4.4000000000000004</v>
      </c>
      <c r="H1265" s="2">
        <f>ROUND(_xlfn.XLOOKUP(A1265,AE!A:A,AE!B:B,0)/7,1)</f>
        <v>4.3</v>
      </c>
      <c r="I1265" s="2" t="str">
        <f>_xlfn.XLOOKUP(A1265,SWFTX邮编覆盖!A:A,SWFTX邮编覆盖!B:B,"否")</f>
        <v>是</v>
      </c>
      <c r="J1265" s="2" t="str">
        <f>_xlfn.XLOOKUP(A1265,YW邮编覆盖!A:A,YW邮编覆盖!B:B,"否")</f>
        <v>是</v>
      </c>
    </row>
    <row r="1266" spans="1:10" hidden="1">
      <c r="A1266" s="3">
        <v>94544</v>
      </c>
      <c r="B1266" s="1" t="s">
        <v>111</v>
      </c>
      <c r="C1266" s="2" t="str">
        <f>_xlfn.XLOOKUP(B1266,线路DSP对应!A:A,线路DSP对应!B:B)</f>
        <v>STA_SFO_RR</v>
      </c>
      <c r="D1266" s="4" t="s">
        <v>154</v>
      </c>
      <c r="E1266" s="2" t="str">
        <f>_xlfn.XLOOKUP(A1266,转单情况!A:A,转单情况!B:B)</f>
        <v>否</v>
      </c>
      <c r="G1266" s="28">
        <f>ROUND(_xlfn.XLOOKUP(A1266,全量!A:A,全量!B:B,0)/7,1)</f>
        <v>24.4</v>
      </c>
      <c r="H1266" s="2">
        <f>ROUND(_xlfn.XLOOKUP(A1266,AE!A:A,AE!B:B,0)/7,1)</f>
        <v>23.3</v>
      </c>
      <c r="I1266" s="2" t="str">
        <f>_xlfn.XLOOKUP(A1266,SWFTX邮编覆盖!A:A,SWFTX邮编覆盖!B:B,"否")</f>
        <v>是</v>
      </c>
      <c r="J1266" s="2" t="str">
        <f>_xlfn.XLOOKUP(A1266,YW邮编覆盖!A:A,YW邮编覆盖!B:B,"否")</f>
        <v>是</v>
      </c>
    </row>
    <row r="1267" spans="1:10" hidden="1">
      <c r="A1267" s="3">
        <v>94545</v>
      </c>
      <c r="B1267" s="1" t="s">
        <v>111</v>
      </c>
      <c r="C1267" s="2" t="str">
        <f>_xlfn.XLOOKUP(B1267,线路DSP对应!A:A,线路DSP对应!B:B)</f>
        <v>STA_SFO_RR</v>
      </c>
      <c r="D1267" s="4" t="s">
        <v>154</v>
      </c>
      <c r="E1267" s="2" t="str">
        <f>_xlfn.XLOOKUP(A1267,转单情况!A:A,转单情况!B:B)</f>
        <v>否</v>
      </c>
      <c r="G1267" s="28">
        <f>ROUND(_xlfn.XLOOKUP(A1267,全量!A:A,全量!B:B,0)/7,1)</f>
        <v>10.1</v>
      </c>
      <c r="H1267" s="2">
        <f>ROUND(_xlfn.XLOOKUP(A1267,AE!A:A,AE!B:B,0)/7,1)</f>
        <v>9.6</v>
      </c>
      <c r="I1267" s="2" t="str">
        <f>_xlfn.XLOOKUP(A1267,SWFTX邮编覆盖!A:A,SWFTX邮编覆盖!B:B,"否")</f>
        <v>是</v>
      </c>
      <c r="J1267" s="2" t="str">
        <f>_xlfn.XLOOKUP(A1267,YW邮编覆盖!A:A,YW邮编覆盖!B:B,"否")</f>
        <v>是</v>
      </c>
    </row>
    <row r="1268" spans="1:10" hidden="1">
      <c r="A1268" s="3">
        <v>94503</v>
      </c>
      <c r="B1268" s="1" t="s">
        <v>113</v>
      </c>
      <c r="C1268" s="2" t="str">
        <f>_xlfn.XLOOKUP(B1268,线路DSP对应!A:A,线路DSP对应!B:B)</f>
        <v>STA_SFO_SDG</v>
      </c>
      <c r="D1268" s="4" t="s">
        <v>154</v>
      </c>
      <c r="E1268" s="2" t="str">
        <f>_xlfn.XLOOKUP(A1268,转单情况!A:A,转单情况!B:B)</f>
        <v>否</v>
      </c>
      <c r="G1268" s="28">
        <f>ROUND(_xlfn.XLOOKUP(A1268,全量!A:A,全量!B:B,0)/7,1)</f>
        <v>11</v>
      </c>
      <c r="H1268" s="2">
        <f>ROUND(_xlfn.XLOOKUP(A1268,AE!A:A,AE!B:B,0)/7,1)</f>
        <v>5.3</v>
      </c>
      <c r="I1268" s="2" t="str">
        <f>_xlfn.XLOOKUP(A1268,SWFTX邮编覆盖!A:A,SWFTX邮编覆盖!B:B,"否")</f>
        <v>否</v>
      </c>
      <c r="J1268" s="2" t="str">
        <f>_xlfn.XLOOKUP(A1268,YW邮编覆盖!A:A,YW邮编覆盖!B:B,"否")</f>
        <v>否</v>
      </c>
    </row>
    <row r="1269" spans="1:10" hidden="1">
      <c r="A1269" s="3">
        <v>94589</v>
      </c>
      <c r="B1269" s="1" t="s">
        <v>113</v>
      </c>
      <c r="C1269" s="2" t="str">
        <f>_xlfn.XLOOKUP(B1269,线路DSP对应!A:A,线路DSP对应!B:B)</f>
        <v>STA_SFO_SDG</v>
      </c>
      <c r="D1269" s="4" t="s">
        <v>154</v>
      </c>
      <c r="E1269" s="2" t="str">
        <f>_xlfn.XLOOKUP(A1269,转单情况!A:A,转单情况!B:B)</f>
        <v>否</v>
      </c>
      <c r="G1269" s="28">
        <f>ROUND(_xlfn.XLOOKUP(A1269,全量!A:A,全量!B:B,0)/7,1)</f>
        <v>21.1</v>
      </c>
      <c r="H1269" s="2">
        <f>ROUND(_xlfn.XLOOKUP(A1269,AE!A:A,AE!B:B,0)/7,1)</f>
        <v>8.6999999999999993</v>
      </c>
      <c r="I1269" s="2" t="str">
        <f>_xlfn.XLOOKUP(A1269,SWFTX邮编覆盖!A:A,SWFTX邮编覆盖!B:B,"否")</f>
        <v>否</v>
      </c>
      <c r="J1269" s="2" t="str">
        <f>_xlfn.XLOOKUP(A1269,YW邮编覆盖!A:A,YW邮编覆盖!B:B,"否")</f>
        <v>否</v>
      </c>
    </row>
    <row r="1270" spans="1:10" hidden="1">
      <c r="A1270" s="3">
        <v>94592</v>
      </c>
      <c r="B1270" s="1" t="s">
        <v>113</v>
      </c>
      <c r="C1270" s="2" t="str">
        <f>_xlfn.XLOOKUP(B1270,线路DSP对应!A:A,线路DSP对应!B:B)</f>
        <v>STA_SFO_SDG</v>
      </c>
      <c r="D1270" s="4" t="s">
        <v>154</v>
      </c>
      <c r="E1270" s="2" t="str">
        <f>_xlfn.XLOOKUP(A1270,转单情况!A:A,转单情况!B:B)</f>
        <v>否</v>
      </c>
      <c r="G1270" s="28">
        <f>ROUND(_xlfn.XLOOKUP(A1270,全量!A:A,全量!B:B,0)/7,1)</f>
        <v>0.3</v>
      </c>
      <c r="H1270" s="2">
        <f>ROUND(_xlfn.XLOOKUP(A1270,AE!A:A,AE!B:B,0)/7,1)</f>
        <v>0.1</v>
      </c>
      <c r="I1270" s="2" t="str">
        <f>_xlfn.XLOOKUP(A1270,SWFTX邮编覆盖!A:A,SWFTX邮编覆盖!B:B,"否")</f>
        <v>否</v>
      </c>
      <c r="J1270" s="2" t="str">
        <f>_xlfn.XLOOKUP(A1270,YW邮编覆盖!A:A,YW邮编覆盖!B:B,"否")</f>
        <v>否</v>
      </c>
    </row>
    <row r="1271" spans="1:10">
      <c r="A1271" s="3">
        <v>94590</v>
      </c>
      <c r="B1271" s="1" t="s">
        <v>113</v>
      </c>
      <c r="C1271" s="2" t="str">
        <f>_xlfn.XLOOKUP(B1271,线路DSP对应!A:A,线路DSP对应!B:B)</f>
        <v>STA_SFO_SDG</v>
      </c>
      <c r="D1271" s="4" t="s">
        <v>154</v>
      </c>
      <c r="E1271" s="2" t="str">
        <f>_xlfn.XLOOKUP(A1271,转单情况!A:A,转单情况!B:B)</f>
        <v>否</v>
      </c>
      <c r="G1271" s="28">
        <f>ROUND(_xlfn.XLOOKUP(A1271,全量!A:A,全量!B:B,0)/7,1)</f>
        <v>21.4</v>
      </c>
      <c r="H1271" s="2">
        <f>ROUND(_xlfn.XLOOKUP(A1271,AE!A:A,AE!B:B,0)/7,1)</f>
        <v>7.4</v>
      </c>
      <c r="I1271" s="2" t="str">
        <f>_xlfn.XLOOKUP(A1271,SWFTX邮编覆盖!A:A,SWFTX邮编覆盖!B:B,"否")</f>
        <v>否</v>
      </c>
      <c r="J1271" s="2" t="str">
        <f>_xlfn.XLOOKUP(A1271,YW邮编覆盖!A:A,YW邮编覆盖!B:B,"否")</f>
        <v>是</v>
      </c>
    </row>
    <row r="1272" spans="1:10">
      <c r="A1272" s="3">
        <v>94591</v>
      </c>
      <c r="B1272" s="1" t="s">
        <v>113</v>
      </c>
      <c r="C1272" s="2" t="str">
        <f>_xlfn.XLOOKUP(B1272,线路DSP对应!A:A,线路DSP对应!B:B)</f>
        <v>STA_SFO_SDG</v>
      </c>
      <c r="D1272" s="4" t="s">
        <v>154</v>
      </c>
      <c r="E1272" s="2" t="str">
        <f>_xlfn.XLOOKUP(A1272,转单情况!A:A,转单情况!B:B)</f>
        <v>否</v>
      </c>
      <c r="G1272" s="28">
        <f>ROUND(_xlfn.XLOOKUP(A1272,全量!A:A,全量!B:B,0)/7,1)</f>
        <v>26.1</v>
      </c>
      <c r="H1272" s="2">
        <f>ROUND(_xlfn.XLOOKUP(A1272,AE!A:A,AE!B:B,0)/7,1)</f>
        <v>11.4</v>
      </c>
      <c r="I1272" s="2" t="str">
        <f>_xlfn.XLOOKUP(A1272,SWFTX邮编覆盖!A:A,SWFTX邮编覆盖!B:B,"否")</f>
        <v>否</v>
      </c>
      <c r="J1272" s="2" t="str">
        <f>_xlfn.XLOOKUP(A1272,YW邮编覆盖!A:A,YW邮编覆盖!B:B,"否")</f>
        <v>是</v>
      </c>
    </row>
    <row r="1273" spans="1:10" hidden="1">
      <c r="A1273" s="3">
        <v>94510</v>
      </c>
      <c r="B1273" s="1" t="s">
        <v>113</v>
      </c>
      <c r="C1273" s="2" t="str">
        <f>_xlfn.XLOOKUP(B1273,线路DSP对应!A:A,线路DSP对应!B:B)</f>
        <v>STA_SFO_SDG</v>
      </c>
      <c r="D1273" s="4" t="s">
        <v>154</v>
      </c>
      <c r="E1273" s="2" t="str">
        <f>_xlfn.XLOOKUP(A1273,转单情况!A:A,转单情况!B:B)</f>
        <v>否</v>
      </c>
      <c r="G1273" s="28">
        <f>ROUND(_xlfn.XLOOKUP(A1273,全量!A:A,全量!B:B,0)/7,1)</f>
        <v>10.3</v>
      </c>
      <c r="H1273" s="2">
        <f>ROUND(_xlfn.XLOOKUP(A1273,AE!A:A,AE!B:B,0)/7,1)</f>
        <v>6.3</v>
      </c>
      <c r="I1273" s="2" t="str">
        <f>_xlfn.XLOOKUP(A1273,SWFTX邮编覆盖!A:A,SWFTX邮编覆盖!B:B,"否")</f>
        <v>否</v>
      </c>
      <c r="J1273" s="2" t="str">
        <f>_xlfn.XLOOKUP(A1273,YW邮编覆盖!A:A,YW邮编覆盖!B:B,"否")</f>
        <v>否</v>
      </c>
    </row>
    <row r="1274" spans="1:10" hidden="1">
      <c r="A1274" s="3">
        <v>94706</v>
      </c>
      <c r="B1274" s="1" t="s">
        <v>114</v>
      </c>
      <c r="C1274" s="2" t="str">
        <f>_xlfn.XLOOKUP(B1274,线路DSP对应!A:A,线路DSP对应!B:B)</f>
        <v>STA_UIC_UDS</v>
      </c>
      <c r="D1274" s="4" t="s">
        <v>154</v>
      </c>
      <c r="E1274" s="2" t="str">
        <f>_xlfn.XLOOKUP(A1274,转单情况!A:A,转单情况!B:B)</f>
        <v>SW</v>
      </c>
      <c r="G1274" s="28">
        <f>ROUND(_xlfn.XLOOKUP(A1274,全量!A:A,全量!B:B,0)/7,1)</f>
        <v>4.7</v>
      </c>
      <c r="H1274" s="2">
        <f>ROUND(_xlfn.XLOOKUP(A1274,AE!A:A,AE!B:B,0)/7,1)</f>
        <v>4.7</v>
      </c>
      <c r="I1274" s="2" t="str">
        <f>_xlfn.XLOOKUP(A1274,SWFTX邮编覆盖!A:A,SWFTX邮编覆盖!B:B,"否")</f>
        <v>是</v>
      </c>
      <c r="J1274" s="2" t="str">
        <f>_xlfn.XLOOKUP(A1274,YW邮编覆盖!A:A,YW邮编覆盖!B:B,"否")</f>
        <v>是</v>
      </c>
    </row>
    <row r="1275" spans="1:10" hidden="1">
      <c r="A1275" s="3">
        <v>94710</v>
      </c>
      <c r="B1275" s="1" t="s">
        <v>114</v>
      </c>
      <c r="C1275" s="2" t="str">
        <f>_xlfn.XLOOKUP(B1275,线路DSP对应!A:A,线路DSP对应!B:B)</f>
        <v>STA_UIC_UDS</v>
      </c>
      <c r="D1275" s="4" t="s">
        <v>154</v>
      </c>
      <c r="E1275" s="2" t="str">
        <f>_xlfn.XLOOKUP(A1275,转单情况!A:A,转单情况!B:B)</f>
        <v>SW</v>
      </c>
      <c r="G1275" s="28">
        <f>ROUND(_xlfn.XLOOKUP(A1275,全量!A:A,全量!B:B,0)/7,1)</f>
        <v>2.4</v>
      </c>
      <c r="H1275" s="2">
        <f>ROUND(_xlfn.XLOOKUP(A1275,AE!A:A,AE!B:B,0)/7,1)</f>
        <v>2.4</v>
      </c>
      <c r="I1275" s="2" t="str">
        <f>_xlfn.XLOOKUP(A1275,SWFTX邮编覆盖!A:A,SWFTX邮编覆盖!B:B,"否")</f>
        <v>是</v>
      </c>
      <c r="J1275" s="2" t="str">
        <f>_xlfn.XLOOKUP(A1275,YW邮编覆盖!A:A,YW邮编覆盖!B:B,"否")</f>
        <v>是</v>
      </c>
    </row>
    <row r="1276" spans="1:10" hidden="1">
      <c r="A1276" s="3">
        <v>94702</v>
      </c>
      <c r="B1276" s="1" t="s">
        <v>114</v>
      </c>
      <c r="C1276" s="2" t="str">
        <f>_xlfn.XLOOKUP(B1276,线路DSP对应!A:A,线路DSP对应!B:B)</f>
        <v>STA_UIC_UDS</v>
      </c>
      <c r="D1276" s="4" t="s">
        <v>154</v>
      </c>
      <c r="E1276" s="2" t="str">
        <f>_xlfn.XLOOKUP(A1276,转单情况!A:A,转单情况!B:B)</f>
        <v>SW</v>
      </c>
      <c r="G1276" s="28">
        <f>ROUND(_xlfn.XLOOKUP(A1276,全量!A:A,全量!B:B,0)/7,1)</f>
        <v>3.6</v>
      </c>
      <c r="H1276" s="2">
        <f>ROUND(_xlfn.XLOOKUP(A1276,AE!A:A,AE!B:B,0)/7,1)</f>
        <v>3.4</v>
      </c>
      <c r="I1276" s="2" t="str">
        <f>_xlfn.XLOOKUP(A1276,SWFTX邮编覆盖!A:A,SWFTX邮编覆盖!B:B,"否")</f>
        <v>是</v>
      </c>
      <c r="J1276" s="2" t="str">
        <f>_xlfn.XLOOKUP(A1276,YW邮编覆盖!A:A,YW邮编覆盖!B:B,"否")</f>
        <v>是</v>
      </c>
    </row>
    <row r="1277" spans="1:10" hidden="1">
      <c r="A1277" s="3">
        <v>94703</v>
      </c>
      <c r="B1277" s="1" t="s">
        <v>114</v>
      </c>
      <c r="C1277" s="2" t="str">
        <f>_xlfn.XLOOKUP(B1277,线路DSP对应!A:A,线路DSP对应!B:B)</f>
        <v>STA_UIC_UDS</v>
      </c>
      <c r="D1277" s="4" t="s">
        <v>154</v>
      </c>
      <c r="E1277" s="2" t="str">
        <f>_xlfn.XLOOKUP(A1277,转单情况!A:A,转单情况!B:B)</f>
        <v>SW</v>
      </c>
      <c r="G1277" s="28">
        <f>ROUND(_xlfn.XLOOKUP(A1277,全量!A:A,全量!B:B,0)/7,1)</f>
        <v>6</v>
      </c>
      <c r="H1277" s="2">
        <f>ROUND(_xlfn.XLOOKUP(A1277,AE!A:A,AE!B:B,0)/7,1)</f>
        <v>5.7</v>
      </c>
      <c r="I1277" s="2" t="str">
        <f>_xlfn.XLOOKUP(A1277,SWFTX邮编覆盖!A:A,SWFTX邮编覆盖!B:B,"否")</f>
        <v>是</v>
      </c>
      <c r="J1277" s="2" t="str">
        <f>_xlfn.XLOOKUP(A1277,YW邮编覆盖!A:A,YW邮编覆盖!B:B,"否")</f>
        <v>是</v>
      </c>
    </row>
    <row r="1278" spans="1:10" hidden="1">
      <c r="A1278" s="3">
        <v>94707</v>
      </c>
      <c r="B1278" s="1" t="s">
        <v>114</v>
      </c>
      <c r="C1278" s="2" t="str">
        <f>_xlfn.XLOOKUP(B1278,线路DSP对应!A:A,线路DSP对应!B:B)</f>
        <v>STA_UIC_UDS</v>
      </c>
      <c r="D1278" s="4" t="s">
        <v>154</v>
      </c>
      <c r="E1278" s="2" t="str">
        <f>_xlfn.XLOOKUP(A1278,转单情况!A:A,转单情况!B:B)</f>
        <v>SW</v>
      </c>
      <c r="G1278" s="28">
        <f>ROUND(_xlfn.XLOOKUP(A1278,全量!A:A,全量!B:B,0)/7,1)</f>
        <v>3.3</v>
      </c>
      <c r="H1278" s="2">
        <f>ROUND(_xlfn.XLOOKUP(A1278,AE!A:A,AE!B:B,0)/7,1)</f>
        <v>3</v>
      </c>
      <c r="I1278" s="2" t="str">
        <f>_xlfn.XLOOKUP(A1278,SWFTX邮编覆盖!A:A,SWFTX邮编覆盖!B:B,"否")</f>
        <v>是</v>
      </c>
      <c r="J1278" s="2" t="str">
        <f>_xlfn.XLOOKUP(A1278,YW邮编覆盖!A:A,YW邮编覆盖!B:B,"否")</f>
        <v>是</v>
      </c>
    </row>
    <row r="1279" spans="1:10" hidden="1">
      <c r="A1279" s="3">
        <v>94708</v>
      </c>
      <c r="B1279" s="1" t="s">
        <v>114</v>
      </c>
      <c r="C1279" s="2" t="str">
        <f>_xlfn.XLOOKUP(B1279,线路DSP对应!A:A,线路DSP对应!B:B)</f>
        <v>STA_UIC_UDS</v>
      </c>
      <c r="D1279" s="4" t="s">
        <v>154</v>
      </c>
      <c r="E1279" s="2" t="str">
        <f>_xlfn.XLOOKUP(A1279,转单情况!A:A,转单情况!B:B)</f>
        <v>SW</v>
      </c>
      <c r="G1279" s="28">
        <f>ROUND(_xlfn.XLOOKUP(A1279,全量!A:A,全量!B:B,0)/7,1)</f>
        <v>1.6</v>
      </c>
      <c r="H1279" s="2">
        <f>ROUND(_xlfn.XLOOKUP(A1279,AE!A:A,AE!B:B,0)/7,1)</f>
        <v>1.4</v>
      </c>
      <c r="I1279" s="2" t="str">
        <f>_xlfn.XLOOKUP(A1279,SWFTX邮编覆盖!A:A,SWFTX邮编覆盖!B:B,"否")</f>
        <v>是</v>
      </c>
      <c r="J1279" s="2" t="str">
        <f>_xlfn.XLOOKUP(A1279,YW邮编覆盖!A:A,YW邮编覆盖!B:B,"否")</f>
        <v>否</v>
      </c>
    </row>
    <row r="1280" spans="1:10" hidden="1">
      <c r="A1280" s="3">
        <v>94709</v>
      </c>
      <c r="B1280" s="1" t="s">
        <v>114</v>
      </c>
      <c r="C1280" s="2" t="str">
        <f>_xlfn.XLOOKUP(B1280,线路DSP对应!A:A,线路DSP对应!B:B)</f>
        <v>STA_UIC_UDS</v>
      </c>
      <c r="D1280" s="4" t="s">
        <v>154</v>
      </c>
      <c r="E1280" s="2" t="str">
        <f>_xlfn.XLOOKUP(A1280,转单情况!A:A,转单情况!B:B)</f>
        <v>SW</v>
      </c>
      <c r="G1280" s="28">
        <f>ROUND(_xlfn.XLOOKUP(A1280,全量!A:A,全量!B:B,0)/7,1)</f>
        <v>1.6</v>
      </c>
      <c r="H1280" s="2">
        <f>ROUND(_xlfn.XLOOKUP(A1280,AE!A:A,AE!B:B,0)/7,1)</f>
        <v>1.4</v>
      </c>
      <c r="I1280" s="2" t="str">
        <f>_xlfn.XLOOKUP(A1280,SWFTX邮编覆盖!A:A,SWFTX邮编覆盖!B:B,"否")</f>
        <v>是</v>
      </c>
      <c r="J1280" s="2" t="str">
        <f>_xlfn.XLOOKUP(A1280,YW邮编覆盖!A:A,YW邮编覆盖!B:B,"否")</f>
        <v>是</v>
      </c>
    </row>
    <row r="1281" spans="1:10" hidden="1">
      <c r="A1281" s="3">
        <v>94720</v>
      </c>
      <c r="B1281" s="1" t="s">
        <v>114</v>
      </c>
      <c r="C1281" s="2" t="str">
        <f>_xlfn.XLOOKUP(B1281,线路DSP对应!A:A,线路DSP对应!B:B)</f>
        <v>STA_UIC_UDS</v>
      </c>
      <c r="D1281" s="4" t="s">
        <v>154</v>
      </c>
      <c r="E1281" s="2" t="str">
        <f>_xlfn.XLOOKUP(A1281,转单情况!A:A,转单情况!B:B)</f>
        <v>SW</v>
      </c>
      <c r="G1281" s="28">
        <f>ROUND(_xlfn.XLOOKUP(A1281,全量!A:A,全量!B:B,0)/7,1)</f>
        <v>0.6</v>
      </c>
      <c r="H1281" s="2">
        <f>ROUND(_xlfn.XLOOKUP(A1281,AE!A:A,AE!B:B,0)/7,1)</f>
        <v>0.4</v>
      </c>
      <c r="I1281" s="2" t="str">
        <f>_xlfn.XLOOKUP(A1281,SWFTX邮编覆盖!A:A,SWFTX邮编覆盖!B:B,"否")</f>
        <v>是</v>
      </c>
      <c r="J1281" s="2" t="str">
        <f>_xlfn.XLOOKUP(A1281,YW邮编覆盖!A:A,YW邮编覆盖!B:B,"否")</f>
        <v>是</v>
      </c>
    </row>
    <row r="1282" spans="1:10" hidden="1">
      <c r="A1282" s="3">
        <v>94704</v>
      </c>
      <c r="B1282" s="1" t="s">
        <v>114</v>
      </c>
      <c r="C1282" s="2" t="str">
        <f>_xlfn.XLOOKUP(B1282,线路DSP对应!A:A,线路DSP对应!B:B)</f>
        <v>STA_UIC_UDS</v>
      </c>
      <c r="D1282" s="4" t="s">
        <v>154</v>
      </c>
      <c r="E1282" s="2" t="str">
        <f>_xlfn.XLOOKUP(A1282,转单情况!A:A,转单情况!B:B)</f>
        <v>SW</v>
      </c>
      <c r="G1282" s="28">
        <f>ROUND(_xlfn.XLOOKUP(A1282,全量!A:A,全量!B:B,0)/7,1)</f>
        <v>5</v>
      </c>
      <c r="H1282" s="2">
        <f>ROUND(_xlfn.XLOOKUP(A1282,AE!A:A,AE!B:B,0)/7,1)</f>
        <v>5</v>
      </c>
      <c r="I1282" s="2" t="str">
        <f>_xlfn.XLOOKUP(A1282,SWFTX邮编覆盖!A:A,SWFTX邮编覆盖!B:B,"否")</f>
        <v>是</v>
      </c>
      <c r="J1282" s="2" t="str">
        <f>_xlfn.XLOOKUP(A1282,YW邮编覆盖!A:A,YW邮编覆盖!B:B,"否")</f>
        <v>是</v>
      </c>
    </row>
    <row r="1283" spans="1:10" hidden="1">
      <c r="A1283" s="3">
        <v>94705</v>
      </c>
      <c r="B1283" s="1" t="s">
        <v>114</v>
      </c>
      <c r="C1283" s="2" t="str">
        <f>_xlfn.XLOOKUP(B1283,线路DSP对应!A:A,线路DSP对应!B:B)</f>
        <v>STA_UIC_UDS</v>
      </c>
      <c r="D1283" s="4" t="s">
        <v>154</v>
      </c>
      <c r="E1283" s="2" t="str">
        <f>_xlfn.XLOOKUP(A1283,转单情况!A:A,转单情况!B:B)</f>
        <v>SW</v>
      </c>
      <c r="G1283" s="28">
        <f>ROUND(_xlfn.XLOOKUP(A1283,全量!A:A,全量!B:B,0)/7,1)</f>
        <v>2.7</v>
      </c>
      <c r="H1283" s="2">
        <f>ROUND(_xlfn.XLOOKUP(A1283,AE!A:A,AE!B:B,0)/7,1)</f>
        <v>2.7</v>
      </c>
      <c r="I1283" s="2" t="str">
        <f>_xlfn.XLOOKUP(A1283,SWFTX邮编覆盖!A:A,SWFTX邮编覆盖!B:B,"否")</f>
        <v>是</v>
      </c>
      <c r="J1283" s="2" t="str">
        <f>_xlfn.XLOOKUP(A1283,YW邮编覆盖!A:A,YW邮编覆盖!B:B,"否")</f>
        <v>是</v>
      </c>
    </row>
    <row r="1284" spans="1:10" hidden="1">
      <c r="A1284" s="3">
        <v>94530</v>
      </c>
      <c r="B1284" s="1" t="s">
        <v>114</v>
      </c>
      <c r="C1284" s="2" t="str">
        <f>_xlfn.XLOOKUP(B1284,线路DSP对应!A:A,线路DSP对应!B:B)</f>
        <v>STA_UIC_UDS</v>
      </c>
      <c r="D1284" s="4" t="s">
        <v>154</v>
      </c>
      <c r="E1284" s="2" t="str">
        <f>_xlfn.XLOOKUP(A1284,转单情况!A:A,转单情况!B:B)</f>
        <v>SW</v>
      </c>
      <c r="G1284" s="28">
        <f>ROUND(_xlfn.XLOOKUP(A1284,全量!A:A,全量!B:B,0)/7,1)</f>
        <v>6.6</v>
      </c>
      <c r="H1284" s="2">
        <f>ROUND(_xlfn.XLOOKUP(A1284,AE!A:A,AE!B:B,0)/7,1)</f>
        <v>6.3</v>
      </c>
      <c r="I1284" s="2" t="str">
        <f>_xlfn.XLOOKUP(A1284,SWFTX邮编覆盖!A:A,SWFTX邮编覆盖!B:B,"否")</f>
        <v>是</v>
      </c>
      <c r="J1284" s="2" t="str">
        <f>_xlfn.XLOOKUP(A1284,YW邮编覆盖!A:A,YW邮编覆盖!B:B,"否")</f>
        <v>是</v>
      </c>
    </row>
    <row r="1285" spans="1:10">
      <c r="A1285" s="3">
        <v>94597</v>
      </c>
      <c r="B1285" s="1" t="s">
        <v>114</v>
      </c>
      <c r="C1285" s="2" t="str">
        <f>_xlfn.XLOOKUP(B1285,线路DSP对应!A:A,线路DSP对应!B:B)</f>
        <v>STA_UIC_UDS</v>
      </c>
      <c r="D1285" s="4" t="s">
        <v>154</v>
      </c>
      <c r="E1285" s="2" t="str">
        <f>_xlfn.XLOOKUP(A1285,转单情况!A:A,转单情况!B:B)</f>
        <v>YW</v>
      </c>
      <c r="G1285" s="28">
        <f>ROUND(_xlfn.XLOOKUP(A1285,全量!A:A,全量!B:B,0)/7,1)</f>
        <v>7.7</v>
      </c>
      <c r="H1285" s="2">
        <f>ROUND(_xlfn.XLOOKUP(A1285,AE!A:A,AE!B:B,0)/7,1)</f>
        <v>5.7</v>
      </c>
      <c r="I1285" s="2" t="str">
        <f>_xlfn.XLOOKUP(A1285,SWFTX邮编覆盖!A:A,SWFTX邮编覆盖!B:B,"否")</f>
        <v>否</v>
      </c>
      <c r="J1285" s="2" t="str">
        <f>_xlfn.XLOOKUP(A1285,YW邮编覆盖!A:A,YW邮编覆盖!B:B,"否")</f>
        <v>是</v>
      </c>
    </row>
    <row r="1286" spans="1:10">
      <c r="A1286" s="3">
        <v>94596</v>
      </c>
      <c r="B1286" s="1" t="s">
        <v>114</v>
      </c>
      <c r="C1286" s="2" t="str">
        <f>_xlfn.XLOOKUP(B1286,线路DSP对应!A:A,线路DSP对应!B:B)</f>
        <v>STA_UIC_UDS</v>
      </c>
      <c r="D1286" s="4" t="s">
        <v>154</v>
      </c>
      <c r="E1286" s="2" t="str">
        <f>_xlfn.XLOOKUP(A1286,转单情况!A:A,转单情况!B:B)</f>
        <v>YW</v>
      </c>
      <c r="G1286" s="28">
        <f>ROUND(_xlfn.XLOOKUP(A1286,全量!A:A,全量!B:B,0)/7,1)</f>
        <v>4.4000000000000004</v>
      </c>
      <c r="H1286" s="2">
        <f>ROUND(_xlfn.XLOOKUP(A1286,AE!A:A,AE!B:B,0)/7,1)</f>
        <v>3.4</v>
      </c>
      <c r="I1286" s="2" t="str">
        <f>_xlfn.XLOOKUP(A1286,SWFTX邮编覆盖!A:A,SWFTX邮编覆盖!B:B,"否")</f>
        <v>否</v>
      </c>
      <c r="J1286" s="2" t="str">
        <f>_xlfn.XLOOKUP(A1286,YW邮编覆盖!A:A,YW邮编覆盖!B:B,"否")</f>
        <v>是</v>
      </c>
    </row>
    <row r="1287" spans="1:10" hidden="1">
      <c r="A1287" s="3">
        <v>94595</v>
      </c>
      <c r="B1287" s="1" t="s">
        <v>114</v>
      </c>
      <c r="C1287" s="2" t="str">
        <f>_xlfn.XLOOKUP(B1287,线路DSP对应!A:A,线路DSP对应!B:B)</f>
        <v>STA_UIC_UDS</v>
      </c>
      <c r="D1287" s="4" t="s">
        <v>154</v>
      </c>
      <c r="E1287" s="2" t="str">
        <f>_xlfn.XLOOKUP(A1287,转单情况!A:A,转单情况!B:B)</f>
        <v>否</v>
      </c>
      <c r="G1287" s="28">
        <f>ROUND(_xlfn.XLOOKUP(A1287,全量!A:A,全量!B:B,0)/7,1)</f>
        <v>3.9</v>
      </c>
      <c r="H1287" s="2">
        <f>ROUND(_xlfn.XLOOKUP(A1287,AE!A:A,AE!B:B,0)/7,1)</f>
        <v>3</v>
      </c>
      <c r="I1287" s="2" t="str">
        <f>_xlfn.XLOOKUP(A1287,SWFTX邮编覆盖!A:A,SWFTX邮编覆盖!B:B,"否")</f>
        <v>否</v>
      </c>
      <c r="J1287" s="2" t="str">
        <f>_xlfn.XLOOKUP(A1287,YW邮编覆盖!A:A,YW邮编覆盖!B:B,"否")</f>
        <v>否</v>
      </c>
    </row>
    <row r="1288" spans="1:10" hidden="1">
      <c r="A1288" s="3">
        <v>94598</v>
      </c>
      <c r="B1288" s="1" t="s">
        <v>114</v>
      </c>
      <c r="C1288" s="2" t="str">
        <f>_xlfn.XLOOKUP(B1288,线路DSP对应!A:A,线路DSP对应!B:B)</f>
        <v>STA_UIC_UDS</v>
      </c>
      <c r="D1288" s="4" t="s">
        <v>154</v>
      </c>
      <c r="E1288" s="2" t="str">
        <f>_xlfn.XLOOKUP(A1288,转单情况!A:A,转单情况!B:B)</f>
        <v>SW</v>
      </c>
      <c r="G1288" s="28">
        <f>ROUND(_xlfn.XLOOKUP(A1288,全量!A:A,全量!B:B,0)/7,1)</f>
        <v>7.1</v>
      </c>
      <c r="H1288" s="2">
        <f>ROUND(_xlfn.XLOOKUP(A1288,AE!A:A,AE!B:B,0)/7,1)</f>
        <v>6.4</v>
      </c>
      <c r="I1288" s="2" t="str">
        <f>_xlfn.XLOOKUP(A1288,SWFTX邮编覆盖!A:A,SWFTX邮编覆盖!B:B,"否")</f>
        <v>是</v>
      </c>
      <c r="J1288" s="2" t="str">
        <f>_xlfn.XLOOKUP(A1288,YW邮编覆盖!A:A,YW邮编覆盖!B:B,"否")</f>
        <v>否</v>
      </c>
    </row>
    <row r="1289" spans="1:10" hidden="1">
      <c r="A1289" s="3">
        <v>94556</v>
      </c>
      <c r="B1289" s="1" t="s">
        <v>114</v>
      </c>
      <c r="C1289" s="2" t="str">
        <f>_xlfn.XLOOKUP(B1289,线路DSP对应!A:A,线路DSP对应!B:B)</f>
        <v>STA_UIC_UDS</v>
      </c>
      <c r="D1289" s="4" t="s">
        <v>154</v>
      </c>
      <c r="E1289" s="2" t="str">
        <f>_xlfn.XLOOKUP(A1289,转单情况!A:A,转单情况!B:B)</f>
        <v>否</v>
      </c>
      <c r="G1289" s="28">
        <f>ROUND(_xlfn.XLOOKUP(A1289,全量!A:A,全量!B:B,0)/7,1)</f>
        <v>6.3</v>
      </c>
      <c r="H1289" s="2">
        <f>ROUND(_xlfn.XLOOKUP(A1289,AE!A:A,AE!B:B,0)/7,1)</f>
        <v>4.5999999999999996</v>
      </c>
      <c r="I1289" s="2" t="str">
        <f>_xlfn.XLOOKUP(A1289,SWFTX邮编覆盖!A:A,SWFTX邮编覆盖!B:B,"否")</f>
        <v>否</v>
      </c>
      <c r="J1289" s="2" t="str">
        <f>_xlfn.XLOOKUP(A1289,YW邮编覆盖!A:A,YW邮编覆盖!B:B,"否")</f>
        <v>否</v>
      </c>
    </row>
    <row r="1290" spans="1:10" hidden="1">
      <c r="A1290" s="3">
        <v>94563</v>
      </c>
      <c r="B1290" s="1" t="s">
        <v>114</v>
      </c>
      <c r="C1290" s="2" t="str">
        <f>_xlfn.XLOOKUP(B1290,线路DSP对应!A:A,线路DSP对应!B:B)</f>
        <v>STA_UIC_UDS</v>
      </c>
      <c r="D1290" s="4" t="s">
        <v>154</v>
      </c>
      <c r="E1290" s="2" t="str">
        <f>_xlfn.XLOOKUP(A1290,转单情况!A:A,转单情况!B:B)</f>
        <v>SW</v>
      </c>
      <c r="G1290" s="28">
        <f>ROUND(_xlfn.XLOOKUP(A1290,全量!A:A,全量!B:B,0)/7,1)</f>
        <v>3.7</v>
      </c>
      <c r="H1290" s="2">
        <f>ROUND(_xlfn.XLOOKUP(A1290,AE!A:A,AE!B:B,0)/7,1)</f>
        <v>3.7</v>
      </c>
      <c r="I1290" s="2" t="str">
        <f>_xlfn.XLOOKUP(A1290,SWFTX邮编覆盖!A:A,SWFTX邮编覆盖!B:B,"否")</f>
        <v>是</v>
      </c>
      <c r="J1290" s="2" t="str">
        <f>_xlfn.XLOOKUP(A1290,YW邮编覆盖!A:A,YW邮编覆盖!B:B,"否")</f>
        <v>否</v>
      </c>
    </row>
    <row r="1291" spans="1:10" hidden="1">
      <c r="A1291" s="3">
        <v>94549</v>
      </c>
      <c r="B1291" s="1" t="s">
        <v>114</v>
      </c>
      <c r="C1291" s="2" t="str">
        <f>_xlfn.XLOOKUP(B1291,线路DSP对应!A:A,线路DSP对应!B:B)</f>
        <v>STA_UIC_UDS</v>
      </c>
      <c r="D1291" s="4" t="s">
        <v>154</v>
      </c>
      <c r="E1291" s="2" t="str">
        <f>_xlfn.XLOOKUP(A1291,转单情况!A:A,转单情况!B:B)</f>
        <v>否</v>
      </c>
      <c r="G1291" s="28">
        <f>ROUND(_xlfn.XLOOKUP(A1291,全量!A:A,全量!B:B,0)/7,1)</f>
        <v>7.4</v>
      </c>
      <c r="H1291" s="2">
        <f>ROUND(_xlfn.XLOOKUP(A1291,AE!A:A,AE!B:B,0)/7,1)</f>
        <v>4.4000000000000004</v>
      </c>
      <c r="I1291" s="2" t="str">
        <f>_xlfn.XLOOKUP(A1291,SWFTX邮编覆盖!A:A,SWFTX邮编覆盖!B:B,"否")</f>
        <v>否</v>
      </c>
      <c r="J1291" s="2" t="str">
        <f>_xlfn.XLOOKUP(A1291,YW邮编覆盖!A:A,YW邮编覆盖!B:B,"否")</f>
        <v>否</v>
      </c>
    </row>
    <row r="1292" spans="1:10" hidden="1">
      <c r="A1292" s="3">
        <v>94575</v>
      </c>
      <c r="B1292" s="1" t="s">
        <v>114</v>
      </c>
      <c r="C1292" s="2" t="str">
        <f>_xlfn.XLOOKUP(B1292,线路DSP对应!A:A,线路DSP对应!B:B)</f>
        <v>STA_UIC_UDS</v>
      </c>
      <c r="D1292" s="4" t="s">
        <v>154</v>
      </c>
      <c r="E1292" s="2" t="str">
        <f>_xlfn.XLOOKUP(A1292,转单情况!A:A,转单情况!B:B)</f>
        <v>SW</v>
      </c>
      <c r="G1292" s="28">
        <f>ROUND(_xlfn.XLOOKUP(A1292,全量!A:A,全量!B:B,0)/7,1)</f>
        <v>0</v>
      </c>
      <c r="H1292" s="2">
        <f>ROUND(_xlfn.XLOOKUP(A1292,AE!A:A,AE!B:B,0)/7,1)</f>
        <v>0</v>
      </c>
      <c r="I1292" s="2" t="str">
        <f>_xlfn.XLOOKUP(A1292,SWFTX邮编覆盖!A:A,SWFTX邮编覆盖!B:B,"否")</f>
        <v>是</v>
      </c>
      <c r="J1292" s="2" t="str">
        <f>_xlfn.XLOOKUP(A1292,YW邮编覆盖!A:A,YW邮编覆盖!B:B,"否")</f>
        <v>否</v>
      </c>
    </row>
    <row r="1293" spans="1:10" hidden="1">
      <c r="A1293" s="3">
        <v>94516</v>
      </c>
      <c r="B1293" s="1" t="s">
        <v>114</v>
      </c>
      <c r="C1293" s="2" t="str">
        <f>_xlfn.XLOOKUP(B1293,线路DSP对应!A:A,线路DSP对应!B:B)</f>
        <v>STA_UIC_UDS</v>
      </c>
      <c r="D1293" s="4" t="s">
        <v>154</v>
      </c>
      <c r="E1293" s="2" t="str">
        <f>_xlfn.XLOOKUP(A1293,转单情况!A:A,转单情况!B:B)</f>
        <v>否</v>
      </c>
      <c r="G1293" s="28">
        <f>ROUND(_xlfn.XLOOKUP(A1293,全量!A:A,全量!B:B,0)/7,1)</f>
        <v>0</v>
      </c>
      <c r="H1293" s="2">
        <f>ROUND(_xlfn.XLOOKUP(A1293,AE!A:A,AE!B:B,0)/7,1)</f>
        <v>0</v>
      </c>
      <c r="I1293" s="2" t="str">
        <f>_xlfn.XLOOKUP(A1293,SWFTX邮编覆盖!A:A,SWFTX邮编覆盖!B:B,"否")</f>
        <v>否</v>
      </c>
      <c r="J1293" s="2" t="str">
        <f>_xlfn.XLOOKUP(A1293,YW邮编覆盖!A:A,YW邮编覆盖!B:B,"否")</f>
        <v>否</v>
      </c>
    </row>
    <row r="1294" spans="1:10" hidden="1">
      <c r="A1294" s="3">
        <v>94528</v>
      </c>
      <c r="B1294" s="1" t="s">
        <v>114</v>
      </c>
      <c r="C1294" s="2" t="str">
        <f>_xlfn.XLOOKUP(B1294,线路DSP对应!A:A,线路DSP对应!B:B)</f>
        <v>STA_UIC_UDS</v>
      </c>
      <c r="D1294" s="4" t="s">
        <v>154</v>
      </c>
      <c r="E1294" s="2" t="str">
        <f>_xlfn.XLOOKUP(A1294,转单情况!A:A,转单情况!B:B)</f>
        <v>否</v>
      </c>
      <c r="G1294" s="28">
        <f>ROUND(_xlfn.XLOOKUP(A1294,全量!A:A,全量!B:B,0)/7,1)</f>
        <v>0.1</v>
      </c>
      <c r="H1294" s="2">
        <f>ROUND(_xlfn.XLOOKUP(A1294,AE!A:A,AE!B:B,0)/7,1)</f>
        <v>0.1</v>
      </c>
      <c r="I1294" s="2" t="str">
        <f>_xlfn.XLOOKUP(A1294,SWFTX邮编覆盖!A:A,SWFTX邮编覆盖!B:B,"否")</f>
        <v>否</v>
      </c>
      <c r="J1294" s="2" t="str">
        <f>_xlfn.XLOOKUP(A1294,YW邮编覆盖!A:A,YW邮编覆盖!B:B,"否")</f>
        <v>否</v>
      </c>
    </row>
    <row r="1295" spans="1:10">
      <c r="A1295" s="3">
        <v>94507</v>
      </c>
      <c r="B1295" s="1" t="s">
        <v>114</v>
      </c>
      <c r="C1295" s="2" t="str">
        <f>_xlfn.XLOOKUP(B1295,线路DSP对应!A:A,线路DSP对应!B:B)</f>
        <v>STA_UIC_UDS</v>
      </c>
      <c r="D1295" s="4" t="s">
        <v>154</v>
      </c>
      <c r="E1295" s="2" t="str">
        <f>_xlfn.XLOOKUP(A1295,转单情况!A:A,转单情况!B:B)</f>
        <v>YW</v>
      </c>
      <c r="G1295" s="28">
        <f>ROUND(_xlfn.XLOOKUP(A1295,全量!A:A,全量!B:B,0)/7,1)</f>
        <v>5.7</v>
      </c>
      <c r="H1295" s="2">
        <f>ROUND(_xlfn.XLOOKUP(A1295,AE!A:A,AE!B:B,0)/7,1)</f>
        <v>4.3</v>
      </c>
      <c r="I1295" s="2" t="str">
        <f>_xlfn.XLOOKUP(A1295,SWFTX邮编覆盖!A:A,SWFTX邮编覆盖!B:B,"否")</f>
        <v>否</v>
      </c>
      <c r="J1295" s="2" t="str">
        <f>_xlfn.XLOOKUP(A1295,YW邮编覆盖!A:A,YW邮编覆盖!B:B,"否")</f>
        <v>是</v>
      </c>
    </row>
    <row r="1296" spans="1:10" hidden="1">
      <c r="A1296" s="3">
        <v>94506</v>
      </c>
      <c r="B1296" s="1" t="s">
        <v>114</v>
      </c>
      <c r="C1296" s="2" t="str">
        <f>_xlfn.XLOOKUP(B1296,线路DSP对应!A:A,线路DSP对应!B:B)</f>
        <v>STA_UIC_UDS</v>
      </c>
      <c r="D1296" s="4" t="s">
        <v>154</v>
      </c>
      <c r="E1296" s="2" t="str">
        <f>_xlfn.XLOOKUP(A1296,转单情况!A:A,转单情况!B:B)</f>
        <v>SW</v>
      </c>
      <c r="G1296" s="28">
        <f>ROUND(_xlfn.XLOOKUP(A1296,全量!A:A,全量!B:B,0)/7,1)</f>
        <v>5</v>
      </c>
      <c r="H1296" s="2">
        <f>ROUND(_xlfn.XLOOKUP(A1296,AE!A:A,AE!B:B,0)/7,1)</f>
        <v>4.7</v>
      </c>
      <c r="I1296" s="2" t="str">
        <f>_xlfn.XLOOKUP(A1296,SWFTX邮编覆盖!A:A,SWFTX邮编覆盖!B:B,"否")</f>
        <v>是</v>
      </c>
      <c r="J1296" s="2" t="str">
        <f>_xlfn.XLOOKUP(A1296,YW邮编覆盖!A:A,YW邮编覆盖!B:B,"否")</f>
        <v>是</v>
      </c>
    </row>
    <row r="1297" spans="1:10" hidden="1">
      <c r="A1297" s="3">
        <v>94526</v>
      </c>
      <c r="B1297" s="1" t="s">
        <v>114</v>
      </c>
      <c r="C1297" s="2" t="str">
        <f>_xlfn.XLOOKUP(B1297,线路DSP对应!A:A,线路DSP对应!B:B)</f>
        <v>STA_UIC_UDS</v>
      </c>
      <c r="D1297" s="4" t="s">
        <v>154</v>
      </c>
      <c r="E1297" s="2" t="str">
        <f>_xlfn.XLOOKUP(A1297,转单情况!A:A,转单情况!B:B)</f>
        <v>否</v>
      </c>
      <c r="G1297" s="28">
        <f>ROUND(_xlfn.XLOOKUP(A1297,全量!A:A,全量!B:B,0)/7,1)</f>
        <v>8.1</v>
      </c>
      <c r="H1297" s="2">
        <f>ROUND(_xlfn.XLOOKUP(A1297,AE!A:A,AE!B:B,0)/7,1)</f>
        <v>5.3</v>
      </c>
      <c r="I1297" s="2" t="str">
        <f>_xlfn.XLOOKUP(A1297,SWFTX邮编覆盖!A:A,SWFTX邮编覆盖!B:B,"否")</f>
        <v>否</v>
      </c>
      <c r="J1297" s="2" t="str">
        <f>_xlfn.XLOOKUP(A1297,YW邮编覆盖!A:A,YW邮编覆盖!B:B,"否")</f>
        <v>否</v>
      </c>
    </row>
    <row r="1298" spans="1:10" hidden="1">
      <c r="A1298" s="3">
        <v>94569</v>
      </c>
      <c r="B1298" s="1" t="s">
        <v>115</v>
      </c>
      <c r="C1298" s="2" t="str">
        <f>_xlfn.XLOOKUP(B1298,线路DSP对应!A:A,线路DSP对应!B:B)</f>
        <v>STA_SFO_SDG</v>
      </c>
      <c r="D1298" s="4" t="s">
        <v>154</v>
      </c>
      <c r="E1298" s="2" t="str">
        <f>_xlfn.XLOOKUP(A1298,转单情况!A:A,转单情况!B:B)</f>
        <v>SW</v>
      </c>
      <c r="G1298" s="28">
        <f>ROUND(_xlfn.XLOOKUP(A1298,全量!A:A,全量!B:B,0)/7,1)</f>
        <v>0</v>
      </c>
      <c r="H1298" s="2">
        <f>ROUND(_xlfn.XLOOKUP(A1298,AE!A:A,AE!B:B,0)/7,1)</f>
        <v>0</v>
      </c>
      <c r="I1298" s="2" t="str">
        <f>_xlfn.XLOOKUP(A1298,SWFTX邮编覆盖!A:A,SWFTX邮编覆盖!B:B,"否")</f>
        <v>是</v>
      </c>
      <c r="J1298" s="2" t="str">
        <f>_xlfn.XLOOKUP(A1298,YW邮编覆盖!A:A,YW邮编覆盖!B:B,"否")</f>
        <v>否</v>
      </c>
    </row>
    <row r="1299" spans="1:10" hidden="1">
      <c r="A1299" s="3">
        <v>94525</v>
      </c>
      <c r="B1299" s="1" t="s">
        <v>115</v>
      </c>
      <c r="C1299" s="2" t="str">
        <f>_xlfn.XLOOKUP(B1299,线路DSP对应!A:A,线路DSP对应!B:B)</f>
        <v>STA_SFO_SDG</v>
      </c>
      <c r="D1299" s="4" t="s">
        <v>154</v>
      </c>
      <c r="E1299" s="2" t="str">
        <f>_xlfn.XLOOKUP(A1299,转单情况!A:A,转单情况!B:B)</f>
        <v>SW</v>
      </c>
      <c r="G1299" s="28">
        <f>ROUND(_xlfn.XLOOKUP(A1299,全量!A:A,全量!B:B,0)/7,1)</f>
        <v>0.7</v>
      </c>
      <c r="H1299" s="2">
        <f>ROUND(_xlfn.XLOOKUP(A1299,AE!A:A,AE!B:B,0)/7,1)</f>
        <v>0.7</v>
      </c>
      <c r="I1299" s="2" t="str">
        <f>_xlfn.XLOOKUP(A1299,SWFTX邮编覆盖!A:A,SWFTX邮编覆盖!B:B,"否")</f>
        <v>是</v>
      </c>
      <c r="J1299" s="2" t="str">
        <f>_xlfn.XLOOKUP(A1299,YW邮编覆盖!A:A,YW邮编覆盖!B:B,"否")</f>
        <v>是</v>
      </c>
    </row>
    <row r="1300" spans="1:10" hidden="1">
      <c r="A1300" s="3">
        <v>94572</v>
      </c>
      <c r="B1300" s="1" t="s">
        <v>115</v>
      </c>
      <c r="C1300" s="2" t="str">
        <f>_xlfn.XLOOKUP(B1300,线路DSP对应!A:A,线路DSP对应!B:B)</f>
        <v>STA_SFO_SDG</v>
      </c>
      <c r="D1300" s="4" t="s">
        <v>154</v>
      </c>
      <c r="E1300" s="2" t="str">
        <f>_xlfn.XLOOKUP(A1300,转单情况!A:A,转单情况!B:B)</f>
        <v>否</v>
      </c>
      <c r="G1300" s="28">
        <f>ROUND(_xlfn.XLOOKUP(A1300,全量!A:A,全量!B:B,0)/7,1)</f>
        <v>3.3</v>
      </c>
      <c r="H1300" s="2">
        <f>ROUND(_xlfn.XLOOKUP(A1300,AE!A:A,AE!B:B,0)/7,1)</f>
        <v>3</v>
      </c>
      <c r="I1300" s="2" t="str">
        <f>_xlfn.XLOOKUP(A1300,SWFTX邮编覆盖!A:A,SWFTX邮编覆盖!B:B,"否")</f>
        <v>是</v>
      </c>
      <c r="J1300" s="2" t="str">
        <f>_xlfn.XLOOKUP(A1300,YW邮编覆盖!A:A,YW邮编覆盖!B:B,"否")</f>
        <v>是</v>
      </c>
    </row>
    <row r="1301" spans="1:10" hidden="1">
      <c r="A1301" s="3">
        <v>94547</v>
      </c>
      <c r="B1301" s="1" t="s">
        <v>115</v>
      </c>
      <c r="C1301" s="2" t="str">
        <f>_xlfn.XLOOKUP(B1301,线路DSP对应!A:A,线路DSP对应!B:B)</f>
        <v>STA_SFO_SDG</v>
      </c>
      <c r="D1301" s="4" t="s">
        <v>154</v>
      </c>
      <c r="E1301" s="2" t="str">
        <f>_xlfn.XLOOKUP(A1301,转单情况!A:A,转单情况!B:B)</f>
        <v>否</v>
      </c>
      <c r="G1301" s="28">
        <f>ROUND(_xlfn.XLOOKUP(A1301,全量!A:A,全量!B:B,0)/7,1)</f>
        <v>7.1</v>
      </c>
      <c r="H1301" s="2">
        <f>ROUND(_xlfn.XLOOKUP(A1301,AE!A:A,AE!B:B,0)/7,1)</f>
        <v>7</v>
      </c>
      <c r="I1301" s="2" t="str">
        <f>_xlfn.XLOOKUP(A1301,SWFTX邮编覆盖!A:A,SWFTX邮编覆盖!B:B,"否")</f>
        <v>是</v>
      </c>
      <c r="J1301" s="2" t="str">
        <f>_xlfn.XLOOKUP(A1301,YW邮编覆盖!A:A,YW邮编覆盖!B:B,"否")</f>
        <v>是</v>
      </c>
    </row>
    <row r="1302" spans="1:10" hidden="1">
      <c r="A1302" s="3">
        <v>94803</v>
      </c>
      <c r="B1302" s="1" t="s">
        <v>115</v>
      </c>
      <c r="C1302" s="2" t="str">
        <f>_xlfn.XLOOKUP(B1302,线路DSP对应!A:A,线路DSP对应!B:B)</f>
        <v>STA_SFO_SDG</v>
      </c>
      <c r="D1302" s="4" t="s">
        <v>154</v>
      </c>
      <c r="E1302" s="2" t="str">
        <f>_xlfn.XLOOKUP(A1302,转单情况!A:A,转单情况!B:B)</f>
        <v>否</v>
      </c>
      <c r="G1302" s="28">
        <f>ROUND(_xlfn.XLOOKUP(A1302,全量!A:A,全量!B:B,0)/7,1)</f>
        <v>7.6</v>
      </c>
      <c r="H1302" s="2">
        <f>ROUND(_xlfn.XLOOKUP(A1302,AE!A:A,AE!B:B,0)/7,1)</f>
        <v>7</v>
      </c>
      <c r="I1302" s="2" t="str">
        <f>_xlfn.XLOOKUP(A1302,SWFTX邮编覆盖!A:A,SWFTX邮编覆盖!B:B,"否")</f>
        <v>是</v>
      </c>
      <c r="J1302" s="2" t="str">
        <f>_xlfn.XLOOKUP(A1302,YW邮编覆盖!A:A,YW邮编覆盖!B:B,"否")</f>
        <v>是</v>
      </c>
    </row>
    <row r="1303" spans="1:10" hidden="1">
      <c r="A1303" s="3">
        <v>94564</v>
      </c>
      <c r="B1303" s="1" t="s">
        <v>115</v>
      </c>
      <c r="C1303" s="2" t="str">
        <f>_xlfn.XLOOKUP(B1303,线路DSP对应!A:A,线路DSP对应!B:B)</f>
        <v>STA_SFO_SDG</v>
      </c>
      <c r="D1303" s="4" t="s">
        <v>154</v>
      </c>
      <c r="E1303" s="2" t="str">
        <f>_xlfn.XLOOKUP(A1303,转单情况!A:A,转单情况!B:B)</f>
        <v>否</v>
      </c>
      <c r="G1303" s="28">
        <f>ROUND(_xlfn.XLOOKUP(A1303,全量!A:A,全量!B:B,0)/7,1)</f>
        <v>4.3</v>
      </c>
      <c r="H1303" s="2">
        <f>ROUND(_xlfn.XLOOKUP(A1303,AE!A:A,AE!B:B,0)/7,1)</f>
        <v>4</v>
      </c>
      <c r="I1303" s="2" t="str">
        <f>_xlfn.XLOOKUP(A1303,SWFTX邮编覆盖!A:A,SWFTX邮编覆盖!B:B,"否")</f>
        <v>是</v>
      </c>
      <c r="J1303" s="2" t="str">
        <f>_xlfn.XLOOKUP(A1303,YW邮编覆盖!A:A,YW邮编覆盖!B:B,"否")</f>
        <v>是</v>
      </c>
    </row>
    <row r="1304" spans="1:10" hidden="1">
      <c r="A1304" s="3">
        <v>93062</v>
      </c>
      <c r="B1304" s="1" t="s">
        <v>162</v>
      </c>
      <c r="C1304" s="2" t="e">
        <f>_xlfn.XLOOKUP(B1304,线路DSP对应!A:A,线路DSP对应!B:B)</f>
        <v>#N/A</v>
      </c>
      <c r="D1304" s="4" t="s">
        <v>160</v>
      </c>
      <c r="E1304" s="2" t="e">
        <f>_xlfn.XLOOKUP(A1304,转单情况!A:A,转单情况!B:B)</f>
        <v>#N/A</v>
      </c>
      <c r="G1304" s="28">
        <f>ROUND(_xlfn.XLOOKUP(A1304,全量!A:A,全量!B:B,0)/7,1)</f>
        <v>0</v>
      </c>
      <c r="H1304" s="2">
        <f>ROUND(_xlfn.XLOOKUP(A1304,AE!A:A,AE!B:B,0)/7,1)</f>
        <v>0</v>
      </c>
      <c r="I1304" s="2" t="str">
        <f>_xlfn.XLOOKUP(A1304,SWFTX邮编覆盖!A:A,SWFTX邮编覆盖!B:B,"否")</f>
        <v>否</v>
      </c>
      <c r="J1304" s="2" t="str">
        <f>_xlfn.XLOOKUP(A1304,YW邮编覆盖!A:A,YW邮编覆盖!B:B,"否")</f>
        <v>否</v>
      </c>
    </row>
  </sheetData>
  <autoFilter ref="A1:J1304" xr:uid="{2E8F626B-E5F0-4118-9DA9-1B93DBF385A1}">
    <filterColumn colId="8">
      <filters>
        <filter val="否"/>
      </filters>
    </filterColumn>
    <filterColumn colId="9">
      <filters>
        <filter val="是"/>
      </filters>
    </filterColumn>
  </autoFilter>
  <conditionalFormatting sqref="A1303:A1048576 A1:A1269">
    <cfRule type="duplicateValues" dxfId="8" priority="1"/>
  </conditionalFormatting>
  <conditionalFormatting sqref="A1303:A1048576">
    <cfRule type="duplicateValues" dxfId="7" priority="2"/>
  </conditionalFormatting>
  <conditionalFormatting sqref="A1:A1048576">
    <cfRule type="duplicateValues" dxfId="6" priority="3"/>
  </conditionalFormatting>
  <conditionalFormatting sqref="A1:A1048576">
    <cfRule type="duplicateValues" dxfId="5" priority="4"/>
  </conditionalFormatting>
  <conditionalFormatting sqref="A1270:A1302">
    <cfRule type="duplicateValues" dxfId="4" priority="5"/>
  </conditionalFormatting>
  <conditionalFormatting sqref="A1:A1048576">
    <cfRule type="duplicateValues" dxfId="3" priority="6"/>
  </conditionalFormatting>
  <conditionalFormatting sqref="A1:A1048576">
    <cfRule type="duplicateValues" dxfId="2" priority="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AE988-15BF-44C0-8755-0A111BB787E7}">
  <dimension ref="A1:B1304"/>
  <sheetViews>
    <sheetView workbookViewId="0">
      <selection sqref="A1:B1048576"/>
    </sheetView>
  </sheetViews>
  <sheetFormatPr defaultRowHeight="15.5"/>
  <cols>
    <col min="1" max="2" width="8.6640625" style="22"/>
  </cols>
  <sheetData>
    <row r="1" spans="1:2">
      <c r="A1" s="16" t="s">
        <v>180</v>
      </c>
      <c r="B1" s="17" t="s">
        <v>183</v>
      </c>
    </row>
    <row r="2" spans="1:2">
      <c r="A2" s="18">
        <v>92603</v>
      </c>
      <c r="B2" s="17" t="s">
        <v>182</v>
      </c>
    </row>
    <row r="3" spans="1:2">
      <c r="A3" s="18">
        <v>92614</v>
      </c>
      <c r="B3" s="17" t="s">
        <v>182</v>
      </c>
    </row>
    <row r="4" spans="1:2">
      <c r="A4" s="18">
        <v>92661</v>
      </c>
      <c r="B4" s="17" t="s">
        <v>182</v>
      </c>
    </row>
    <row r="5" spans="1:2">
      <c r="A5" s="18">
        <v>92629</v>
      </c>
      <c r="B5" s="17" t="s">
        <v>182</v>
      </c>
    </row>
    <row r="6" spans="1:2">
      <c r="A6" s="18">
        <v>95993</v>
      </c>
      <c r="B6" s="17" t="s">
        <v>171</v>
      </c>
    </row>
    <row r="7" spans="1:2">
      <c r="A7" s="18">
        <v>94306</v>
      </c>
      <c r="B7" s="23" t="s">
        <v>184</v>
      </c>
    </row>
    <row r="8" spans="1:2">
      <c r="A8" s="18">
        <v>94025</v>
      </c>
      <c r="B8" s="23" t="s">
        <v>184</v>
      </c>
    </row>
    <row r="9" spans="1:2">
      <c r="A9" s="18">
        <v>94002</v>
      </c>
      <c r="B9" s="23" t="s">
        <v>184</v>
      </c>
    </row>
    <row r="10" spans="1:2">
      <c r="A10" s="18">
        <v>94070</v>
      </c>
      <c r="B10" s="23" t="s">
        <v>184</v>
      </c>
    </row>
    <row r="11" spans="1:2">
      <c r="A11" s="18">
        <v>94939</v>
      </c>
      <c r="B11" s="17" t="s">
        <v>171</v>
      </c>
    </row>
    <row r="12" spans="1:2">
      <c r="A12" s="18">
        <v>94925</v>
      </c>
      <c r="B12" s="17" t="s">
        <v>171</v>
      </c>
    </row>
    <row r="13" spans="1:2">
      <c r="A13" s="18">
        <v>94930</v>
      </c>
      <c r="B13" s="17" t="s">
        <v>171</v>
      </c>
    </row>
    <row r="14" spans="1:2">
      <c r="A14" s="18">
        <v>92113</v>
      </c>
      <c r="B14" s="17" t="s">
        <v>184</v>
      </c>
    </row>
    <row r="15" spans="1:2">
      <c r="A15" s="18">
        <v>94111</v>
      </c>
      <c r="B15" s="17" t="s">
        <v>171</v>
      </c>
    </row>
    <row r="16" spans="1:2">
      <c r="A16" s="18">
        <v>94518</v>
      </c>
      <c r="B16" s="37" t="s">
        <v>182</v>
      </c>
    </row>
    <row r="17" spans="1:2">
      <c r="A17" s="18">
        <v>94520</v>
      </c>
      <c r="B17" s="23" t="s">
        <v>184</v>
      </c>
    </row>
    <row r="18" spans="1:2">
      <c r="A18" s="18">
        <v>91214</v>
      </c>
      <c r="B18" s="17" t="s">
        <v>182</v>
      </c>
    </row>
    <row r="19" spans="1:2">
      <c r="A19" s="18">
        <v>94588</v>
      </c>
      <c r="B19" s="17" t="s">
        <v>171</v>
      </c>
    </row>
    <row r="20" spans="1:2">
      <c r="A20" s="18">
        <v>92553</v>
      </c>
      <c r="B20" s="17" t="s">
        <v>184</v>
      </c>
    </row>
    <row r="21" spans="1:2">
      <c r="A21" s="18">
        <v>91784</v>
      </c>
      <c r="B21" s="17" t="s">
        <v>184</v>
      </c>
    </row>
    <row r="22" spans="1:2">
      <c r="A22" s="18">
        <v>92557</v>
      </c>
      <c r="B22" s="17" t="s">
        <v>184</v>
      </c>
    </row>
    <row r="23" spans="1:2">
      <c r="A23" s="18">
        <v>95991</v>
      </c>
      <c r="B23" s="17" t="s">
        <v>171</v>
      </c>
    </row>
    <row r="24" spans="1:2">
      <c r="A24" s="18">
        <v>95961</v>
      </c>
      <c r="B24" s="17" t="s">
        <v>171</v>
      </c>
    </row>
    <row r="25" spans="1:2">
      <c r="A25" s="18">
        <v>95901</v>
      </c>
      <c r="B25" s="17" t="s">
        <v>171</v>
      </c>
    </row>
    <row r="26" spans="1:2">
      <c r="A26" s="18">
        <v>91303</v>
      </c>
      <c r="B26" s="17" t="s">
        <v>184</v>
      </c>
    </row>
    <row r="27" spans="1:2">
      <c r="A27" s="18">
        <v>91016</v>
      </c>
      <c r="B27" s="17" t="s">
        <v>184</v>
      </c>
    </row>
    <row r="28" spans="1:2">
      <c r="A28" s="18">
        <v>92883</v>
      </c>
      <c r="B28" s="17" t="s">
        <v>171</v>
      </c>
    </row>
    <row r="29" spans="1:2">
      <c r="A29" s="18">
        <v>92376</v>
      </c>
      <c r="B29" s="17" t="s">
        <v>184</v>
      </c>
    </row>
    <row r="30" spans="1:2">
      <c r="A30" s="18">
        <v>91106</v>
      </c>
      <c r="B30" s="17" t="s">
        <v>184</v>
      </c>
    </row>
    <row r="31" spans="1:2">
      <c r="A31" s="18">
        <v>92530</v>
      </c>
      <c r="B31" s="17" t="s">
        <v>184</v>
      </c>
    </row>
    <row r="32" spans="1:2">
      <c r="A32" s="18">
        <v>91103</v>
      </c>
      <c r="B32" s="17" t="s">
        <v>184</v>
      </c>
    </row>
    <row r="33" spans="1:2">
      <c r="A33" s="18">
        <v>91384</v>
      </c>
      <c r="B33" s="17" t="s">
        <v>171</v>
      </c>
    </row>
    <row r="34" spans="1:2">
      <c r="A34" s="18">
        <v>90211</v>
      </c>
      <c r="B34" s="17" t="s">
        <v>171</v>
      </c>
    </row>
    <row r="35" spans="1:2">
      <c r="A35" s="18">
        <v>92570</v>
      </c>
      <c r="B35" s="17" t="s">
        <v>184</v>
      </c>
    </row>
    <row r="36" spans="1:2">
      <c r="A36" s="18">
        <v>95864</v>
      </c>
      <c r="B36" s="23" t="s">
        <v>184</v>
      </c>
    </row>
    <row r="37" spans="1:2">
      <c r="A37" s="18">
        <v>95843</v>
      </c>
      <c r="B37" s="17" t="s">
        <v>171</v>
      </c>
    </row>
    <row r="38" spans="1:2">
      <c r="A38" s="18">
        <v>95842</v>
      </c>
      <c r="B38" s="17" t="s">
        <v>171</v>
      </c>
    </row>
    <row r="39" spans="1:2">
      <c r="A39" s="18">
        <v>95841</v>
      </c>
      <c r="B39" s="17" t="s">
        <v>171</v>
      </c>
    </row>
    <row r="40" spans="1:2">
      <c r="A40" s="18">
        <v>95838</v>
      </c>
      <c r="B40" s="17" t="s">
        <v>171</v>
      </c>
    </row>
    <row r="41" spans="1:2">
      <c r="A41" s="18">
        <v>95686</v>
      </c>
      <c r="B41" s="17" t="s">
        <v>171</v>
      </c>
    </row>
    <row r="42" spans="1:2">
      <c r="A42" s="18">
        <v>95837</v>
      </c>
      <c r="B42" s="17" t="s">
        <v>171</v>
      </c>
    </row>
    <row r="43" spans="1:2">
      <c r="A43" s="18">
        <v>95835</v>
      </c>
      <c r="B43" s="17" t="s">
        <v>171</v>
      </c>
    </row>
    <row r="44" spans="1:2">
      <c r="A44" s="18">
        <v>95834</v>
      </c>
      <c r="B44" s="17" t="s">
        <v>171</v>
      </c>
    </row>
    <row r="45" spans="1:2">
      <c r="A45" s="18">
        <v>95833</v>
      </c>
      <c r="B45" s="17" t="s">
        <v>171</v>
      </c>
    </row>
    <row r="46" spans="1:2">
      <c r="A46" s="18">
        <v>95832</v>
      </c>
      <c r="B46" s="17" t="s">
        <v>171</v>
      </c>
    </row>
    <row r="47" spans="1:2">
      <c r="A47" s="18">
        <v>95831</v>
      </c>
      <c r="B47" s="17" t="s">
        <v>171</v>
      </c>
    </row>
    <row r="48" spans="1:2">
      <c r="A48" s="18">
        <v>95385</v>
      </c>
      <c r="B48" s="17" t="s">
        <v>171</v>
      </c>
    </row>
    <row r="49" spans="1:2">
      <c r="A49" s="18">
        <v>95363</v>
      </c>
      <c r="B49" s="17" t="s">
        <v>171</v>
      </c>
    </row>
    <row r="50" spans="1:2">
      <c r="A50" s="18">
        <v>95323</v>
      </c>
      <c r="B50" s="17" t="s">
        <v>171</v>
      </c>
    </row>
    <row r="51" spans="1:2">
      <c r="A51" s="18">
        <v>92135</v>
      </c>
      <c r="B51" s="17" t="s">
        <v>171</v>
      </c>
    </row>
    <row r="52" spans="1:2">
      <c r="A52" s="18">
        <v>92134</v>
      </c>
      <c r="B52" s="17" t="s">
        <v>171</v>
      </c>
    </row>
    <row r="53" spans="1:2">
      <c r="A53" s="18">
        <v>92132</v>
      </c>
      <c r="B53" s="17" t="s">
        <v>171</v>
      </c>
    </row>
    <row r="54" spans="1:2">
      <c r="A54" s="18">
        <v>92147</v>
      </c>
      <c r="B54" s="17" t="s">
        <v>171</v>
      </c>
    </row>
    <row r="55" spans="1:2">
      <c r="A55" s="18">
        <v>91932</v>
      </c>
      <c r="B55" s="17" t="s">
        <v>184</v>
      </c>
    </row>
    <row r="56" spans="1:2">
      <c r="A56" s="18">
        <v>93534</v>
      </c>
      <c r="B56" s="17" t="s">
        <v>171</v>
      </c>
    </row>
    <row r="57" spans="1:2">
      <c r="A57" s="18">
        <v>94115</v>
      </c>
      <c r="B57" s="17" t="s">
        <v>171</v>
      </c>
    </row>
    <row r="58" spans="1:2">
      <c r="A58" s="18">
        <v>94116</v>
      </c>
      <c r="B58" s="17" t="s">
        <v>171</v>
      </c>
    </row>
    <row r="59" spans="1:2">
      <c r="A59" s="18">
        <v>94122</v>
      </c>
      <c r="B59" s="17" t="s">
        <v>171</v>
      </c>
    </row>
    <row r="60" spans="1:2">
      <c r="A60" s="18">
        <v>93650</v>
      </c>
      <c r="B60" s="17" t="s">
        <v>171</v>
      </c>
    </row>
    <row r="61" spans="1:2">
      <c r="A61" s="18">
        <v>94118</v>
      </c>
      <c r="B61" s="17" t="s">
        <v>171</v>
      </c>
    </row>
    <row r="62" spans="1:2">
      <c r="A62" s="18">
        <v>94121</v>
      </c>
      <c r="B62" s="17" t="s">
        <v>171</v>
      </c>
    </row>
    <row r="63" spans="1:2">
      <c r="A63" s="18">
        <v>94132</v>
      </c>
      <c r="B63" s="17" t="s">
        <v>171</v>
      </c>
    </row>
    <row r="64" spans="1:2">
      <c r="A64" s="18">
        <v>93701</v>
      </c>
      <c r="B64" s="17" t="s">
        <v>171</v>
      </c>
    </row>
    <row r="65" spans="1:2">
      <c r="A65" s="18">
        <v>94117</v>
      </c>
      <c r="B65" s="17" t="s">
        <v>171</v>
      </c>
    </row>
    <row r="66" spans="1:2">
      <c r="A66" s="18">
        <v>91001</v>
      </c>
      <c r="B66" s="17" t="s">
        <v>184</v>
      </c>
    </row>
    <row r="67" spans="1:2">
      <c r="A67" s="18">
        <v>94123</v>
      </c>
      <c r="B67" s="17" t="s">
        <v>171</v>
      </c>
    </row>
    <row r="68" spans="1:2">
      <c r="A68" s="18">
        <v>93704</v>
      </c>
      <c r="B68" s="17" t="s">
        <v>171</v>
      </c>
    </row>
    <row r="69" spans="1:2">
      <c r="A69" s="18">
        <v>90701</v>
      </c>
      <c r="B69" s="17" t="s">
        <v>184</v>
      </c>
    </row>
    <row r="70" spans="1:2">
      <c r="A70" s="18">
        <v>93705</v>
      </c>
      <c r="B70" s="17" t="s">
        <v>171</v>
      </c>
    </row>
    <row r="71" spans="1:2">
      <c r="A71" s="18">
        <v>94127</v>
      </c>
      <c r="B71" s="17" t="s">
        <v>171</v>
      </c>
    </row>
    <row r="72" spans="1:2">
      <c r="A72" s="18">
        <v>94129</v>
      </c>
      <c r="B72" s="17" t="s">
        <v>171</v>
      </c>
    </row>
    <row r="73" spans="1:2">
      <c r="A73" s="18">
        <v>93535</v>
      </c>
      <c r="B73" s="17" t="s">
        <v>171</v>
      </c>
    </row>
    <row r="74" spans="1:2">
      <c r="A74" s="18">
        <v>94401</v>
      </c>
      <c r="B74" s="23" t="s">
        <v>184</v>
      </c>
    </row>
    <row r="75" spans="1:2">
      <c r="A75" s="18">
        <v>93702</v>
      </c>
      <c r="B75" s="17" t="s">
        <v>171</v>
      </c>
    </row>
    <row r="76" spans="1:2">
      <c r="A76" s="18">
        <v>90650</v>
      </c>
      <c r="B76" s="17" t="s">
        <v>184</v>
      </c>
    </row>
    <row r="77" spans="1:2">
      <c r="A77" s="18">
        <v>93726</v>
      </c>
      <c r="B77" s="17" t="s">
        <v>171</v>
      </c>
    </row>
    <row r="78" spans="1:2">
      <c r="A78" s="18">
        <v>93720</v>
      </c>
      <c r="B78" s="17" t="s">
        <v>171</v>
      </c>
    </row>
    <row r="79" spans="1:2">
      <c r="A79" s="18">
        <v>93611</v>
      </c>
      <c r="B79" s="17" t="s">
        <v>171</v>
      </c>
    </row>
    <row r="80" spans="1:2">
      <c r="A80" s="18">
        <v>93612</v>
      </c>
      <c r="B80" s="17" t="s">
        <v>171</v>
      </c>
    </row>
    <row r="81" spans="1:2">
      <c r="A81" s="18">
        <v>94404</v>
      </c>
      <c r="B81" s="23" t="s">
        <v>184</v>
      </c>
    </row>
    <row r="82" spans="1:2">
      <c r="A82" s="18">
        <v>94403</v>
      </c>
      <c r="B82" s="23" t="s">
        <v>184</v>
      </c>
    </row>
    <row r="83" spans="1:2">
      <c r="A83" s="18">
        <v>94402</v>
      </c>
      <c r="B83" s="23" t="s">
        <v>184</v>
      </c>
    </row>
    <row r="84" spans="1:2">
      <c r="A84" s="18">
        <v>93710</v>
      </c>
      <c r="B84" s="17" t="s">
        <v>171</v>
      </c>
    </row>
    <row r="85" spans="1:2">
      <c r="A85" s="18">
        <v>94030</v>
      </c>
      <c r="B85" s="23" t="s">
        <v>184</v>
      </c>
    </row>
    <row r="86" spans="1:2">
      <c r="A86" s="18">
        <v>94010</v>
      </c>
      <c r="B86" s="23" t="s">
        <v>184</v>
      </c>
    </row>
    <row r="87" spans="1:2">
      <c r="A87" s="18">
        <v>93728</v>
      </c>
      <c r="B87" s="17" t="s">
        <v>171</v>
      </c>
    </row>
    <row r="88" spans="1:2">
      <c r="A88" s="18">
        <v>92154</v>
      </c>
      <c r="B88" s="17" t="s">
        <v>184</v>
      </c>
    </row>
    <row r="89" spans="1:2">
      <c r="A89" s="18">
        <v>93703</v>
      </c>
      <c r="B89" s="17" t="s">
        <v>171</v>
      </c>
    </row>
    <row r="90" spans="1:2">
      <c r="A90" s="18">
        <v>93722</v>
      </c>
      <c r="B90" s="17" t="s">
        <v>171</v>
      </c>
    </row>
    <row r="91" spans="1:2">
      <c r="A91" s="18">
        <v>94531</v>
      </c>
      <c r="B91" s="17" t="s">
        <v>171</v>
      </c>
    </row>
    <row r="92" spans="1:2">
      <c r="A92" s="18">
        <v>94112</v>
      </c>
      <c r="B92" s="17" t="s">
        <v>171</v>
      </c>
    </row>
    <row r="93" spans="1:2">
      <c r="A93" s="18">
        <v>94134</v>
      </c>
      <c r="B93" s="17" t="s">
        <v>171</v>
      </c>
    </row>
    <row r="94" spans="1:2">
      <c r="A94" s="18">
        <v>94114</v>
      </c>
      <c r="B94" s="17" t="s">
        <v>171</v>
      </c>
    </row>
    <row r="95" spans="1:2">
      <c r="A95" s="18">
        <v>94124</v>
      </c>
      <c r="B95" s="17" t="s">
        <v>171</v>
      </c>
    </row>
    <row r="96" spans="1:2">
      <c r="A96" s="18">
        <v>94131</v>
      </c>
      <c r="B96" s="17" t="s">
        <v>171</v>
      </c>
    </row>
    <row r="97" spans="1:2">
      <c r="A97" s="18">
        <v>95116</v>
      </c>
      <c r="B97" s="17" t="s">
        <v>171</v>
      </c>
    </row>
    <row r="98" spans="1:2">
      <c r="A98" s="18">
        <v>93727</v>
      </c>
      <c r="B98" s="17" t="s">
        <v>171</v>
      </c>
    </row>
    <row r="99" spans="1:2">
      <c r="A99" s="18">
        <v>93711</v>
      </c>
      <c r="B99" s="17" t="s">
        <v>171</v>
      </c>
    </row>
    <row r="100" spans="1:2">
      <c r="A100" s="18">
        <v>92173</v>
      </c>
      <c r="B100" s="17" t="s">
        <v>184</v>
      </c>
    </row>
    <row r="101" spans="1:2">
      <c r="A101" s="18">
        <v>93552</v>
      </c>
      <c r="B101" s="17" t="s">
        <v>171</v>
      </c>
    </row>
    <row r="102" spans="1:2">
      <c r="A102" s="18">
        <v>94607</v>
      </c>
      <c r="B102" s="17" t="s">
        <v>171</v>
      </c>
    </row>
    <row r="103" spans="1:2">
      <c r="A103" s="18">
        <v>91913</v>
      </c>
      <c r="B103" s="17" t="s">
        <v>184</v>
      </c>
    </row>
    <row r="104" spans="1:2">
      <c r="A104" s="18">
        <v>95051</v>
      </c>
      <c r="B104" s="17" t="s">
        <v>171</v>
      </c>
    </row>
    <row r="105" spans="1:2">
      <c r="A105" s="18">
        <v>95050</v>
      </c>
      <c r="B105" s="17" t="s">
        <v>171</v>
      </c>
    </row>
    <row r="106" spans="1:2">
      <c r="A106" s="18">
        <v>95124</v>
      </c>
      <c r="B106" s="17" t="s">
        <v>171</v>
      </c>
    </row>
    <row r="107" spans="1:2">
      <c r="A107" s="18">
        <v>95130</v>
      </c>
      <c r="B107" s="17" t="s">
        <v>171</v>
      </c>
    </row>
    <row r="108" spans="1:2">
      <c r="A108" s="18">
        <v>95120</v>
      </c>
      <c r="B108" s="17" t="s">
        <v>171</v>
      </c>
    </row>
    <row r="109" spans="1:2">
      <c r="A109" s="18">
        <v>93906</v>
      </c>
      <c r="B109" s="17" t="s">
        <v>171</v>
      </c>
    </row>
    <row r="110" spans="1:2">
      <c r="A110" s="18">
        <v>91915</v>
      </c>
      <c r="B110" s="17" t="s">
        <v>184</v>
      </c>
    </row>
    <row r="111" spans="1:2">
      <c r="A111" s="18">
        <v>95012</v>
      </c>
      <c r="B111" s="17" t="s">
        <v>171</v>
      </c>
    </row>
    <row r="112" spans="1:2">
      <c r="A112" s="18">
        <v>94560</v>
      </c>
      <c r="B112" s="17" t="s">
        <v>171</v>
      </c>
    </row>
    <row r="113" spans="1:2">
      <c r="A113" s="18">
        <v>91911</v>
      </c>
      <c r="B113" s="17" t="s">
        <v>184</v>
      </c>
    </row>
    <row r="114" spans="1:2">
      <c r="A114" s="18">
        <v>94062</v>
      </c>
      <c r="B114" s="17" t="s">
        <v>171</v>
      </c>
    </row>
    <row r="115" spans="1:2">
      <c r="A115" s="18">
        <v>92118</v>
      </c>
      <c r="B115" s="17" t="s">
        <v>171</v>
      </c>
    </row>
    <row r="116" spans="1:2">
      <c r="A116" s="18">
        <v>93536</v>
      </c>
      <c r="B116" s="17" t="s">
        <v>171</v>
      </c>
    </row>
    <row r="117" spans="1:2">
      <c r="A117" s="18">
        <v>90638</v>
      </c>
      <c r="B117" s="17" t="s">
        <v>184</v>
      </c>
    </row>
    <row r="118" spans="1:2">
      <c r="A118" s="18">
        <v>90703</v>
      </c>
      <c r="B118" s="17" t="s">
        <v>184</v>
      </c>
    </row>
    <row r="119" spans="1:2">
      <c r="A119" s="18">
        <v>94564</v>
      </c>
      <c r="B119" s="17" t="s">
        <v>171</v>
      </c>
    </row>
    <row r="120" spans="1:2">
      <c r="A120" s="18">
        <v>94015</v>
      </c>
      <c r="B120" s="17" t="s">
        <v>171</v>
      </c>
    </row>
    <row r="121" spans="1:2">
      <c r="A121" s="18">
        <v>94014</v>
      </c>
      <c r="B121" s="17" t="s">
        <v>171</v>
      </c>
    </row>
    <row r="122" spans="1:2">
      <c r="A122" s="18">
        <v>93730</v>
      </c>
      <c r="B122" s="17" t="s">
        <v>171</v>
      </c>
    </row>
    <row r="123" spans="1:2">
      <c r="A123" s="18">
        <v>95355</v>
      </c>
      <c r="B123" s="17" t="s">
        <v>171</v>
      </c>
    </row>
    <row r="124" spans="1:2">
      <c r="A124" s="18">
        <v>91184</v>
      </c>
      <c r="B124" s="17" t="s">
        <v>171</v>
      </c>
    </row>
    <row r="125" spans="1:2">
      <c r="A125" s="18">
        <v>94080</v>
      </c>
      <c r="B125" s="17" t="s">
        <v>171</v>
      </c>
    </row>
    <row r="126" spans="1:2">
      <c r="A126" s="18">
        <v>94066</v>
      </c>
      <c r="B126" s="17" t="s">
        <v>171</v>
      </c>
    </row>
    <row r="127" spans="1:2">
      <c r="A127" s="18">
        <v>95350</v>
      </c>
      <c r="B127" s="17" t="s">
        <v>171</v>
      </c>
    </row>
    <row r="128" spans="1:2">
      <c r="A128" s="18">
        <v>94044</v>
      </c>
      <c r="B128" s="17" t="s">
        <v>171</v>
      </c>
    </row>
    <row r="129" spans="1:2">
      <c r="A129" s="18">
        <v>94005</v>
      </c>
      <c r="B129" s="17" t="s">
        <v>171</v>
      </c>
    </row>
    <row r="130" spans="1:2">
      <c r="A130" s="18">
        <v>91126</v>
      </c>
      <c r="B130" s="17" t="s">
        <v>171</v>
      </c>
    </row>
    <row r="131" spans="1:2">
      <c r="A131" s="18">
        <v>91125</v>
      </c>
      <c r="B131" s="17" t="s">
        <v>171</v>
      </c>
    </row>
    <row r="132" spans="1:2">
      <c r="A132" s="18">
        <v>94109</v>
      </c>
      <c r="B132" s="17" t="s">
        <v>171</v>
      </c>
    </row>
    <row r="133" spans="1:2">
      <c r="A133" s="18">
        <v>94108</v>
      </c>
      <c r="B133" s="17" t="s">
        <v>171</v>
      </c>
    </row>
    <row r="134" spans="1:2">
      <c r="A134" s="18">
        <v>89108</v>
      </c>
      <c r="B134" s="17" t="s">
        <v>171</v>
      </c>
    </row>
    <row r="135" spans="1:2">
      <c r="A135" s="18">
        <v>91124</v>
      </c>
      <c r="B135" s="17" t="s">
        <v>171</v>
      </c>
    </row>
    <row r="136" spans="1:2">
      <c r="A136" s="18">
        <v>94133</v>
      </c>
      <c r="B136" s="17" t="s">
        <v>171</v>
      </c>
    </row>
    <row r="137" spans="1:2">
      <c r="A137" s="18">
        <v>91123</v>
      </c>
      <c r="B137" s="17" t="s">
        <v>171</v>
      </c>
    </row>
    <row r="138" spans="1:2">
      <c r="A138" s="18">
        <v>91110</v>
      </c>
      <c r="B138" s="17" t="s">
        <v>171</v>
      </c>
    </row>
    <row r="139" spans="1:2">
      <c r="A139" s="18">
        <v>94103</v>
      </c>
      <c r="B139" s="17" t="s">
        <v>171</v>
      </c>
    </row>
    <row r="140" spans="1:2">
      <c r="A140" s="18">
        <v>91914</v>
      </c>
      <c r="B140" s="17" t="s">
        <v>184</v>
      </c>
    </row>
    <row r="141" spans="1:2">
      <c r="A141" s="18">
        <v>89107</v>
      </c>
      <c r="B141" s="17" t="s">
        <v>171</v>
      </c>
    </row>
    <row r="142" spans="1:2">
      <c r="A142" s="18">
        <v>95829</v>
      </c>
      <c r="B142" s="17" t="s">
        <v>171</v>
      </c>
    </row>
    <row r="143" spans="1:2">
      <c r="A143" s="18">
        <v>89143</v>
      </c>
      <c r="B143" s="17" t="s">
        <v>171</v>
      </c>
    </row>
    <row r="144" spans="1:2">
      <c r="A144" s="18">
        <v>94158</v>
      </c>
      <c r="B144" s="17" t="s">
        <v>171</v>
      </c>
    </row>
    <row r="145" spans="1:2">
      <c r="A145" s="18">
        <v>94110</v>
      </c>
      <c r="B145" s="17" t="s">
        <v>171</v>
      </c>
    </row>
    <row r="146" spans="1:2">
      <c r="A146" s="18">
        <v>94107</v>
      </c>
      <c r="B146" s="17" t="s">
        <v>171</v>
      </c>
    </row>
    <row r="147" spans="1:2">
      <c r="A147" s="18">
        <v>95828</v>
      </c>
      <c r="B147" s="17" t="s">
        <v>171</v>
      </c>
    </row>
    <row r="148" spans="1:2">
      <c r="A148" s="18">
        <v>89131</v>
      </c>
      <c r="B148" s="17" t="s">
        <v>171</v>
      </c>
    </row>
    <row r="149" spans="1:2">
      <c r="A149" s="18">
        <v>94523</v>
      </c>
      <c r="B149" s="23" t="s">
        <v>184</v>
      </c>
    </row>
    <row r="150" spans="1:2">
      <c r="A150" s="18">
        <v>94521</v>
      </c>
      <c r="B150" s="23" t="s">
        <v>184</v>
      </c>
    </row>
    <row r="151" spans="1:2">
      <c r="A151" s="18">
        <v>91105</v>
      </c>
      <c r="B151" s="17" t="s">
        <v>182</v>
      </c>
    </row>
    <row r="152" spans="1:2">
      <c r="A152" s="18">
        <v>94553</v>
      </c>
      <c r="B152" s="23" t="s">
        <v>184</v>
      </c>
    </row>
    <row r="153" spans="1:2">
      <c r="A153" s="18">
        <v>95827</v>
      </c>
      <c r="B153" s="17" t="s">
        <v>171</v>
      </c>
    </row>
    <row r="154" spans="1:2">
      <c r="A154" s="18">
        <v>94804</v>
      </c>
      <c r="B154" s="17" t="s">
        <v>171</v>
      </c>
    </row>
    <row r="155" spans="1:2">
      <c r="A155" s="18">
        <v>94806</v>
      </c>
      <c r="B155" s="17" t="s">
        <v>171</v>
      </c>
    </row>
    <row r="156" spans="1:2">
      <c r="A156" s="18">
        <v>94805</v>
      </c>
      <c r="B156" s="17" t="s">
        <v>171</v>
      </c>
    </row>
    <row r="157" spans="1:2">
      <c r="A157" s="18">
        <v>89129</v>
      </c>
      <c r="B157" s="17" t="s">
        <v>171</v>
      </c>
    </row>
    <row r="158" spans="1:2">
      <c r="A158" s="18">
        <v>94801</v>
      </c>
      <c r="B158" s="17" t="s">
        <v>171</v>
      </c>
    </row>
    <row r="159" spans="1:2">
      <c r="A159" s="18">
        <v>94509</v>
      </c>
      <c r="B159" s="17" t="s">
        <v>171</v>
      </c>
    </row>
    <row r="160" spans="1:2">
      <c r="A160" s="18">
        <v>95367</v>
      </c>
      <c r="B160" s="17" t="s">
        <v>171</v>
      </c>
    </row>
    <row r="161" spans="1:2">
      <c r="A161" s="18">
        <v>95826</v>
      </c>
      <c r="B161" s="17" t="s">
        <v>171</v>
      </c>
    </row>
    <row r="162" spans="1:2">
      <c r="A162" s="18">
        <v>91104</v>
      </c>
      <c r="B162" s="17" t="s">
        <v>182</v>
      </c>
    </row>
    <row r="163" spans="1:2">
      <c r="A163" s="18">
        <v>94565</v>
      </c>
      <c r="B163" s="17" t="s">
        <v>171</v>
      </c>
    </row>
    <row r="164" spans="1:2">
      <c r="A164" s="18">
        <v>94086</v>
      </c>
      <c r="B164" s="17" t="s">
        <v>171</v>
      </c>
    </row>
    <row r="165" spans="1:2">
      <c r="A165" s="18">
        <v>94041</v>
      </c>
      <c r="B165" s="17" t="s">
        <v>171</v>
      </c>
    </row>
    <row r="166" spans="1:2">
      <c r="A166" s="18">
        <v>94085</v>
      </c>
      <c r="B166" s="17" t="s">
        <v>171</v>
      </c>
    </row>
    <row r="167" spans="1:2">
      <c r="A167" s="18">
        <v>91101</v>
      </c>
      <c r="B167" s="17" t="s">
        <v>182</v>
      </c>
    </row>
    <row r="168" spans="1:2">
      <c r="A168" s="18">
        <v>94087</v>
      </c>
      <c r="B168" s="17" t="s">
        <v>171</v>
      </c>
    </row>
    <row r="169" spans="1:2">
      <c r="A169" s="18">
        <v>91024</v>
      </c>
      <c r="B169" s="17" t="s">
        <v>182</v>
      </c>
    </row>
    <row r="170" spans="1:2">
      <c r="A170" s="18">
        <v>95351</v>
      </c>
      <c r="B170" s="17" t="s">
        <v>171</v>
      </c>
    </row>
    <row r="171" spans="1:2">
      <c r="A171" s="18">
        <v>94043</v>
      </c>
      <c r="B171" s="17" t="s">
        <v>171</v>
      </c>
    </row>
    <row r="172" spans="1:2">
      <c r="A172" s="18">
        <v>91008</v>
      </c>
      <c r="B172" s="17" t="s">
        <v>182</v>
      </c>
    </row>
    <row r="173" spans="1:2">
      <c r="A173" s="18">
        <v>91006</v>
      </c>
      <c r="B173" s="17" t="s">
        <v>184</v>
      </c>
    </row>
    <row r="174" spans="1:2">
      <c r="A174" s="18">
        <v>94089</v>
      </c>
      <c r="B174" s="17" t="s">
        <v>171</v>
      </c>
    </row>
    <row r="175" spans="1:2">
      <c r="A175" s="18">
        <v>94024</v>
      </c>
      <c r="B175" s="17" t="s">
        <v>171</v>
      </c>
    </row>
    <row r="176" spans="1:2">
      <c r="A176" s="18">
        <v>95014</v>
      </c>
      <c r="B176" s="17" t="s">
        <v>171</v>
      </c>
    </row>
    <row r="177" spans="1:2">
      <c r="A177" s="18">
        <v>94561</v>
      </c>
      <c r="B177" s="17" t="s">
        <v>171</v>
      </c>
    </row>
    <row r="178" spans="1:2">
      <c r="A178" s="18">
        <v>94513</v>
      </c>
      <c r="B178" s="17" t="s">
        <v>171</v>
      </c>
    </row>
    <row r="179" spans="1:2">
      <c r="A179" s="18">
        <v>95111</v>
      </c>
      <c r="B179" s="17" t="s">
        <v>171</v>
      </c>
    </row>
    <row r="180" spans="1:2">
      <c r="A180" s="18">
        <v>95136</v>
      </c>
      <c r="B180" s="17" t="s">
        <v>171</v>
      </c>
    </row>
    <row r="181" spans="1:2">
      <c r="A181" s="18">
        <v>91732</v>
      </c>
      <c r="B181" s="17" t="s">
        <v>184</v>
      </c>
    </row>
    <row r="182" spans="1:2">
      <c r="A182" s="18">
        <v>95139</v>
      </c>
      <c r="B182" s="17" t="s">
        <v>171</v>
      </c>
    </row>
    <row r="183" spans="1:2">
      <c r="A183" s="18">
        <v>94538</v>
      </c>
      <c r="B183" s="17" t="s">
        <v>171</v>
      </c>
    </row>
    <row r="184" spans="1:2">
      <c r="A184" s="18">
        <v>95123</v>
      </c>
      <c r="B184" s="17" t="s">
        <v>171</v>
      </c>
    </row>
    <row r="185" spans="1:2">
      <c r="A185" s="18">
        <v>91731</v>
      </c>
      <c r="B185" s="17" t="s">
        <v>184</v>
      </c>
    </row>
    <row r="186" spans="1:2">
      <c r="A186" s="18">
        <v>95035</v>
      </c>
      <c r="B186" s="17" t="s">
        <v>171</v>
      </c>
    </row>
    <row r="187" spans="1:2">
      <c r="A187" s="18">
        <v>95119</v>
      </c>
      <c r="B187" s="17" t="s">
        <v>171</v>
      </c>
    </row>
    <row r="188" spans="1:2">
      <c r="A188" s="18">
        <v>94539</v>
      </c>
      <c r="B188" s="17" t="s">
        <v>171</v>
      </c>
    </row>
    <row r="189" spans="1:2">
      <c r="A189" s="18">
        <v>91010</v>
      </c>
      <c r="B189" s="17" t="s">
        <v>184</v>
      </c>
    </row>
    <row r="190" spans="1:2">
      <c r="A190" s="18">
        <v>95128</v>
      </c>
      <c r="B190" s="17" t="s">
        <v>171</v>
      </c>
    </row>
    <row r="191" spans="1:2">
      <c r="A191" s="18">
        <v>95112</v>
      </c>
      <c r="B191" s="17" t="s">
        <v>171</v>
      </c>
    </row>
    <row r="192" spans="1:2">
      <c r="A192" s="18">
        <v>91007</v>
      </c>
      <c r="B192" s="17" t="s">
        <v>184</v>
      </c>
    </row>
    <row r="193" spans="1:2">
      <c r="A193" s="18">
        <v>95113</v>
      </c>
      <c r="B193" s="17" t="s">
        <v>171</v>
      </c>
    </row>
    <row r="194" spans="1:2">
      <c r="A194" s="18">
        <v>95125</v>
      </c>
      <c r="B194" s="17" t="s">
        <v>171</v>
      </c>
    </row>
    <row r="195" spans="1:2">
      <c r="A195" s="18">
        <v>95126</v>
      </c>
      <c r="B195" s="17" t="s">
        <v>171</v>
      </c>
    </row>
    <row r="196" spans="1:2">
      <c r="A196" s="18">
        <v>91107</v>
      </c>
      <c r="B196" s="17" t="s">
        <v>184</v>
      </c>
    </row>
    <row r="197" spans="1:2">
      <c r="A197" s="18">
        <v>95110</v>
      </c>
      <c r="B197" s="17" t="s">
        <v>171</v>
      </c>
    </row>
    <row r="198" spans="1:2">
      <c r="A198" s="18">
        <v>95138</v>
      </c>
      <c r="B198" s="17" t="s">
        <v>171</v>
      </c>
    </row>
    <row r="199" spans="1:2">
      <c r="A199" s="18">
        <v>89128</v>
      </c>
      <c r="B199" s="17" t="s">
        <v>171</v>
      </c>
    </row>
    <row r="200" spans="1:2">
      <c r="A200" s="18">
        <v>95135</v>
      </c>
      <c r="B200" s="17" t="s">
        <v>171</v>
      </c>
    </row>
    <row r="201" spans="1:2">
      <c r="A201" s="18">
        <v>95122</v>
      </c>
      <c r="B201" s="17" t="s">
        <v>171</v>
      </c>
    </row>
    <row r="202" spans="1:2">
      <c r="A202" s="18">
        <v>93721</v>
      </c>
      <c r="B202" s="17" t="s">
        <v>171</v>
      </c>
    </row>
    <row r="203" spans="1:2">
      <c r="A203" s="18">
        <v>95121</v>
      </c>
      <c r="B203" s="17" t="s">
        <v>171</v>
      </c>
    </row>
    <row r="204" spans="1:2">
      <c r="A204" s="18">
        <v>95133</v>
      </c>
      <c r="B204" s="17" t="s">
        <v>171</v>
      </c>
    </row>
    <row r="205" spans="1:2">
      <c r="A205" s="18">
        <v>95148</v>
      </c>
      <c r="B205" s="17" t="s">
        <v>171</v>
      </c>
    </row>
    <row r="206" spans="1:2">
      <c r="A206" s="18">
        <v>95131</v>
      </c>
      <c r="B206" s="17" t="s">
        <v>171</v>
      </c>
    </row>
    <row r="207" spans="1:2">
      <c r="A207" s="18">
        <v>95127</v>
      </c>
      <c r="B207" s="17" t="s">
        <v>171</v>
      </c>
    </row>
    <row r="208" spans="1:2">
      <c r="A208" s="18">
        <v>95134</v>
      </c>
      <c r="B208" s="17" t="s">
        <v>171</v>
      </c>
    </row>
    <row r="209" spans="1:2">
      <c r="A209" s="18">
        <v>95132</v>
      </c>
      <c r="B209" s="17" t="s">
        <v>171</v>
      </c>
    </row>
    <row r="210" spans="1:2">
      <c r="A210" s="18">
        <v>94612</v>
      </c>
      <c r="B210" s="17" t="s">
        <v>171</v>
      </c>
    </row>
    <row r="211" spans="1:2">
      <c r="A211" s="18">
        <v>94610</v>
      </c>
      <c r="B211" s="17" t="s">
        <v>171</v>
      </c>
    </row>
    <row r="212" spans="1:2">
      <c r="A212" s="18">
        <v>94601</v>
      </c>
      <c r="B212" s="17" t="s">
        <v>171</v>
      </c>
    </row>
    <row r="213" spans="1:2">
      <c r="A213" s="18">
        <v>94608</v>
      </c>
      <c r="B213" s="17" t="s">
        <v>171</v>
      </c>
    </row>
    <row r="214" spans="1:2">
      <c r="A214" s="18">
        <v>95825</v>
      </c>
      <c r="B214" s="17" t="s">
        <v>171</v>
      </c>
    </row>
    <row r="215" spans="1:2">
      <c r="A215" s="18">
        <v>94606</v>
      </c>
      <c r="B215" s="17" t="s">
        <v>171</v>
      </c>
    </row>
    <row r="216" spans="1:2">
      <c r="A216" s="18">
        <v>89130</v>
      </c>
      <c r="B216" s="17" t="s">
        <v>171</v>
      </c>
    </row>
    <row r="217" spans="1:2">
      <c r="A217" s="18">
        <v>94501</v>
      </c>
      <c r="B217" s="17" t="s">
        <v>171</v>
      </c>
    </row>
    <row r="218" spans="1:2">
      <c r="A218" s="18">
        <v>92617</v>
      </c>
      <c r="B218" s="17" t="s">
        <v>184</v>
      </c>
    </row>
    <row r="219" spans="1:2">
      <c r="A219" s="18">
        <v>85031</v>
      </c>
      <c r="B219" s="17" t="s">
        <v>171</v>
      </c>
    </row>
    <row r="220" spans="1:2">
      <c r="A220" s="18">
        <v>92115</v>
      </c>
      <c r="B220" s="17" t="s">
        <v>184</v>
      </c>
    </row>
    <row r="221" spans="1:2">
      <c r="A221" s="18">
        <v>85007</v>
      </c>
      <c r="B221" s="17" t="s">
        <v>171</v>
      </c>
    </row>
    <row r="222" spans="1:2">
      <c r="A222" s="18">
        <v>85033</v>
      </c>
      <c r="B222" s="17" t="s">
        <v>171</v>
      </c>
    </row>
    <row r="223" spans="1:2">
      <c r="A223" s="18">
        <v>94609</v>
      </c>
      <c r="B223" s="17" t="s">
        <v>171</v>
      </c>
    </row>
    <row r="224" spans="1:2">
      <c r="A224" s="18">
        <v>91108</v>
      </c>
      <c r="B224" s="17" t="s">
        <v>184</v>
      </c>
    </row>
    <row r="225" spans="1:2">
      <c r="A225" s="18">
        <v>95368</v>
      </c>
      <c r="B225" s="17" t="s">
        <v>171</v>
      </c>
    </row>
    <row r="226" spans="1:2">
      <c r="A226" s="18">
        <v>94602</v>
      </c>
      <c r="B226" s="17" t="s">
        <v>171</v>
      </c>
    </row>
    <row r="227" spans="1:2">
      <c r="A227" s="18">
        <v>89149</v>
      </c>
      <c r="B227" s="17" t="s">
        <v>171</v>
      </c>
    </row>
    <row r="228" spans="1:2">
      <c r="A228" s="18">
        <v>94611</v>
      </c>
      <c r="B228" s="17" t="s">
        <v>171</v>
      </c>
    </row>
    <row r="229" spans="1:2">
      <c r="A229" s="18">
        <v>94502</v>
      </c>
      <c r="B229" s="17" t="s">
        <v>171</v>
      </c>
    </row>
    <row r="230" spans="1:2">
      <c r="A230" s="18">
        <v>94605</v>
      </c>
      <c r="B230" s="17" t="s">
        <v>171</v>
      </c>
    </row>
    <row r="231" spans="1:2">
      <c r="A231" s="18">
        <v>94618</v>
      </c>
      <c r="B231" s="17" t="s">
        <v>171</v>
      </c>
    </row>
    <row r="232" spans="1:2">
      <c r="A232" s="18">
        <v>91030</v>
      </c>
      <c r="B232" s="17" t="s">
        <v>184</v>
      </c>
    </row>
    <row r="233" spans="1:2">
      <c r="A233" s="18">
        <v>90039</v>
      </c>
      <c r="B233" s="17" t="s">
        <v>184</v>
      </c>
    </row>
    <row r="234" spans="1:2">
      <c r="A234" s="18">
        <v>94619</v>
      </c>
      <c r="B234" s="17" t="s">
        <v>171</v>
      </c>
    </row>
    <row r="235" spans="1:2">
      <c r="A235" s="18">
        <v>92104</v>
      </c>
      <c r="B235" s="17" t="s">
        <v>184</v>
      </c>
    </row>
    <row r="236" spans="1:2">
      <c r="A236" s="18">
        <v>94621</v>
      </c>
      <c r="B236" s="17" t="s">
        <v>171</v>
      </c>
    </row>
    <row r="237" spans="1:2">
      <c r="A237" s="18">
        <v>95328</v>
      </c>
      <c r="B237" s="17" t="s">
        <v>171</v>
      </c>
    </row>
    <row r="238" spans="1:2">
      <c r="A238" s="18">
        <v>94568</v>
      </c>
      <c r="B238" s="17" t="s">
        <v>171</v>
      </c>
    </row>
    <row r="239" spans="1:2">
      <c r="A239" s="18">
        <v>90042</v>
      </c>
      <c r="B239" s="17" t="s">
        <v>184</v>
      </c>
    </row>
    <row r="240" spans="1:2">
      <c r="A240" s="18">
        <v>94583</v>
      </c>
      <c r="B240" s="17" t="s">
        <v>171</v>
      </c>
    </row>
    <row r="241" spans="1:2">
      <c r="A241" s="18">
        <v>94566</v>
      </c>
      <c r="B241" s="17" t="s">
        <v>171</v>
      </c>
    </row>
    <row r="242" spans="1:2">
      <c r="A242" s="18">
        <v>92108</v>
      </c>
      <c r="B242" s="17" t="s">
        <v>182</v>
      </c>
    </row>
    <row r="243" spans="1:2">
      <c r="A243" s="18">
        <v>85035</v>
      </c>
      <c r="B243" s="17" t="s">
        <v>171</v>
      </c>
    </row>
    <row r="244" spans="1:2">
      <c r="A244" s="18">
        <v>94582</v>
      </c>
      <c r="B244" s="17" t="s">
        <v>171</v>
      </c>
    </row>
    <row r="245" spans="1:2">
      <c r="A245" s="18">
        <v>92604</v>
      </c>
      <c r="B245" s="17" t="s">
        <v>184</v>
      </c>
    </row>
    <row r="246" spans="1:2">
      <c r="A246" s="18">
        <v>92625</v>
      </c>
      <c r="B246" s="17" t="s">
        <v>184</v>
      </c>
    </row>
    <row r="247" spans="1:2">
      <c r="A247" s="18">
        <v>94551</v>
      </c>
      <c r="B247" s="17" t="s">
        <v>171</v>
      </c>
    </row>
    <row r="248" spans="1:2">
      <c r="A248" s="18">
        <v>95211</v>
      </c>
      <c r="B248" s="17" t="s">
        <v>171</v>
      </c>
    </row>
    <row r="249" spans="1:2">
      <c r="A249" s="18">
        <v>92116</v>
      </c>
      <c r="B249" s="17" t="s">
        <v>184</v>
      </c>
    </row>
    <row r="250" spans="1:2">
      <c r="A250" s="18">
        <v>92571</v>
      </c>
      <c r="B250" s="17" t="s">
        <v>184</v>
      </c>
    </row>
    <row r="251" spans="1:2">
      <c r="A251" s="18">
        <v>85037</v>
      </c>
      <c r="B251" s="17" t="s">
        <v>171</v>
      </c>
    </row>
    <row r="252" spans="1:2">
      <c r="A252" s="18">
        <v>92105</v>
      </c>
      <c r="B252" s="17" t="s">
        <v>184</v>
      </c>
    </row>
    <row r="253" spans="1:2">
      <c r="A253" s="18">
        <v>90065</v>
      </c>
      <c r="B253" s="17" t="s">
        <v>184</v>
      </c>
    </row>
    <row r="254" spans="1:2">
      <c r="A254" s="18">
        <v>85301</v>
      </c>
      <c r="B254" s="17" t="s">
        <v>171</v>
      </c>
    </row>
    <row r="255" spans="1:2">
      <c r="A255" s="18">
        <v>85392</v>
      </c>
      <c r="B255" s="17" t="s">
        <v>171</v>
      </c>
    </row>
    <row r="256" spans="1:2">
      <c r="A256" s="18">
        <v>85338</v>
      </c>
      <c r="B256" s="17" t="s">
        <v>171</v>
      </c>
    </row>
    <row r="257" spans="1:2">
      <c r="A257" s="18">
        <v>95824</v>
      </c>
      <c r="B257" s="17" t="s">
        <v>171</v>
      </c>
    </row>
    <row r="258" spans="1:2">
      <c r="A258" s="18">
        <v>89166</v>
      </c>
      <c r="B258" s="17" t="s">
        <v>171</v>
      </c>
    </row>
    <row r="259" spans="1:2">
      <c r="A259" s="18">
        <v>94580</v>
      </c>
      <c r="B259" s="17" t="s">
        <v>171</v>
      </c>
    </row>
    <row r="260" spans="1:2">
      <c r="A260" s="18">
        <v>92110</v>
      </c>
      <c r="B260" s="17" t="s">
        <v>184</v>
      </c>
    </row>
    <row r="261" spans="1:2">
      <c r="A261" s="18">
        <v>95202</v>
      </c>
      <c r="B261" s="17" t="s">
        <v>171</v>
      </c>
    </row>
    <row r="262" spans="1:2">
      <c r="A262" s="18">
        <v>85009</v>
      </c>
      <c r="B262" s="17" t="s">
        <v>171</v>
      </c>
    </row>
    <row r="263" spans="1:2">
      <c r="A263" s="18">
        <v>95823</v>
      </c>
      <c r="B263" s="17" t="s">
        <v>171</v>
      </c>
    </row>
    <row r="264" spans="1:2">
      <c r="A264" s="18">
        <v>94579</v>
      </c>
      <c r="B264" s="17" t="s">
        <v>171</v>
      </c>
    </row>
    <row r="265" spans="1:2">
      <c r="A265" s="18">
        <v>95822</v>
      </c>
      <c r="B265" s="17" t="s">
        <v>171</v>
      </c>
    </row>
    <row r="266" spans="1:2">
      <c r="A266" s="18">
        <v>85043</v>
      </c>
      <c r="B266" s="17" t="s">
        <v>171</v>
      </c>
    </row>
    <row r="267" spans="1:2">
      <c r="A267" s="18">
        <v>92612</v>
      </c>
      <c r="B267" s="17" t="s">
        <v>184</v>
      </c>
    </row>
    <row r="268" spans="1:2">
      <c r="A268" s="18">
        <v>94578</v>
      </c>
      <c r="B268" s="17" t="s">
        <v>171</v>
      </c>
    </row>
    <row r="269" spans="1:2">
      <c r="A269" s="18">
        <v>95821</v>
      </c>
      <c r="B269" s="17" t="s">
        <v>171</v>
      </c>
    </row>
    <row r="270" spans="1:2">
      <c r="A270" s="18">
        <v>85323</v>
      </c>
      <c r="B270" s="17" t="s">
        <v>171</v>
      </c>
    </row>
    <row r="271" spans="1:2">
      <c r="A271" s="18">
        <v>94577</v>
      </c>
      <c r="B271" s="17" t="s">
        <v>171</v>
      </c>
    </row>
    <row r="272" spans="1:2">
      <c r="A272" s="18">
        <v>91342</v>
      </c>
      <c r="B272" s="17" t="s">
        <v>171</v>
      </c>
    </row>
    <row r="273" spans="1:2">
      <c r="A273" s="18">
        <v>89138</v>
      </c>
      <c r="B273" s="17" t="s">
        <v>171</v>
      </c>
    </row>
    <row r="274" spans="1:2">
      <c r="A274" s="18">
        <v>90041</v>
      </c>
      <c r="B274" s="17" t="s">
        <v>184</v>
      </c>
    </row>
    <row r="275" spans="1:2">
      <c r="A275" s="18">
        <v>94546</v>
      </c>
      <c r="B275" s="17" t="s">
        <v>171</v>
      </c>
    </row>
    <row r="276" spans="1:2">
      <c r="A276" s="18">
        <v>90033</v>
      </c>
      <c r="B276" s="17" t="s">
        <v>171</v>
      </c>
    </row>
    <row r="277" spans="1:2">
      <c r="A277" s="18">
        <v>92140</v>
      </c>
      <c r="B277" s="17" t="s">
        <v>184</v>
      </c>
    </row>
    <row r="278" spans="1:2">
      <c r="A278" s="18">
        <v>90031</v>
      </c>
      <c r="B278" s="17" t="s">
        <v>171</v>
      </c>
    </row>
    <row r="279" spans="1:2">
      <c r="A279" s="18">
        <v>85353</v>
      </c>
      <c r="B279" s="17" t="s">
        <v>171</v>
      </c>
    </row>
    <row r="280" spans="1:2">
      <c r="A280" s="18">
        <v>91340</v>
      </c>
      <c r="B280" s="17" t="s">
        <v>171</v>
      </c>
    </row>
    <row r="281" spans="1:2">
      <c r="A281" s="18">
        <v>92660</v>
      </c>
      <c r="B281" s="17" t="s">
        <v>184</v>
      </c>
    </row>
    <row r="282" spans="1:2">
      <c r="A282" s="18">
        <v>91780</v>
      </c>
      <c r="B282" s="17" t="s">
        <v>184</v>
      </c>
    </row>
    <row r="283" spans="1:2">
      <c r="A283" s="18">
        <v>94552</v>
      </c>
      <c r="B283" s="17" t="s">
        <v>184</v>
      </c>
    </row>
    <row r="284" spans="1:2">
      <c r="A284" s="18">
        <v>92606</v>
      </c>
      <c r="B284" s="17" t="s">
        <v>184</v>
      </c>
    </row>
    <row r="285" spans="1:2">
      <c r="A285" s="18">
        <v>95354</v>
      </c>
      <c r="B285" s="17" t="s">
        <v>171</v>
      </c>
    </row>
    <row r="286" spans="1:2">
      <c r="A286" s="18">
        <v>89144</v>
      </c>
      <c r="B286" s="17" t="s">
        <v>171</v>
      </c>
    </row>
    <row r="287" spans="1:2">
      <c r="A287" s="18">
        <v>95820</v>
      </c>
      <c r="B287" s="17" t="s">
        <v>171</v>
      </c>
    </row>
    <row r="288" spans="1:2">
      <c r="A288" s="18">
        <v>91325</v>
      </c>
      <c r="B288" s="17" t="s">
        <v>184</v>
      </c>
    </row>
    <row r="289" spans="1:2">
      <c r="A289" s="18">
        <v>95064</v>
      </c>
      <c r="B289" s="17" t="s">
        <v>171</v>
      </c>
    </row>
    <row r="290" spans="1:2">
      <c r="A290" s="18">
        <v>85302</v>
      </c>
      <c r="B290" s="17" t="s">
        <v>171</v>
      </c>
    </row>
    <row r="291" spans="1:2">
      <c r="A291" s="18">
        <v>92662</v>
      </c>
      <c r="B291" s="17" t="s">
        <v>171</v>
      </c>
    </row>
    <row r="292" spans="1:2">
      <c r="A292" s="18">
        <v>95062</v>
      </c>
      <c r="B292" s="17" t="s">
        <v>171</v>
      </c>
    </row>
    <row r="293" spans="1:2">
      <c r="A293" s="18">
        <v>95819</v>
      </c>
      <c r="B293" s="23" t="s">
        <v>184</v>
      </c>
    </row>
    <row r="294" spans="1:2">
      <c r="A294" s="18">
        <v>95010</v>
      </c>
      <c r="B294" s="17" t="s">
        <v>171</v>
      </c>
    </row>
    <row r="295" spans="1:2">
      <c r="A295" s="18">
        <v>91343</v>
      </c>
      <c r="B295" s="17" t="s">
        <v>184</v>
      </c>
    </row>
    <row r="296" spans="1:2">
      <c r="A296" s="18">
        <v>91356</v>
      </c>
      <c r="B296" s="17" t="s">
        <v>184</v>
      </c>
    </row>
    <row r="297" spans="1:2">
      <c r="A297" s="18">
        <v>93619</v>
      </c>
      <c r="B297" s="17" t="s">
        <v>171</v>
      </c>
    </row>
    <row r="298" spans="1:2">
      <c r="A298" s="18">
        <v>89145</v>
      </c>
      <c r="B298" s="17" t="s">
        <v>171</v>
      </c>
    </row>
    <row r="299" spans="1:2">
      <c r="A299" s="18">
        <v>95066</v>
      </c>
      <c r="B299" s="17" t="s">
        <v>171</v>
      </c>
    </row>
    <row r="300" spans="1:2">
      <c r="A300" s="18">
        <v>95060</v>
      </c>
      <c r="B300" s="17" t="s">
        <v>171</v>
      </c>
    </row>
    <row r="301" spans="1:2">
      <c r="A301" s="18">
        <v>91737</v>
      </c>
      <c r="B301" s="17" t="s">
        <v>184</v>
      </c>
    </row>
    <row r="302" spans="1:2">
      <c r="A302" s="18">
        <v>91977</v>
      </c>
      <c r="B302" s="17" t="s">
        <v>184</v>
      </c>
    </row>
    <row r="303" spans="1:2">
      <c r="A303" s="18">
        <v>92697</v>
      </c>
      <c r="B303" s="17" t="s">
        <v>171</v>
      </c>
    </row>
    <row r="304" spans="1:2">
      <c r="A304" s="18">
        <v>93723</v>
      </c>
      <c r="B304" s="17" t="s">
        <v>171</v>
      </c>
    </row>
    <row r="305" spans="1:2">
      <c r="A305" s="18">
        <v>91344</v>
      </c>
      <c r="B305" s="17" t="s">
        <v>184</v>
      </c>
    </row>
    <row r="306" spans="1:2">
      <c r="A306" s="18">
        <v>85363</v>
      </c>
      <c r="B306" s="17" t="s">
        <v>171</v>
      </c>
    </row>
    <row r="307" spans="1:2">
      <c r="A307" s="18">
        <v>95065</v>
      </c>
      <c r="B307" s="17" t="s">
        <v>171</v>
      </c>
    </row>
    <row r="308" spans="1:2">
      <c r="A308" s="18">
        <v>92630</v>
      </c>
      <c r="B308" s="17" t="s">
        <v>184</v>
      </c>
    </row>
    <row r="309" spans="1:2">
      <c r="A309" s="18">
        <v>85304</v>
      </c>
      <c r="B309" s="17" t="s">
        <v>171</v>
      </c>
    </row>
    <row r="310" spans="1:2">
      <c r="A310" s="18">
        <v>92586</v>
      </c>
      <c r="B310" s="17" t="s">
        <v>171</v>
      </c>
    </row>
    <row r="311" spans="1:2">
      <c r="A311" s="18">
        <v>85388</v>
      </c>
      <c r="B311" s="17" t="s">
        <v>171</v>
      </c>
    </row>
    <row r="312" spans="1:2">
      <c r="A312" s="18">
        <v>89085</v>
      </c>
      <c r="B312" s="17" t="s">
        <v>171</v>
      </c>
    </row>
    <row r="313" spans="1:2">
      <c r="A313" s="18">
        <v>90640</v>
      </c>
      <c r="B313" s="23" t="s">
        <v>184</v>
      </c>
    </row>
    <row r="314" spans="1:2">
      <c r="A314" s="18">
        <v>95207</v>
      </c>
      <c r="B314" s="17" t="s">
        <v>171</v>
      </c>
    </row>
    <row r="315" spans="1:2">
      <c r="A315" s="18">
        <v>92584</v>
      </c>
      <c r="B315" s="17" t="s">
        <v>184</v>
      </c>
    </row>
    <row r="316" spans="1:2">
      <c r="A316" s="18">
        <v>85303</v>
      </c>
      <c r="B316" s="17" t="s">
        <v>171</v>
      </c>
    </row>
    <row r="317" spans="1:2">
      <c r="A317" s="18">
        <v>91302</v>
      </c>
      <c r="B317" s="17" t="s">
        <v>184</v>
      </c>
    </row>
    <row r="318" spans="1:2">
      <c r="A318" s="18">
        <v>93662</v>
      </c>
      <c r="B318" s="17" t="s">
        <v>171</v>
      </c>
    </row>
    <row r="319" spans="1:2">
      <c r="A319" s="18">
        <v>95209</v>
      </c>
      <c r="B319" s="17" t="s">
        <v>171</v>
      </c>
    </row>
    <row r="320" spans="1:2">
      <c r="A320" s="18">
        <v>95818</v>
      </c>
      <c r="B320" s="17" t="s">
        <v>171</v>
      </c>
    </row>
    <row r="321" spans="1:2">
      <c r="A321" s="18">
        <v>89081</v>
      </c>
      <c r="B321" s="17" t="s">
        <v>171</v>
      </c>
    </row>
    <row r="322" spans="1:2">
      <c r="A322" s="18">
        <v>89086</v>
      </c>
      <c r="B322" s="17" t="s">
        <v>171</v>
      </c>
    </row>
    <row r="323" spans="1:2">
      <c r="A323" s="18">
        <v>95817</v>
      </c>
      <c r="B323" s="17" t="s">
        <v>171</v>
      </c>
    </row>
    <row r="324" spans="1:2">
      <c r="A324" s="18">
        <v>92860</v>
      </c>
      <c r="B324" s="17" t="s">
        <v>171</v>
      </c>
    </row>
    <row r="325" spans="1:2">
      <c r="A325" s="18">
        <v>85307</v>
      </c>
      <c r="B325" s="17" t="s">
        <v>171</v>
      </c>
    </row>
    <row r="326" spans="1:2">
      <c r="A326" s="18">
        <v>91770</v>
      </c>
      <c r="B326" s="17" t="s">
        <v>184</v>
      </c>
    </row>
    <row r="327" spans="1:2">
      <c r="A327" s="18">
        <v>85379</v>
      </c>
      <c r="B327" s="17" t="s">
        <v>171</v>
      </c>
    </row>
    <row r="328" spans="1:2">
      <c r="A328" s="18">
        <v>95003</v>
      </c>
      <c r="B328" s="17" t="s">
        <v>171</v>
      </c>
    </row>
    <row r="329" spans="1:2">
      <c r="A329" s="18">
        <v>93625</v>
      </c>
      <c r="B329" s="17" t="s">
        <v>171</v>
      </c>
    </row>
    <row r="330" spans="1:2">
      <c r="A330" s="18">
        <v>92692</v>
      </c>
      <c r="B330" s="17" t="s">
        <v>184</v>
      </c>
    </row>
    <row r="331" spans="1:2">
      <c r="A331" s="18">
        <v>85345</v>
      </c>
      <c r="B331" s="17" t="s">
        <v>171</v>
      </c>
    </row>
    <row r="332" spans="1:2">
      <c r="A332" s="18">
        <v>85306</v>
      </c>
      <c r="B332" s="17" t="s">
        <v>171</v>
      </c>
    </row>
    <row r="333" spans="1:2">
      <c r="A333" s="18">
        <v>85335</v>
      </c>
      <c r="B333" s="17" t="s">
        <v>171</v>
      </c>
    </row>
    <row r="334" spans="1:2">
      <c r="A334" s="18">
        <v>95204</v>
      </c>
      <c r="B334" s="17" t="s">
        <v>171</v>
      </c>
    </row>
    <row r="335" spans="1:2">
      <c r="A335" s="18">
        <v>92585</v>
      </c>
      <c r="B335" s="17" t="s">
        <v>171</v>
      </c>
    </row>
    <row r="336" spans="1:2">
      <c r="A336" s="18">
        <v>92880</v>
      </c>
      <c r="B336" s="17" t="s">
        <v>171</v>
      </c>
    </row>
    <row r="337" spans="1:2">
      <c r="A337" s="18">
        <v>89031</v>
      </c>
      <c r="B337" s="17" t="s">
        <v>171</v>
      </c>
    </row>
    <row r="338" spans="1:2">
      <c r="A338" s="18">
        <v>89032</v>
      </c>
      <c r="B338" s="17" t="s">
        <v>171</v>
      </c>
    </row>
    <row r="339" spans="1:2">
      <c r="A339" s="18">
        <v>93725</v>
      </c>
      <c r="B339" s="17" t="s">
        <v>171</v>
      </c>
    </row>
    <row r="340" spans="1:2">
      <c r="A340" s="18">
        <v>92691</v>
      </c>
      <c r="B340" s="17" t="s">
        <v>184</v>
      </c>
    </row>
    <row r="341" spans="1:2">
      <c r="A341" s="18">
        <v>85305</v>
      </c>
      <c r="B341" s="17" t="s">
        <v>171</v>
      </c>
    </row>
    <row r="342" spans="1:2">
      <c r="A342" s="18">
        <v>92881</v>
      </c>
      <c r="B342" s="17" t="s">
        <v>171</v>
      </c>
    </row>
    <row r="343" spans="1:2">
      <c r="A343" s="18">
        <v>85381</v>
      </c>
      <c r="B343" s="17" t="s">
        <v>171</v>
      </c>
    </row>
    <row r="344" spans="1:2">
      <c r="A344" s="18">
        <v>85355</v>
      </c>
      <c r="B344" s="17" t="s">
        <v>171</v>
      </c>
    </row>
    <row r="345" spans="1:2">
      <c r="A345" s="18">
        <v>95118</v>
      </c>
      <c r="B345" s="17" t="s">
        <v>171</v>
      </c>
    </row>
    <row r="346" spans="1:2">
      <c r="A346" s="18">
        <v>95210</v>
      </c>
      <c r="B346" s="17" t="s">
        <v>171</v>
      </c>
    </row>
    <row r="347" spans="1:2">
      <c r="A347" s="18">
        <v>92563</v>
      </c>
      <c r="B347" s="17" t="s">
        <v>184</v>
      </c>
    </row>
    <row r="348" spans="1:2">
      <c r="A348" s="18">
        <v>92878</v>
      </c>
      <c r="B348" s="17" t="s">
        <v>171</v>
      </c>
    </row>
    <row r="349" spans="1:2">
      <c r="A349" s="18">
        <v>95816</v>
      </c>
      <c r="B349" s="17" t="s">
        <v>171</v>
      </c>
    </row>
    <row r="350" spans="1:2">
      <c r="A350" s="18">
        <v>95008</v>
      </c>
      <c r="B350" s="17" t="s">
        <v>171</v>
      </c>
    </row>
    <row r="351" spans="1:2">
      <c r="A351" s="18">
        <v>95815</v>
      </c>
      <c r="B351" s="17" t="s">
        <v>171</v>
      </c>
    </row>
    <row r="352" spans="1:2">
      <c r="A352" s="18">
        <v>95814</v>
      </c>
      <c r="B352" s="17" t="s">
        <v>171</v>
      </c>
    </row>
    <row r="353" spans="1:2">
      <c r="A353" s="18">
        <v>95054</v>
      </c>
      <c r="B353" s="17" t="s">
        <v>171</v>
      </c>
    </row>
    <row r="354" spans="1:2">
      <c r="A354" s="18">
        <v>95811</v>
      </c>
      <c r="B354" s="23" t="s">
        <v>184</v>
      </c>
    </row>
    <row r="355" spans="1:2">
      <c r="A355" s="18">
        <v>95776</v>
      </c>
      <c r="B355" s="17" t="s">
        <v>171</v>
      </c>
    </row>
    <row r="356" spans="1:2">
      <c r="A356" s="18">
        <v>85374</v>
      </c>
      <c r="B356" s="17" t="s">
        <v>171</v>
      </c>
    </row>
    <row r="357" spans="1:2">
      <c r="A357" s="18">
        <v>89030</v>
      </c>
      <c r="B357" s="17" t="s">
        <v>171</v>
      </c>
    </row>
    <row r="358" spans="1:2">
      <c r="A358" s="18">
        <v>85340</v>
      </c>
      <c r="B358" s="17" t="s">
        <v>171</v>
      </c>
    </row>
    <row r="359" spans="1:2">
      <c r="A359" s="18">
        <v>92377</v>
      </c>
      <c r="B359" s="17" t="s">
        <v>184</v>
      </c>
    </row>
    <row r="360" spans="1:2">
      <c r="A360" s="18">
        <v>85375</v>
      </c>
      <c r="B360" s="17" t="s">
        <v>171</v>
      </c>
    </row>
    <row r="361" spans="1:2">
      <c r="A361" s="18">
        <v>92587</v>
      </c>
      <c r="B361" s="17" t="s">
        <v>184</v>
      </c>
    </row>
    <row r="362" spans="1:2">
      <c r="A362" s="18">
        <v>95129</v>
      </c>
      <c r="B362" s="17" t="s">
        <v>171</v>
      </c>
    </row>
    <row r="363" spans="1:2">
      <c r="A363" s="18">
        <v>92119</v>
      </c>
      <c r="B363" s="17" t="s">
        <v>171</v>
      </c>
    </row>
    <row r="364" spans="1:2">
      <c r="A364" s="18">
        <v>85373</v>
      </c>
      <c r="B364" s="17" t="s">
        <v>171</v>
      </c>
    </row>
    <row r="365" spans="1:2">
      <c r="A365" s="18">
        <v>95765</v>
      </c>
      <c r="B365" s="17" t="s">
        <v>171</v>
      </c>
    </row>
    <row r="366" spans="1:2">
      <c r="A366" s="18">
        <v>92124</v>
      </c>
      <c r="B366" s="17" t="s">
        <v>184</v>
      </c>
    </row>
    <row r="367" spans="1:2">
      <c r="A367" s="18">
        <v>95070</v>
      </c>
      <c r="B367" s="17" t="s">
        <v>171</v>
      </c>
    </row>
    <row r="368" spans="1:2">
      <c r="A368" s="18">
        <v>85351</v>
      </c>
      <c r="B368" s="17" t="s">
        <v>171</v>
      </c>
    </row>
    <row r="369" spans="1:2">
      <c r="A369" s="18">
        <v>95758</v>
      </c>
      <c r="B369" s="17" t="s">
        <v>171</v>
      </c>
    </row>
    <row r="370" spans="1:2">
      <c r="A370" s="18">
        <v>92111</v>
      </c>
      <c r="B370" s="17" t="s">
        <v>184</v>
      </c>
    </row>
    <row r="371" spans="1:2">
      <c r="A371" s="18">
        <v>95757</v>
      </c>
      <c r="B371" s="17" t="s">
        <v>171</v>
      </c>
    </row>
    <row r="372" spans="1:2">
      <c r="A372" s="18">
        <v>95205</v>
      </c>
      <c r="B372" s="17" t="s">
        <v>171</v>
      </c>
    </row>
    <row r="373" spans="1:2">
      <c r="A373" s="18">
        <v>91733</v>
      </c>
      <c r="B373" s="17" t="s">
        <v>184</v>
      </c>
    </row>
    <row r="374" spans="1:2">
      <c r="A374" s="18">
        <v>90255</v>
      </c>
      <c r="B374" s="17" t="s">
        <v>184</v>
      </c>
    </row>
    <row r="375" spans="1:2">
      <c r="A375" s="18">
        <v>92596</v>
      </c>
      <c r="B375" s="17" t="s">
        <v>184</v>
      </c>
    </row>
    <row r="376" spans="1:2">
      <c r="A376" s="18">
        <v>89084</v>
      </c>
      <c r="B376" s="17" t="s">
        <v>171</v>
      </c>
    </row>
    <row r="377" spans="1:2">
      <c r="A377" s="18">
        <v>95382</v>
      </c>
      <c r="B377" s="17" t="s">
        <v>171</v>
      </c>
    </row>
    <row r="378" spans="1:2">
      <c r="A378" s="18">
        <v>95747</v>
      </c>
      <c r="B378" s="17" t="s">
        <v>171</v>
      </c>
    </row>
    <row r="379" spans="1:2">
      <c r="A379" s="18">
        <v>95032</v>
      </c>
      <c r="B379" s="17" t="s">
        <v>171</v>
      </c>
    </row>
    <row r="380" spans="1:2">
      <c r="A380" s="18">
        <v>90003</v>
      </c>
      <c r="B380" s="17" t="s">
        <v>184</v>
      </c>
    </row>
    <row r="381" spans="1:2">
      <c r="A381" s="18">
        <v>89169</v>
      </c>
      <c r="B381" s="17" t="s">
        <v>171</v>
      </c>
    </row>
    <row r="382" spans="1:2">
      <c r="A382" s="18">
        <v>95746</v>
      </c>
      <c r="B382" s="17" t="s">
        <v>171</v>
      </c>
    </row>
    <row r="383" spans="1:2">
      <c r="A383" s="18">
        <v>95019</v>
      </c>
      <c r="B383" s="17" t="s">
        <v>171</v>
      </c>
    </row>
    <row r="384" spans="1:2">
      <c r="A384" s="18">
        <v>91739</v>
      </c>
      <c r="B384" s="17" t="s">
        <v>184</v>
      </c>
    </row>
    <row r="385" spans="1:2">
      <c r="A385" s="18">
        <v>89119</v>
      </c>
      <c r="B385" s="17" t="s">
        <v>171</v>
      </c>
    </row>
    <row r="386" spans="1:2">
      <c r="A386" s="18">
        <v>92336</v>
      </c>
      <c r="B386" s="17" t="s">
        <v>184</v>
      </c>
    </row>
    <row r="387" spans="1:2">
      <c r="A387" s="18">
        <v>93950</v>
      </c>
      <c r="B387" s="17" t="s">
        <v>171</v>
      </c>
    </row>
    <row r="388" spans="1:2">
      <c r="A388" s="18">
        <v>89123</v>
      </c>
      <c r="B388" s="17" t="s">
        <v>171</v>
      </c>
    </row>
    <row r="389" spans="1:2">
      <c r="A389" s="18">
        <v>92335</v>
      </c>
      <c r="B389" s="17" t="s">
        <v>184</v>
      </c>
    </row>
    <row r="390" spans="1:2">
      <c r="A390" s="18">
        <v>93905</v>
      </c>
      <c r="B390" s="17" t="s">
        <v>171</v>
      </c>
    </row>
    <row r="391" spans="1:2">
      <c r="A391" s="18">
        <v>89178</v>
      </c>
      <c r="B391" s="17" t="s">
        <v>171</v>
      </c>
    </row>
    <row r="392" spans="1:2">
      <c r="A392" s="18">
        <v>95742</v>
      </c>
      <c r="B392" s="17" t="s">
        <v>171</v>
      </c>
    </row>
    <row r="393" spans="1:2">
      <c r="A393" s="18">
        <v>95330</v>
      </c>
      <c r="B393" s="17" t="s">
        <v>171</v>
      </c>
    </row>
    <row r="394" spans="1:2">
      <c r="A394" s="18">
        <v>85044</v>
      </c>
      <c r="B394" s="17" t="s">
        <v>171</v>
      </c>
    </row>
    <row r="395" spans="1:2">
      <c r="A395" s="18">
        <v>93901</v>
      </c>
      <c r="B395" s="17" t="s">
        <v>171</v>
      </c>
    </row>
    <row r="396" spans="1:2">
      <c r="A396" s="18">
        <v>92316</v>
      </c>
      <c r="B396" s="17" t="s">
        <v>184</v>
      </c>
    </row>
    <row r="397" spans="1:2">
      <c r="A397" s="18">
        <v>92337</v>
      </c>
      <c r="B397" s="17" t="s">
        <v>184</v>
      </c>
    </row>
    <row r="398" spans="1:2">
      <c r="A398" s="18">
        <v>89121</v>
      </c>
      <c r="B398" s="17" t="s">
        <v>171</v>
      </c>
    </row>
    <row r="399" spans="1:2">
      <c r="A399" s="18">
        <v>92107</v>
      </c>
      <c r="B399" s="17" t="s">
        <v>184</v>
      </c>
    </row>
    <row r="400" spans="1:2">
      <c r="A400" s="18">
        <v>92501</v>
      </c>
      <c r="B400" s="17" t="s">
        <v>171</v>
      </c>
    </row>
    <row r="401" spans="1:2">
      <c r="A401" s="18">
        <v>93933</v>
      </c>
      <c r="B401" s="17" t="s">
        <v>171</v>
      </c>
    </row>
    <row r="402" spans="1:2">
      <c r="A402" s="18">
        <v>85041</v>
      </c>
      <c r="B402" s="17" t="s">
        <v>171</v>
      </c>
    </row>
    <row r="403" spans="1:2">
      <c r="A403" s="18">
        <v>95356</v>
      </c>
      <c r="B403" s="17" t="s">
        <v>171</v>
      </c>
    </row>
    <row r="404" spans="1:2">
      <c r="A404" s="18">
        <v>93921</v>
      </c>
      <c r="B404" s="17" t="s">
        <v>171</v>
      </c>
    </row>
    <row r="405" spans="1:2">
      <c r="A405" s="18">
        <v>93940</v>
      </c>
      <c r="B405" s="17" t="s">
        <v>171</v>
      </c>
    </row>
    <row r="406" spans="1:2">
      <c r="A406" s="18">
        <v>89183</v>
      </c>
      <c r="B406" s="17" t="s">
        <v>171</v>
      </c>
    </row>
    <row r="407" spans="1:2">
      <c r="A407" s="18">
        <v>95307</v>
      </c>
      <c r="B407" s="17" t="s">
        <v>171</v>
      </c>
    </row>
    <row r="408" spans="1:2">
      <c r="A408" s="18">
        <v>92503</v>
      </c>
      <c r="B408" s="17" t="s">
        <v>171</v>
      </c>
    </row>
    <row r="409" spans="1:2">
      <c r="A409" s="18">
        <v>89141</v>
      </c>
      <c r="B409" s="17" t="s">
        <v>171</v>
      </c>
    </row>
    <row r="410" spans="1:2">
      <c r="A410" s="18">
        <v>89139</v>
      </c>
      <c r="B410" s="17" t="s">
        <v>171</v>
      </c>
    </row>
    <row r="411" spans="1:2">
      <c r="A411" s="18">
        <v>92504</v>
      </c>
      <c r="B411" s="17" t="s">
        <v>171</v>
      </c>
    </row>
    <row r="412" spans="1:2">
      <c r="A412" s="18">
        <v>93955</v>
      </c>
      <c r="B412" s="17" t="s">
        <v>171</v>
      </c>
    </row>
    <row r="413" spans="1:2">
      <c r="A413" s="18">
        <v>91364</v>
      </c>
      <c r="B413" s="17" t="s">
        <v>184</v>
      </c>
    </row>
    <row r="414" spans="1:2">
      <c r="A414" s="18">
        <v>92509</v>
      </c>
      <c r="B414" s="17" t="s">
        <v>171</v>
      </c>
    </row>
    <row r="415" spans="1:2">
      <c r="A415" s="18">
        <v>89120</v>
      </c>
      <c r="B415" s="17" t="s">
        <v>171</v>
      </c>
    </row>
    <row r="416" spans="1:2">
      <c r="A416" s="18">
        <v>92106</v>
      </c>
      <c r="B416" s="17" t="s">
        <v>184</v>
      </c>
    </row>
    <row r="417" spans="1:2">
      <c r="A417" s="18">
        <v>85040</v>
      </c>
      <c r="B417" s="17" t="s">
        <v>171</v>
      </c>
    </row>
    <row r="418" spans="1:2">
      <c r="A418" s="18">
        <v>92832</v>
      </c>
      <c r="B418" s="17" t="s">
        <v>184</v>
      </c>
    </row>
    <row r="419" spans="1:2">
      <c r="A419" s="18">
        <v>91326</v>
      </c>
      <c r="B419" s="17" t="s">
        <v>184</v>
      </c>
    </row>
    <row r="420" spans="1:2">
      <c r="A420" s="18">
        <v>85282</v>
      </c>
      <c r="B420" s="17" t="s">
        <v>171</v>
      </c>
    </row>
    <row r="421" spans="1:2">
      <c r="A421" s="18">
        <v>95722</v>
      </c>
      <c r="B421" s="17" t="s">
        <v>171</v>
      </c>
    </row>
    <row r="422" spans="1:2">
      <c r="A422" s="18">
        <v>89147</v>
      </c>
      <c r="B422" s="17" t="s">
        <v>171</v>
      </c>
    </row>
    <row r="423" spans="1:2">
      <c r="A423" s="18">
        <v>95703</v>
      </c>
      <c r="B423" s="17" t="s">
        <v>171</v>
      </c>
    </row>
    <row r="424" spans="1:2">
      <c r="A424" s="18">
        <v>92507</v>
      </c>
      <c r="B424" s="17" t="s">
        <v>171</v>
      </c>
    </row>
    <row r="425" spans="1:2">
      <c r="A425" s="18">
        <v>92117</v>
      </c>
      <c r="B425" s="17" t="s">
        <v>184</v>
      </c>
    </row>
    <row r="426" spans="1:2">
      <c r="A426" s="18">
        <v>93953</v>
      </c>
      <c r="B426" s="17" t="s">
        <v>171</v>
      </c>
    </row>
    <row r="427" spans="1:2">
      <c r="A427" s="18">
        <v>90011</v>
      </c>
      <c r="B427" s="17" t="s">
        <v>184</v>
      </c>
    </row>
    <row r="428" spans="1:2">
      <c r="A428" s="18">
        <v>85042</v>
      </c>
      <c r="B428" s="17" t="s">
        <v>171</v>
      </c>
    </row>
    <row r="429" spans="1:2">
      <c r="A429" s="18">
        <v>93907</v>
      </c>
      <c r="B429" s="17" t="s">
        <v>171</v>
      </c>
    </row>
    <row r="430" spans="1:2">
      <c r="A430" s="18">
        <v>85283</v>
      </c>
      <c r="B430" s="17" t="s">
        <v>171</v>
      </c>
    </row>
    <row r="431" spans="1:2">
      <c r="A431" s="18">
        <v>89146</v>
      </c>
      <c r="B431" s="17" t="s">
        <v>171</v>
      </c>
    </row>
    <row r="432" spans="1:2">
      <c r="A432" s="18">
        <v>93706</v>
      </c>
      <c r="B432" s="17" t="s">
        <v>171</v>
      </c>
    </row>
    <row r="433" spans="1:2">
      <c r="A433" s="18">
        <v>95319</v>
      </c>
      <c r="B433" s="17" t="s">
        <v>171</v>
      </c>
    </row>
    <row r="434" spans="1:2">
      <c r="A434" s="18">
        <v>85284</v>
      </c>
      <c r="B434" s="17" t="s">
        <v>171</v>
      </c>
    </row>
    <row r="435" spans="1:2">
      <c r="A435" s="18">
        <v>90680</v>
      </c>
      <c r="B435" s="17" t="s">
        <v>184</v>
      </c>
    </row>
    <row r="436" spans="1:2">
      <c r="A436" s="18">
        <v>95203</v>
      </c>
      <c r="B436" s="17" t="s">
        <v>171</v>
      </c>
    </row>
    <row r="437" spans="1:2">
      <c r="A437" s="18">
        <v>92841</v>
      </c>
      <c r="B437" s="17" t="s">
        <v>184</v>
      </c>
    </row>
    <row r="438" spans="1:2">
      <c r="A438" s="18">
        <v>95695</v>
      </c>
      <c r="B438" s="17" t="s">
        <v>171</v>
      </c>
    </row>
    <row r="439" spans="1:2">
      <c r="A439" s="18">
        <v>95212</v>
      </c>
      <c r="B439" s="17" t="s">
        <v>171</v>
      </c>
    </row>
    <row r="440" spans="1:2">
      <c r="A440" s="18">
        <v>89118</v>
      </c>
      <c r="B440" s="17" t="s">
        <v>171</v>
      </c>
    </row>
    <row r="441" spans="1:2">
      <c r="A441" s="18">
        <v>92506</v>
      </c>
      <c r="B441" s="17" t="s">
        <v>171</v>
      </c>
    </row>
    <row r="442" spans="1:2">
      <c r="A442" s="18">
        <v>95380</v>
      </c>
      <c r="B442" s="17" t="s">
        <v>171</v>
      </c>
    </row>
    <row r="443" spans="1:2">
      <c r="A443" s="18">
        <v>95691</v>
      </c>
      <c r="B443" s="17" t="s">
        <v>171</v>
      </c>
    </row>
    <row r="444" spans="1:2">
      <c r="A444" s="18">
        <v>93923</v>
      </c>
      <c r="B444" s="17" t="s">
        <v>171</v>
      </c>
    </row>
    <row r="445" spans="1:2">
      <c r="A445" s="18">
        <v>92508</v>
      </c>
      <c r="B445" s="17" t="s">
        <v>171</v>
      </c>
    </row>
    <row r="446" spans="1:2">
      <c r="A446" s="18">
        <v>90001</v>
      </c>
      <c r="B446" s="17" t="s">
        <v>184</v>
      </c>
    </row>
    <row r="447" spans="1:2">
      <c r="A447" s="18">
        <v>92886</v>
      </c>
      <c r="B447" s="17" t="s">
        <v>184</v>
      </c>
    </row>
    <row r="448" spans="1:2">
      <c r="A448" s="18">
        <v>89106</v>
      </c>
      <c r="B448" s="17" t="s">
        <v>171</v>
      </c>
    </row>
    <row r="449" spans="1:2">
      <c r="A449" s="18">
        <v>91752</v>
      </c>
      <c r="B449" s="17" t="s">
        <v>171</v>
      </c>
    </row>
    <row r="450" spans="1:2">
      <c r="A450" s="18">
        <v>92582</v>
      </c>
      <c r="B450" s="17" t="s">
        <v>171</v>
      </c>
    </row>
    <row r="451" spans="1:2">
      <c r="A451" s="18">
        <v>92583</v>
      </c>
      <c r="B451" s="17" t="s">
        <v>171</v>
      </c>
    </row>
    <row r="452" spans="1:2">
      <c r="A452" s="18">
        <v>89117</v>
      </c>
      <c r="B452" s="17" t="s">
        <v>171</v>
      </c>
    </row>
    <row r="453" spans="1:2">
      <c r="A453" s="18">
        <v>90059</v>
      </c>
      <c r="B453" s="17" t="s">
        <v>184</v>
      </c>
    </row>
    <row r="454" spans="1:2">
      <c r="A454" s="18">
        <v>95258</v>
      </c>
      <c r="B454" s="17" t="s">
        <v>171</v>
      </c>
    </row>
    <row r="455" spans="1:2">
      <c r="A455" s="18">
        <v>92543</v>
      </c>
      <c r="B455" s="17" t="s">
        <v>184</v>
      </c>
    </row>
    <row r="456" spans="1:2">
      <c r="A456" s="18">
        <v>89148</v>
      </c>
      <c r="B456" s="17" t="s">
        <v>171</v>
      </c>
    </row>
    <row r="457" spans="1:2">
      <c r="A457" s="18">
        <v>89113</v>
      </c>
      <c r="B457" s="17" t="s">
        <v>171</v>
      </c>
    </row>
    <row r="458" spans="1:2">
      <c r="A458" s="18">
        <v>91311</v>
      </c>
      <c r="B458" s="17" t="s">
        <v>184</v>
      </c>
    </row>
    <row r="459" spans="1:2">
      <c r="A459" s="18">
        <v>89103</v>
      </c>
      <c r="B459" s="17" t="s">
        <v>171</v>
      </c>
    </row>
    <row r="460" spans="1:2">
      <c r="A460" s="18">
        <v>94541</v>
      </c>
      <c r="B460" s="17" t="s">
        <v>171</v>
      </c>
    </row>
    <row r="461" spans="1:2">
      <c r="A461" s="18">
        <v>92840</v>
      </c>
      <c r="B461" s="17" t="s">
        <v>184</v>
      </c>
    </row>
    <row r="462" spans="1:2">
      <c r="A462" s="18">
        <v>92544</v>
      </c>
      <c r="B462" s="17" t="s">
        <v>171</v>
      </c>
    </row>
    <row r="463" spans="1:2">
      <c r="A463" s="18">
        <v>94544</v>
      </c>
      <c r="B463" s="17" t="s">
        <v>171</v>
      </c>
    </row>
    <row r="464" spans="1:2">
      <c r="A464" s="18">
        <v>95678</v>
      </c>
      <c r="B464" s="17" t="s">
        <v>171</v>
      </c>
    </row>
    <row r="465" spans="1:2">
      <c r="A465" s="18">
        <v>95360</v>
      </c>
      <c r="B465" s="17" t="s">
        <v>171</v>
      </c>
    </row>
    <row r="466" spans="1:2">
      <c r="A466" s="18">
        <v>95326</v>
      </c>
      <c r="B466" s="17" t="s">
        <v>171</v>
      </c>
    </row>
    <row r="467" spans="1:2">
      <c r="A467" s="18">
        <v>95677</v>
      </c>
      <c r="B467" s="17" t="s">
        <v>171</v>
      </c>
    </row>
    <row r="468" spans="1:2">
      <c r="A468" s="18">
        <v>85251</v>
      </c>
      <c r="B468" s="17" t="s">
        <v>184</v>
      </c>
    </row>
    <row r="469" spans="1:2">
      <c r="A469" s="18">
        <v>85016</v>
      </c>
      <c r="B469" s="17" t="s">
        <v>171</v>
      </c>
    </row>
    <row r="470" spans="1:2">
      <c r="A470" s="18">
        <v>91324</v>
      </c>
      <c r="B470" s="17" t="s">
        <v>184</v>
      </c>
    </row>
    <row r="471" spans="1:2">
      <c r="A471" s="18">
        <v>85006</v>
      </c>
      <c r="B471" s="17" t="s">
        <v>171</v>
      </c>
    </row>
    <row r="472" spans="1:2">
      <c r="A472" s="18">
        <v>92688</v>
      </c>
      <c r="B472" s="17" t="s">
        <v>184</v>
      </c>
    </row>
    <row r="473" spans="1:2">
      <c r="A473" s="18">
        <v>85032</v>
      </c>
      <c r="B473" s="17" t="s">
        <v>171</v>
      </c>
    </row>
    <row r="474" spans="1:2">
      <c r="A474" s="18">
        <v>95673</v>
      </c>
      <c r="B474" s="17" t="s">
        <v>171</v>
      </c>
    </row>
    <row r="475" spans="1:2">
      <c r="A475" s="18">
        <v>94536</v>
      </c>
      <c r="B475" s="17" t="s">
        <v>171</v>
      </c>
    </row>
    <row r="476" spans="1:2">
      <c r="A476" s="18">
        <v>95670</v>
      </c>
      <c r="B476" s="17" t="s">
        <v>171</v>
      </c>
    </row>
    <row r="477" spans="1:2">
      <c r="A477" s="18">
        <v>95662</v>
      </c>
      <c r="B477" s="17" t="s">
        <v>171</v>
      </c>
    </row>
    <row r="478" spans="1:2">
      <c r="A478" s="18">
        <v>85008</v>
      </c>
      <c r="B478" s="17" t="s">
        <v>171</v>
      </c>
    </row>
    <row r="479" spans="1:2">
      <c r="A479" s="18">
        <v>94587</v>
      </c>
      <c r="B479" s="17" t="s">
        <v>171</v>
      </c>
    </row>
    <row r="480" spans="1:2">
      <c r="A480" s="18">
        <v>92075</v>
      </c>
      <c r="B480" s="17" t="s">
        <v>184</v>
      </c>
    </row>
    <row r="481" spans="1:2">
      <c r="A481" s="18">
        <v>91330</v>
      </c>
      <c r="B481" s="17" t="s">
        <v>171</v>
      </c>
    </row>
    <row r="482" spans="1:2">
      <c r="A482" s="18">
        <v>94555</v>
      </c>
      <c r="B482" s="17" t="s">
        <v>171</v>
      </c>
    </row>
    <row r="483" spans="1:2">
      <c r="A483" s="18">
        <v>95661</v>
      </c>
      <c r="B483" s="17" t="s">
        <v>171</v>
      </c>
    </row>
    <row r="484" spans="1:2">
      <c r="A484" s="18">
        <v>92567</v>
      </c>
      <c r="B484" s="17" t="s">
        <v>171</v>
      </c>
    </row>
    <row r="485" spans="1:2">
      <c r="A485" s="18">
        <v>85256</v>
      </c>
      <c r="B485" s="17" t="s">
        <v>171</v>
      </c>
    </row>
    <row r="486" spans="1:2">
      <c r="A486" s="18">
        <v>92545</v>
      </c>
      <c r="B486" s="17" t="s">
        <v>184</v>
      </c>
    </row>
    <row r="487" spans="1:2">
      <c r="A487" s="18">
        <v>95361</v>
      </c>
      <c r="B487" s="17" t="s">
        <v>171</v>
      </c>
    </row>
    <row r="488" spans="1:2">
      <c r="A488" s="18">
        <v>92130</v>
      </c>
      <c r="B488" s="17" t="s">
        <v>171</v>
      </c>
    </row>
    <row r="489" spans="1:2">
      <c r="A489" s="18">
        <v>92548</v>
      </c>
      <c r="B489" s="17" t="s">
        <v>184</v>
      </c>
    </row>
    <row r="490" spans="1:2">
      <c r="A490" s="18">
        <v>95357</v>
      </c>
      <c r="B490" s="17" t="s">
        <v>171</v>
      </c>
    </row>
    <row r="491" spans="1:2">
      <c r="A491" s="18">
        <v>91354</v>
      </c>
      <c r="B491" s="17" t="s">
        <v>171</v>
      </c>
    </row>
    <row r="492" spans="1:2">
      <c r="A492" s="18">
        <v>92014</v>
      </c>
      <c r="B492" s="17" t="s">
        <v>184</v>
      </c>
    </row>
    <row r="493" spans="1:2">
      <c r="A493" s="18">
        <v>92223</v>
      </c>
      <c r="B493" s="17" t="s">
        <v>171</v>
      </c>
    </row>
    <row r="494" spans="1:2">
      <c r="A494" s="18">
        <v>95336</v>
      </c>
      <c r="B494" s="17" t="s">
        <v>171</v>
      </c>
    </row>
    <row r="495" spans="1:2">
      <c r="A495" s="18">
        <v>89102</v>
      </c>
      <c r="B495" s="17" t="s">
        <v>171</v>
      </c>
    </row>
    <row r="496" spans="1:2">
      <c r="A496" s="18">
        <v>92320</v>
      </c>
      <c r="B496" s="17" t="s">
        <v>171</v>
      </c>
    </row>
    <row r="497" spans="1:2">
      <c r="A497" s="18">
        <v>95240</v>
      </c>
      <c r="B497" s="17" t="s">
        <v>171</v>
      </c>
    </row>
    <row r="498" spans="1:2">
      <c r="A498" s="18">
        <v>91350</v>
      </c>
      <c r="B498" s="17" t="s">
        <v>171</v>
      </c>
    </row>
    <row r="499" spans="1:2">
      <c r="A499" s="18">
        <v>85018</v>
      </c>
      <c r="B499" s="17" t="s">
        <v>171</v>
      </c>
    </row>
    <row r="500" spans="1:2">
      <c r="A500" s="18">
        <v>92126</v>
      </c>
      <c r="B500" s="17" t="s">
        <v>171</v>
      </c>
    </row>
    <row r="501" spans="1:2">
      <c r="A501" s="18">
        <v>90058</v>
      </c>
      <c r="B501" s="17" t="s">
        <v>184</v>
      </c>
    </row>
    <row r="502" spans="1:2">
      <c r="A502" s="18">
        <v>85253</v>
      </c>
      <c r="B502" s="17" t="s">
        <v>184</v>
      </c>
    </row>
    <row r="503" spans="1:2">
      <c r="A503" s="18">
        <v>85260</v>
      </c>
      <c r="B503" s="17" t="s">
        <v>184</v>
      </c>
    </row>
    <row r="504" spans="1:2">
      <c r="A504" s="18">
        <v>92399</v>
      </c>
      <c r="B504" s="17" t="s">
        <v>171</v>
      </c>
    </row>
    <row r="505" spans="1:2">
      <c r="A505" s="18">
        <v>85258</v>
      </c>
      <c r="B505" s="17" t="s">
        <v>184</v>
      </c>
    </row>
    <row r="506" spans="1:2">
      <c r="A506" s="18">
        <v>95660</v>
      </c>
      <c r="B506" s="17" t="s">
        <v>171</v>
      </c>
    </row>
    <row r="507" spans="1:2">
      <c r="A507" s="18">
        <v>90002</v>
      </c>
      <c r="B507" s="17" t="s">
        <v>184</v>
      </c>
    </row>
    <row r="508" spans="1:2">
      <c r="A508" s="18">
        <v>91390</v>
      </c>
      <c r="B508" s="17" t="s">
        <v>171</v>
      </c>
    </row>
    <row r="509" spans="1:2">
      <c r="A509" s="18">
        <v>85250</v>
      </c>
      <c r="B509" s="17" t="s">
        <v>184</v>
      </c>
    </row>
    <row r="510" spans="1:2">
      <c r="A510" s="18">
        <v>95655</v>
      </c>
      <c r="B510" s="17" t="s">
        <v>171</v>
      </c>
    </row>
    <row r="511" spans="1:2">
      <c r="A511" s="18">
        <v>89101</v>
      </c>
      <c r="B511" s="17" t="s">
        <v>171</v>
      </c>
    </row>
    <row r="512" spans="1:2">
      <c r="A512" s="18">
        <v>92131</v>
      </c>
      <c r="B512" s="17" t="s">
        <v>171</v>
      </c>
    </row>
    <row r="513" spans="1:2">
      <c r="A513" s="18">
        <v>94545</v>
      </c>
      <c r="B513" s="17" t="s">
        <v>171</v>
      </c>
    </row>
    <row r="514" spans="1:2">
      <c r="A514" s="18">
        <v>95652</v>
      </c>
      <c r="B514" s="17" t="s">
        <v>171</v>
      </c>
    </row>
    <row r="515" spans="1:2">
      <c r="A515" s="18">
        <v>95650</v>
      </c>
      <c r="B515" s="17" t="s">
        <v>171</v>
      </c>
    </row>
    <row r="516" spans="1:2">
      <c r="A516" s="18">
        <v>94542</v>
      </c>
      <c r="B516" s="17" t="s">
        <v>171</v>
      </c>
    </row>
    <row r="517" spans="1:2">
      <c r="A517" s="18">
        <v>95391</v>
      </c>
      <c r="B517" s="17" t="s">
        <v>171</v>
      </c>
    </row>
    <row r="518" spans="1:2">
      <c r="A518" s="18">
        <v>89142</v>
      </c>
      <c r="B518" s="17" t="s">
        <v>171</v>
      </c>
    </row>
    <row r="519" spans="1:2">
      <c r="A519" s="18">
        <v>85206</v>
      </c>
      <c r="B519" s="17" t="s">
        <v>171</v>
      </c>
    </row>
    <row r="520" spans="1:2">
      <c r="A520" s="18">
        <v>94589</v>
      </c>
      <c r="B520" s="17" t="s">
        <v>171</v>
      </c>
    </row>
    <row r="521" spans="1:2">
      <c r="A521" s="18">
        <v>85201</v>
      </c>
      <c r="B521" s="17" t="s">
        <v>171</v>
      </c>
    </row>
    <row r="522" spans="1:2">
      <c r="A522" s="18">
        <v>95358</v>
      </c>
      <c r="B522" s="17" t="s">
        <v>171</v>
      </c>
    </row>
    <row r="523" spans="1:2">
      <c r="A523" s="18">
        <v>95648</v>
      </c>
      <c r="B523" s="17" t="s">
        <v>171</v>
      </c>
    </row>
    <row r="524" spans="1:2">
      <c r="A524" s="18">
        <v>94590</v>
      </c>
      <c r="B524" s="17" t="s">
        <v>171</v>
      </c>
    </row>
    <row r="525" spans="1:2">
      <c r="A525" s="18">
        <v>91601</v>
      </c>
      <c r="B525" s="17" t="s">
        <v>171</v>
      </c>
    </row>
    <row r="526" spans="1:2">
      <c r="A526" s="18">
        <v>91605</v>
      </c>
      <c r="B526" s="17" t="s">
        <v>184</v>
      </c>
    </row>
    <row r="527" spans="1:2">
      <c r="A527" s="18">
        <v>92230</v>
      </c>
      <c r="B527" s="17" t="s">
        <v>171</v>
      </c>
    </row>
    <row r="528" spans="1:2">
      <c r="A528" s="18">
        <v>92220</v>
      </c>
      <c r="B528" s="17" t="s">
        <v>171</v>
      </c>
    </row>
    <row r="529" spans="1:2">
      <c r="A529" s="18">
        <v>89122</v>
      </c>
      <c r="B529" s="17" t="s">
        <v>171</v>
      </c>
    </row>
    <row r="530" spans="1:2">
      <c r="A530" s="18">
        <v>95639</v>
      </c>
      <c r="B530" s="17" t="s">
        <v>171</v>
      </c>
    </row>
    <row r="531" spans="1:2">
      <c r="A531" s="18">
        <v>95366</v>
      </c>
      <c r="B531" s="17" t="s">
        <v>171</v>
      </c>
    </row>
    <row r="532" spans="1:2">
      <c r="A532" s="18">
        <v>89110</v>
      </c>
      <c r="B532" s="17" t="s">
        <v>171</v>
      </c>
    </row>
    <row r="533" spans="1:2">
      <c r="A533" s="18">
        <v>95206</v>
      </c>
      <c r="B533" s="17" t="s">
        <v>171</v>
      </c>
    </row>
    <row r="534" spans="1:2">
      <c r="A534" s="18">
        <v>89104</v>
      </c>
      <c r="B534" s="17" t="s">
        <v>171</v>
      </c>
    </row>
    <row r="535" spans="1:2">
      <c r="A535" s="18">
        <v>95377</v>
      </c>
      <c r="B535" s="17" t="s">
        <v>171</v>
      </c>
    </row>
    <row r="536" spans="1:2">
      <c r="A536" s="18">
        <v>89002</v>
      </c>
      <c r="B536" s="17" t="s">
        <v>171</v>
      </c>
    </row>
    <row r="537" spans="1:2">
      <c r="A537" s="18">
        <v>95630</v>
      </c>
      <c r="B537" s="23" t="s">
        <v>184</v>
      </c>
    </row>
    <row r="538" spans="1:2">
      <c r="A538" s="18">
        <v>85204</v>
      </c>
      <c r="B538" s="17" t="s">
        <v>171</v>
      </c>
    </row>
    <row r="539" spans="1:2">
      <c r="A539" s="18">
        <v>94510</v>
      </c>
      <c r="B539" s="17" t="s">
        <v>171</v>
      </c>
    </row>
    <row r="540" spans="1:2">
      <c r="A540" s="18">
        <v>94503</v>
      </c>
      <c r="B540" s="17" t="s">
        <v>171</v>
      </c>
    </row>
    <row r="541" spans="1:2">
      <c r="A541" s="18">
        <v>95219</v>
      </c>
      <c r="B541" s="17" t="s">
        <v>171</v>
      </c>
    </row>
    <row r="542" spans="1:2">
      <c r="A542" s="18">
        <v>90210</v>
      </c>
      <c r="B542" s="17" t="s">
        <v>171</v>
      </c>
    </row>
    <row r="543" spans="1:2">
      <c r="A543" s="18">
        <v>90262</v>
      </c>
      <c r="B543" s="17" t="s">
        <v>184</v>
      </c>
    </row>
    <row r="544" spans="1:2">
      <c r="A544" s="18">
        <v>91746</v>
      </c>
      <c r="B544" s="17" t="s">
        <v>184</v>
      </c>
    </row>
    <row r="545" spans="1:2">
      <c r="A545" s="18">
        <v>91744</v>
      </c>
      <c r="B545" s="17" t="s">
        <v>184</v>
      </c>
    </row>
    <row r="546" spans="1:2">
      <c r="A546" s="18">
        <v>91706</v>
      </c>
      <c r="B546" s="17" t="s">
        <v>184</v>
      </c>
    </row>
    <row r="547" spans="1:2">
      <c r="A547" s="18">
        <v>91745</v>
      </c>
      <c r="B547" s="17" t="s">
        <v>184</v>
      </c>
    </row>
    <row r="548" spans="1:2">
      <c r="A548" s="18">
        <v>90602</v>
      </c>
      <c r="B548" s="17" t="s">
        <v>184</v>
      </c>
    </row>
    <row r="549" spans="1:2">
      <c r="A549" s="18">
        <v>90601</v>
      </c>
      <c r="B549" s="17" t="s">
        <v>184</v>
      </c>
    </row>
    <row r="550" spans="1:2">
      <c r="A550" s="18">
        <v>90606</v>
      </c>
      <c r="B550" s="17" t="s">
        <v>184</v>
      </c>
    </row>
    <row r="551" spans="1:2">
      <c r="A551" s="18">
        <v>90660</v>
      </c>
      <c r="B551" s="17" t="s">
        <v>184</v>
      </c>
    </row>
    <row r="552" spans="1:2">
      <c r="A552" s="18">
        <v>90670</v>
      </c>
      <c r="B552" s="17" t="s">
        <v>184</v>
      </c>
    </row>
    <row r="553" spans="1:2">
      <c r="A553" s="18">
        <v>90605</v>
      </c>
      <c r="B553" s="17" t="s">
        <v>171</v>
      </c>
    </row>
    <row r="554" spans="1:2">
      <c r="A554" s="18">
        <v>90604</v>
      </c>
      <c r="B554" s="17" t="s">
        <v>184</v>
      </c>
    </row>
    <row r="555" spans="1:2">
      <c r="A555" s="18">
        <v>90603</v>
      </c>
      <c r="B555" s="17" t="s">
        <v>184</v>
      </c>
    </row>
    <row r="556" spans="1:2">
      <c r="A556" s="18">
        <v>90023</v>
      </c>
      <c r="B556" s="17" t="s">
        <v>184</v>
      </c>
    </row>
    <row r="557" spans="1:2">
      <c r="A557" s="18">
        <v>90063</v>
      </c>
      <c r="B557" s="17" t="s">
        <v>184</v>
      </c>
    </row>
    <row r="558" spans="1:2">
      <c r="A558" s="18">
        <v>90022</v>
      </c>
      <c r="B558" s="17" t="s">
        <v>184</v>
      </c>
    </row>
    <row r="559" spans="1:2">
      <c r="A559" s="18">
        <v>90032</v>
      </c>
      <c r="B559" s="17" t="s">
        <v>184</v>
      </c>
    </row>
    <row r="560" spans="1:2">
      <c r="A560" s="18">
        <v>91702</v>
      </c>
      <c r="B560" s="17" t="s">
        <v>171</v>
      </c>
    </row>
    <row r="561" spans="1:2">
      <c r="A561" s="18">
        <v>95316</v>
      </c>
      <c r="B561" s="17" t="s">
        <v>171</v>
      </c>
    </row>
    <row r="562" spans="1:2">
      <c r="A562" s="18">
        <v>95386</v>
      </c>
      <c r="B562" s="17" t="s">
        <v>171</v>
      </c>
    </row>
    <row r="563" spans="1:2">
      <c r="A563" s="18">
        <v>92626</v>
      </c>
      <c r="B563" s="17" t="s">
        <v>184</v>
      </c>
    </row>
    <row r="564" spans="1:2">
      <c r="A564" s="18">
        <v>95242</v>
      </c>
      <c r="B564" s="17" t="s">
        <v>171</v>
      </c>
    </row>
    <row r="565" spans="1:2">
      <c r="A565" s="18">
        <v>95215</v>
      </c>
      <c r="B565" s="17" t="s">
        <v>171</v>
      </c>
    </row>
    <row r="566" spans="1:2">
      <c r="A566" s="18">
        <v>95220</v>
      </c>
      <c r="B566" s="17" t="s">
        <v>171</v>
      </c>
    </row>
    <row r="567" spans="1:2">
      <c r="A567" s="18">
        <v>95632</v>
      </c>
      <c r="B567" s="17" t="s">
        <v>171</v>
      </c>
    </row>
    <row r="568" spans="1:2">
      <c r="A568" s="18">
        <v>90293</v>
      </c>
      <c r="B568" s="17" t="s">
        <v>184</v>
      </c>
    </row>
    <row r="569" spans="1:2">
      <c r="A569" s="18">
        <v>90016</v>
      </c>
      <c r="B569" s="17" t="s">
        <v>184</v>
      </c>
    </row>
    <row r="570" spans="1:2">
      <c r="A570" s="18">
        <v>90044</v>
      </c>
      <c r="B570" s="17" t="s">
        <v>184</v>
      </c>
    </row>
    <row r="571" spans="1:2">
      <c r="A571" s="18">
        <v>90061</v>
      </c>
      <c r="B571" s="17" t="s">
        <v>184</v>
      </c>
    </row>
    <row r="572" spans="1:2">
      <c r="A572" s="18">
        <v>90047</v>
      </c>
      <c r="B572" s="17" t="s">
        <v>184</v>
      </c>
    </row>
    <row r="573" spans="1:2">
      <c r="A573" s="18">
        <v>90045</v>
      </c>
      <c r="B573" s="17" t="s">
        <v>184</v>
      </c>
    </row>
    <row r="574" spans="1:2">
      <c r="A574" s="18">
        <v>89074</v>
      </c>
      <c r="B574" s="17" t="s">
        <v>171</v>
      </c>
    </row>
    <row r="575" spans="1:2">
      <c r="A575" s="18">
        <v>95628</v>
      </c>
      <c r="B575" s="17" t="s">
        <v>171</v>
      </c>
    </row>
    <row r="576" spans="1:2">
      <c r="A576" s="18">
        <v>89011</v>
      </c>
      <c r="B576" s="17" t="s">
        <v>171</v>
      </c>
    </row>
    <row r="577" spans="1:2">
      <c r="A577" s="18">
        <v>89014</v>
      </c>
      <c r="B577" s="17" t="s">
        <v>171</v>
      </c>
    </row>
    <row r="578" spans="1:2">
      <c r="A578" s="18">
        <v>92057</v>
      </c>
      <c r="B578" s="17" t="s">
        <v>184</v>
      </c>
    </row>
    <row r="579" spans="1:2">
      <c r="A579" s="18">
        <v>92054</v>
      </c>
      <c r="B579" s="17" t="s">
        <v>184</v>
      </c>
    </row>
    <row r="580" spans="1:2">
      <c r="A580" s="18">
        <v>92081</v>
      </c>
      <c r="B580" s="17" t="s">
        <v>184</v>
      </c>
    </row>
    <row r="581" spans="1:2">
      <c r="A581" s="18">
        <v>89052</v>
      </c>
      <c r="B581" s="17" t="s">
        <v>171</v>
      </c>
    </row>
    <row r="582" spans="1:2">
      <c r="A582" s="18">
        <v>95626</v>
      </c>
      <c r="B582" s="17" t="s">
        <v>171</v>
      </c>
    </row>
    <row r="583" spans="1:2">
      <c r="A583" s="18">
        <v>89015</v>
      </c>
      <c r="B583" s="17" t="s">
        <v>171</v>
      </c>
    </row>
    <row r="584" spans="1:2">
      <c r="A584" s="18">
        <v>89012</v>
      </c>
      <c r="B584" s="17" t="s">
        <v>171</v>
      </c>
    </row>
    <row r="585" spans="1:2">
      <c r="A585" s="18">
        <v>95624</v>
      </c>
      <c r="B585" s="17" t="s">
        <v>171</v>
      </c>
    </row>
    <row r="586" spans="1:2">
      <c r="A586" s="18">
        <v>95621</v>
      </c>
      <c r="B586" s="17" t="s">
        <v>171</v>
      </c>
    </row>
    <row r="587" spans="1:2">
      <c r="A587" s="18">
        <v>94547</v>
      </c>
      <c r="B587" s="17" t="s">
        <v>171</v>
      </c>
    </row>
    <row r="588" spans="1:2">
      <c r="A588" s="18">
        <v>94803</v>
      </c>
      <c r="B588" s="17" t="s">
        <v>171</v>
      </c>
    </row>
    <row r="589" spans="1:2">
      <c r="A589" s="18">
        <v>93652</v>
      </c>
      <c r="B589" s="17" t="s">
        <v>171</v>
      </c>
    </row>
    <row r="590" spans="1:2">
      <c r="A590" s="18">
        <v>92083</v>
      </c>
      <c r="B590" s="17" t="s">
        <v>184</v>
      </c>
    </row>
    <row r="591" spans="1:2">
      <c r="A591" s="18">
        <v>94603</v>
      </c>
      <c r="B591" s="17" t="s">
        <v>171</v>
      </c>
    </row>
    <row r="592" spans="1:2">
      <c r="A592" s="18">
        <v>92084</v>
      </c>
      <c r="B592" s="17" t="s">
        <v>184</v>
      </c>
    </row>
    <row r="593" spans="1:2">
      <c r="A593" s="18">
        <v>92020</v>
      </c>
      <c r="B593" s="17" t="s">
        <v>184</v>
      </c>
    </row>
    <row r="594" spans="1:2">
      <c r="A594" s="18">
        <v>95076</v>
      </c>
      <c r="B594" s="17" t="s">
        <v>171</v>
      </c>
    </row>
    <row r="595" spans="1:2">
      <c r="A595" s="18">
        <v>94591</v>
      </c>
      <c r="B595" s="17" t="s">
        <v>171</v>
      </c>
    </row>
    <row r="596" spans="1:2">
      <c r="A596" s="18">
        <v>92120</v>
      </c>
      <c r="B596" s="17" t="s">
        <v>171</v>
      </c>
    </row>
    <row r="597" spans="1:2">
      <c r="A597" s="18">
        <v>95320</v>
      </c>
      <c r="B597" s="17" t="s">
        <v>171</v>
      </c>
    </row>
    <row r="598" spans="1:2">
      <c r="A598" s="18">
        <v>95297</v>
      </c>
      <c r="B598" s="17" t="s">
        <v>171</v>
      </c>
    </row>
    <row r="599" spans="1:2">
      <c r="A599" s="18">
        <v>95253</v>
      </c>
      <c r="B599" s="17" t="s">
        <v>171</v>
      </c>
    </row>
    <row r="600" spans="1:2">
      <c r="A600" s="18">
        <v>95237</v>
      </c>
      <c r="B600" s="17" t="s">
        <v>171</v>
      </c>
    </row>
    <row r="601" spans="1:2">
      <c r="A601" s="18">
        <v>95236</v>
      </c>
      <c r="B601" s="17" t="s">
        <v>171</v>
      </c>
    </row>
    <row r="602" spans="1:2">
      <c r="A602" s="18">
        <v>93543</v>
      </c>
      <c r="B602" s="17" t="s">
        <v>171</v>
      </c>
    </row>
    <row r="603" spans="1:2">
      <c r="A603" s="18">
        <v>95230</v>
      </c>
      <c r="B603" s="17" t="s">
        <v>171</v>
      </c>
    </row>
    <row r="604" spans="1:2">
      <c r="A604" s="18">
        <v>95192</v>
      </c>
      <c r="B604" s="17" t="s">
        <v>171</v>
      </c>
    </row>
    <row r="605" spans="1:2">
      <c r="A605" s="18">
        <v>95140</v>
      </c>
      <c r="B605" s="17" t="s">
        <v>171</v>
      </c>
    </row>
    <row r="606" spans="1:2">
      <c r="A606" s="18">
        <v>95053</v>
      </c>
      <c r="B606" s="17" t="s">
        <v>182</v>
      </c>
    </row>
    <row r="607" spans="1:2">
      <c r="A607" s="18">
        <v>93510</v>
      </c>
      <c r="B607" s="17" t="s">
        <v>171</v>
      </c>
    </row>
    <row r="608" spans="1:2">
      <c r="A608" s="18">
        <v>95039</v>
      </c>
      <c r="B608" s="17" t="s">
        <v>171</v>
      </c>
    </row>
    <row r="609" spans="1:2">
      <c r="A609" s="18">
        <v>95018</v>
      </c>
      <c r="B609" s="17" t="s">
        <v>171</v>
      </c>
    </row>
    <row r="610" spans="1:2">
      <c r="A610" s="18">
        <v>95005</v>
      </c>
      <c r="B610" s="17" t="s">
        <v>171</v>
      </c>
    </row>
    <row r="611" spans="1:2">
      <c r="A611" s="18">
        <v>95002</v>
      </c>
      <c r="B611" s="17" t="s">
        <v>184</v>
      </c>
    </row>
    <row r="612" spans="1:2">
      <c r="A612" s="18">
        <v>94720</v>
      </c>
      <c r="B612" s="17" t="s">
        <v>184</v>
      </c>
    </row>
    <row r="613" spans="1:2">
      <c r="A613" s="18">
        <v>94710</v>
      </c>
      <c r="B613" s="17" t="s">
        <v>184</v>
      </c>
    </row>
    <row r="614" spans="1:2">
      <c r="A614" s="18">
        <v>94709</v>
      </c>
      <c r="B614" s="17" t="s">
        <v>184</v>
      </c>
    </row>
    <row r="615" spans="1:2">
      <c r="A615" s="18">
        <v>94708</v>
      </c>
      <c r="B615" s="17" t="s">
        <v>184</v>
      </c>
    </row>
    <row r="616" spans="1:2">
      <c r="A616" s="18">
        <v>94707</v>
      </c>
      <c r="B616" s="17" t="s">
        <v>184</v>
      </c>
    </row>
    <row r="617" spans="1:2">
      <c r="A617" s="18">
        <v>94706</v>
      </c>
      <c r="B617" s="17" t="s">
        <v>184</v>
      </c>
    </row>
    <row r="618" spans="1:2">
      <c r="A618" s="18">
        <v>94705</v>
      </c>
      <c r="B618" s="17" t="s">
        <v>184</v>
      </c>
    </row>
    <row r="619" spans="1:2">
      <c r="A619" s="18">
        <v>94704</v>
      </c>
      <c r="B619" s="17" t="s">
        <v>184</v>
      </c>
    </row>
    <row r="620" spans="1:2">
      <c r="A620" s="18">
        <v>94703</v>
      </c>
      <c r="B620" s="17" t="s">
        <v>184</v>
      </c>
    </row>
    <row r="621" spans="1:2">
      <c r="A621" s="18">
        <v>94702</v>
      </c>
      <c r="B621" s="17" t="s">
        <v>184</v>
      </c>
    </row>
    <row r="622" spans="1:2">
      <c r="A622" s="18">
        <v>94613</v>
      </c>
      <c r="B622" s="17" t="s">
        <v>184</v>
      </c>
    </row>
    <row r="623" spans="1:2">
      <c r="A623" s="18">
        <v>94598</v>
      </c>
      <c r="B623" s="23" t="s">
        <v>184</v>
      </c>
    </row>
    <row r="624" spans="1:2">
      <c r="A624" s="18">
        <v>94575</v>
      </c>
      <c r="B624" s="17" t="s">
        <v>184</v>
      </c>
    </row>
    <row r="625" spans="1:2">
      <c r="A625" s="18">
        <v>94563</v>
      </c>
      <c r="B625" s="17" t="s">
        <v>184</v>
      </c>
    </row>
    <row r="626" spans="1:2">
      <c r="A626" s="18">
        <v>94530</v>
      </c>
      <c r="B626" s="17" t="s">
        <v>184</v>
      </c>
    </row>
    <row r="627" spans="1:2">
      <c r="A627" s="18">
        <v>94592</v>
      </c>
      <c r="B627" s="17" t="s">
        <v>171</v>
      </c>
    </row>
    <row r="628" spans="1:2">
      <c r="A628" s="18">
        <v>94506</v>
      </c>
      <c r="B628" s="23" t="s">
        <v>184</v>
      </c>
    </row>
    <row r="629" spans="1:2">
      <c r="A629" s="18">
        <v>94572</v>
      </c>
      <c r="B629" s="17" t="s">
        <v>171</v>
      </c>
    </row>
    <row r="630" spans="1:2">
      <c r="A630" s="18">
        <v>94569</v>
      </c>
      <c r="B630" s="17" t="s">
        <v>184</v>
      </c>
    </row>
    <row r="631" spans="1:2">
      <c r="A631" s="18">
        <v>94597</v>
      </c>
      <c r="B631" s="37" t="s">
        <v>182</v>
      </c>
    </row>
    <row r="632" spans="1:2">
      <c r="A632" s="18">
        <v>94596</v>
      </c>
      <c r="B632" s="37" t="s">
        <v>182</v>
      </c>
    </row>
    <row r="633" spans="1:2">
      <c r="A633" s="18">
        <v>94595</v>
      </c>
      <c r="B633" s="17" t="s">
        <v>171</v>
      </c>
    </row>
    <row r="634" spans="1:2">
      <c r="A634" s="18">
        <v>94548</v>
      </c>
      <c r="B634" s="17" t="s">
        <v>184</v>
      </c>
    </row>
    <row r="635" spans="1:2">
      <c r="A635" s="18">
        <v>94556</v>
      </c>
      <c r="B635" s="17" t="s">
        <v>171</v>
      </c>
    </row>
    <row r="636" spans="1:2">
      <c r="A636" s="18">
        <v>94549</v>
      </c>
      <c r="B636" s="17" t="s">
        <v>171</v>
      </c>
    </row>
    <row r="637" spans="1:2">
      <c r="A637" s="18">
        <v>94528</v>
      </c>
      <c r="B637" s="17" t="s">
        <v>171</v>
      </c>
    </row>
    <row r="638" spans="1:2">
      <c r="A638" s="18">
        <v>94525</v>
      </c>
      <c r="B638" s="17" t="s">
        <v>184</v>
      </c>
    </row>
    <row r="639" spans="1:2">
      <c r="A639" s="18">
        <v>94517</v>
      </c>
      <c r="B639" s="17" t="s">
        <v>184</v>
      </c>
    </row>
    <row r="640" spans="1:2">
      <c r="A640" s="18">
        <v>94526</v>
      </c>
      <c r="B640" s="17" t="s">
        <v>171</v>
      </c>
    </row>
    <row r="641" spans="1:2">
      <c r="A641" s="18">
        <v>94514</v>
      </c>
      <c r="B641" s="17" t="s">
        <v>184</v>
      </c>
    </row>
    <row r="642" spans="1:2">
      <c r="A642" s="18">
        <v>94516</v>
      </c>
      <c r="B642" s="17" t="s">
        <v>171</v>
      </c>
    </row>
    <row r="643" spans="1:2">
      <c r="A643" s="18">
        <v>94507</v>
      </c>
      <c r="B643" s="37" t="s">
        <v>182</v>
      </c>
    </row>
    <row r="644" spans="1:2">
      <c r="A644" s="18">
        <v>94505</v>
      </c>
      <c r="B644" s="17" t="s">
        <v>184</v>
      </c>
    </row>
    <row r="645" spans="1:2">
      <c r="A645" s="18">
        <v>94305</v>
      </c>
      <c r="B645" s="23" t="s">
        <v>184</v>
      </c>
    </row>
    <row r="646" spans="1:2">
      <c r="A646" s="18">
        <v>94304</v>
      </c>
      <c r="B646" s="23" t="s">
        <v>184</v>
      </c>
    </row>
    <row r="647" spans="1:2">
      <c r="A647" s="18">
        <v>94130</v>
      </c>
      <c r="B647" s="17" t="s">
        <v>171</v>
      </c>
    </row>
    <row r="648" spans="1:2">
      <c r="A648" s="18">
        <v>94128</v>
      </c>
      <c r="B648" s="17" t="s">
        <v>171</v>
      </c>
    </row>
    <row r="649" spans="1:2">
      <c r="A649" s="18">
        <v>94028</v>
      </c>
      <c r="B649" s="17" t="s">
        <v>171</v>
      </c>
    </row>
    <row r="650" spans="1:2">
      <c r="A650" s="18">
        <v>94027</v>
      </c>
      <c r="B650" s="23" t="s">
        <v>184</v>
      </c>
    </row>
    <row r="651" spans="1:2">
      <c r="A651" s="18">
        <v>94022</v>
      </c>
      <c r="B651" s="17" t="s">
        <v>184</v>
      </c>
    </row>
    <row r="652" spans="1:2">
      <c r="A652" s="18">
        <v>93943</v>
      </c>
      <c r="B652" s="17" t="s">
        <v>171</v>
      </c>
    </row>
    <row r="653" spans="1:2">
      <c r="A653" s="18">
        <v>93065</v>
      </c>
      <c r="B653" s="17" t="s">
        <v>184</v>
      </c>
    </row>
    <row r="654" spans="1:2">
      <c r="A654" s="18">
        <v>93064</v>
      </c>
      <c r="B654" s="17" t="s">
        <v>171</v>
      </c>
    </row>
    <row r="655" spans="1:2">
      <c r="A655" s="18">
        <v>93063</v>
      </c>
      <c r="B655" s="17" t="s">
        <v>184</v>
      </c>
    </row>
    <row r="656" spans="1:2">
      <c r="A656" s="18">
        <v>93021</v>
      </c>
      <c r="B656" s="17" t="s">
        <v>184</v>
      </c>
    </row>
    <row r="657" spans="1:2">
      <c r="A657" s="18">
        <v>92887</v>
      </c>
      <c r="B657" s="17" t="s">
        <v>184</v>
      </c>
    </row>
    <row r="658" spans="1:2">
      <c r="A658" s="18">
        <v>92867</v>
      </c>
      <c r="B658" s="17" t="s">
        <v>184</v>
      </c>
    </row>
    <row r="659" spans="1:2">
      <c r="A659" s="18">
        <v>92861</v>
      </c>
      <c r="B659" s="17" t="s">
        <v>184</v>
      </c>
    </row>
    <row r="660" spans="1:2">
      <c r="A660" s="18">
        <v>92845</v>
      </c>
      <c r="B660" s="17" t="s">
        <v>184</v>
      </c>
    </row>
    <row r="661" spans="1:2">
      <c r="A661" s="18">
        <v>92835</v>
      </c>
      <c r="B661" s="17" t="s">
        <v>184</v>
      </c>
    </row>
    <row r="662" spans="1:2">
      <c r="A662" s="18">
        <v>92823</v>
      </c>
      <c r="B662" s="17" t="s">
        <v>184</v>
      </c>
    </row>
    <row r="663" spans="1:2">
      <c r="A663" s="18">
        <v>92821</v>
      </c>
      <c r="B663" s="17" t="s">
        <v>184</v>
      </c>
    </row>
    <row r="664" spans="1:2">
      <c r="A664" s="18">
        <v>92808</v>
      </c>
      <c r="B664" s="17" t="s">
        <v>184</v>
      </c>
    </row>
    <row r="665" spans="1:2">
      <c r="A665" s="18">
        <v>92807</v>
      </c>
      <c r="B665" s="17" t="s">
        <v>184</v>
      </c>
    </row>
    <row r="666" spans="1:2">
      <c r="A666" s="18">
        <v>92804</v>
      </c>
      <c r="B666" s="17" t="s">
        <v>184</v>
      </c>
    </row>
    <row r="667" spans="1:2">
      <c r="A667" s="18">
        <v>92801</v>
      </c>
      <c r="B667" s="17" t="s">
        <v>184</v>
      </c>
    </row>
    <row r="668" spans="1:2">
      <c r="A668" s="18">
        <v>92782</v>
      </c>
      <c r="B668" s="17" t="s">
        <v>184</v>
      </c>
    </row>
    <row r="669" spans="1:2">
      <c r="A669" s="18">
        <v>92708</v>
      </c>
      <c r="B669" s="17" t="s">
        <v>184</v>
      </c>
    </row>
    <row r="670" spans="1:2">
      <c r="A670" s="18">
        <v>92707</v>
      </c>
      <c r="B670" s="17" t="s">
        <v>184</v>
      </c>
    </row>
    <row r="671" spans="1:2">
      <c r="A671" s="18">
        <v>92706</v>
      </c>
      <c r="B671" s="17" t="s">
        <v>184</v>
      </c>
    </row>
    <row r="672" spans="1:2">
      <c r="A672" s="18">
        <v>92705</v>
      </c>
      <c r="B672" s="17" t="s">
        <v>184</v>
      </c>
    </row>
    <row r="673" spans="1:2">
      <c r="A673" s="18">
        <v>92704</v>
      </c>
      <c r="B673" s="17" t="s">
        <v>184</v>
      </c>
    </row>
    <row r="674" spans="1:2">
      <c r="A674" s="18">
        <v>92703</v>
      </c>
      <c r="B674" s="17" t="s">
        <v>184</v>
      </c>
    </row>
    <row r="675" spans="1:2">
      <c r="A675" s="18">
        <v>92701</v>
      </c>
      <c r="B675" s="17" t="s">
        <v>184</v>
      </c>
    </row>
    <row r="676" spans="1:2">
      <c r="A676" s="18">
        <v>92694</v>
      </c>
      <c r="B676" s="17" t="s">
        <v>184</v>
      </c>
    </row>
    <row r="677" spans="1:2">
      <c r="A677" s="18">
        <v>92679</v>
      </c>
      <c r="B677" s="17" t="s">
        <v>171</v>
      </c>
    </row>
    <row r="678" spans="1:2">
      <c r="A678" s="18">
        <v>92678</v>
      </c>
      <c r="B678" s="17" t="s">
        <v>171</v>
      </c>
    </row>
    <row r="679" spans="1:2">
      <c r="A679" s="18">
        <v>92677</v>
      </c>
      <c r="B679" s="17" t="s">
        <v>184</v>
      </c>
    </row>
    <row r="680" spans="1:2">
      <c r="A680" s="18">
        <v>92676</v>
      </c>
      <c r="B680" s="17" t="s">
        <v>171</v>
      </c>
    </row>
    <row r="681" spans="1:2">
      <c r="A681" s="18">
        <v>92675</v>
      </c>
      <c r="B681" s="17" t="s">
        <v>171</v>
      </c>
    </row>
    <row r="682" spans="1:2">
      <c r="A682" s="18">
        <v>92673</v>
      </c>
      <c r="B682" s="17" t="s">
        <v>171</v>
      </c>
    </row>
    <row r="683" spans="1:2">
      <c r="A683" s="18">
        <v>92672</v>
      </c>
      <c r="B683" s="17" t="s">
        <v>171</v>
      </c>
    </row>
    <row r="684" spans="1:2">
      <c r="A684" s="18">
        <v>92663</v>
      </c>
      <c r="B684" s="17" t="s">
        <v>184</v>
      </c>
    </row>
    <row r="685" spans="1:2">
      <c r="A685" s="18">
        <v>92656</v>
      </c>
      <c r="B685" s="17" t="s">
        <v>184</v>
      </c>
    </row>
    <row r="686" spans="1:2">
      <c r="A686" s="18">
        <v>92653</v>
      </c>
      <c r="B686" s="17" t="s">
        <v>184</v>
      </c>
    </row>
    <row r="687" spans="1:2">
      <c r="A687" s="18">
        <v>92651</v>
      </c>
      <c r="B687" s="17" t="s">
        <v>171</v>
      </c>
    </row>
    <row r="688" spans="1:2">
      <c r="A688" s="18">
        <v>92648</v>
      </c>
      <c r="B688" s="17" t="s">
        <v>184</v>
      </c>
    </row>
    <row r="689" spans="1:2">
      <c r="A689" s="18">
        <v>92646</v>
      </c>
      <c r="B689" s="17" t="s">
        <v>184</v>
      </c>
    </row>
    <row r="690" spans="1:2">
      <c r="A690" s="18">
        <v>92637</v>
      </c>
      <c r="B690" s="17" t="s">
        <v>184</v>
      </c>
    </row>
    <row r="691" spans="1:2">
      <c r="A691" s="18">
        <v>92627</v>
      </c>
      <c r="B691" s="17" t="s">
        <v>184</v>
      </c>
    </row>
    <row r="692" spans="1:2">
      <c r="A692" s="18">
        <v>92624</v>
      </c>
      <c r="B692" s="17" t="s">
        <v>171</v>
      </c>
    </row>
    <row r="693" spans="1:2">
      <c r="A693" s="18">
        <v>92610</v>
      </c>
      <c r="B693" s="17" t="s">
        <v>184</v>
      </c>
    </row>
    <row r="694" spans="1:2">
      <c r="A694" s="18">
        <v>92599</v>
      </c>
      <c r="B694" s="17" t="s">
        <v>171</v>
      </c>
    </row>
    <row r="695" spans="1:2">
      <c r="A695" s="18">
        <v>92562</v>
      </c>
      <c r="B695" s="17" t="s">
        <v>184</v>
      </c>
    </row>
    <row r="696" spans="1:2">
      <c r="A696" s="18">
        <v>92522</v>
      </c>
      <c r="B696" s="17" t="s">
        <v>171</v>
      </c>
    </row>
    <row r="697" spans="1:2">
      <c r="A697" s="18">
        <v>92518</v>
      </c>
      <c r="B697" s="17" t="s">
        <v>184</v>
      </c>
    </row>
    <row r="698" spans="1:2">
      <c r="A698" s="18">
        <v>92418</v>
      </c>
      <c r="B698" s="17" t="s">
        <v>171</v>
      </c>
    </row>
    <row r="699" spans="1:2">
      <c r="A699" s="18">
        <v>92415</v>
      </c>
      <c r="B699" s="37" t="s">
        <v>171</v>
      </c>
    </row>
    <row r="700" spans="1:2">
      <c r="A700" s="18">
        <v>92411</v>
      </c>
      <c r="B700" s="17" t="s">
        <v>184</v>
      </c>
    </row>
    <row r="701" spans="1:2">
      <c r="A701" s="18">
        <v>92410</v>
      </c>
      <c r="B701" s="17" t="s">
        <v>184</v>
      </c>
    </row>
    <row r="702" spans="1:2">
      <c r="A702" s="18">
        <v>92408</v>
      </c>
      <c r="B702" s="17" t="s">
        <v>184</v>
      </c>
    </row>
    <row r="703" spans="1:2">
      <c r="A703" s="18">
        <v>92405</v>
      </c>
      <c r="B703" s="17" t="s">
        <v>184</v>
      </c>
    </row>
    <row r="704" spans="1:2">
      <c r="A704" s="18">
        <v>92404</v>
      </c>
      <c r="B704" s="17" t="s">
        <v>184</v>
      </c>
    </row>
    <row r="705" spans="1:2">
      <c r="A705" s="18">
        <v>92403</v>
      </c>
      <c r="B705" s="17" t="s">
        <v>171</v>
      </c>
    </row>
    <row r="706" spans="1:2">
      <c r="A706" s="18">
        <v>92401</v>
      </c>
      <c r="B706" s="17" t="s">
        <v>171</v>
      </c>
    </row>
    <row r="707" spans="1:2">
      <c r="A707" s="18">
        <v>92395</v>
      </c>
      <c r="B707" s="17" t="s">
        <v>171</v>
      </c>
    </row>
    <row r="708" spans="1:2">
      <c r="A708" s="18">
        <v>92394</v>
      </c>
      <c r="B708" s="17" t="s">
        <v>171</v>
      </c>
    </row>
    <row r="709" spans="1:2">
      <c r="A709" s="18">
        <v>92374</v>
      </c>
      <c r="B709" s="17" t="s">
        <v>184</v>
      </c>
    </row>
    <row r="710" spans="1:2">
      <c r="A710" s="18">
        <v>93551</v>
      </c>
      <c r="B710" s="17" t="s">
        <v>171</v>
      </c>
    </row>
    <row r="711" spans="1:2">
      <c r="A711" s="18">
        <v>93550</v>
      </c>
      <c r="B711" s="17" t="s">
        <v>171</v>
      </c>
    </row>
    <row r="712" spans="1:2">
      <c r="A712" s="18">
        <v>91331</v>
      </c>
      <c r="B712" s="17" t="s">
        <v>171</v>
      </c>
    </row>
    <row r="713" spans="1:2">
      <c r="A713" s="18">
        <v>94303</v>
      </c>
      <c r="B713" s="23" t="s">
        <v>184</v>
      </c>
    </row>
    <row r="714" spans="1:2">
      <c r="A714" s="18">
        <v>91711</v>
      </c>
      <c r="B714" s="17" t="s">
        <v>182</v>
      </c>
    </row>
    <row r="715" spans="1:2">
      <c r="A715" s="18">
        <v>91740</v>
      </c>
      <c r="B715" s="17" t="s">
        <v>184</v>
      </c>
    </row>
    <row r="716" spans="1:2">
      <c r="A716" s="18">
        <v>94061</v>
      </c>
      <c r="B716" s="23" t="s">
        <v>184</v>
      </c>
    </row>
    <row r="717" spans="1:2">
      <c r="A717" s="18">
        <v>94063</v>
      </c>
      <c r="B717" s="23" t="s">
        <v>184</v>
      </c>
    </row>
    <row r="718" spans="1:2">
      <c r="A718" s="18">
        <v>94901</v>
      </c>
      <c r="B718" s="17" t="s">
        <v>171</v>
      </c>
    </row>
    <row r="719" spans="1:2">
      <c r="A719" s="18">
        <v>94920</v>
      </c>
      <c r="B719" s="17" t="s">
        <v>171</v>
      </c>
    </row>
    <row r="720" spans="1:2">
      <c r="A720" s="18">
        <v>94960</v>
      </c>
      <c r="B720" s="17" t="s">
        <v>171</v>
      </c>
    </row>
    <row r="721" spans="1:2">
      <c r="A721" s="18">
        <v>94904</v>
      </c>
      <c r="B721" s="17" t="s">
        <v>171</v>
      </c>
    </row>
    <row r="722" spans="1:2">
      <c r="A722" s="18">
        <v>94903</v>
      </c>
      <c r="B722" s="17" t="s">
        <v>171</v>
      </c>
    </row>
    <row r="723" spans="1:2">
      <c r="A723" s="18">
        <v>94949</v>
      </c>
      <c r="B723" s="17" t="s">
        <v>171</v>
      </c>
    </row>
    <row r="724" spans="1:2">
      <c r="A724" s="18">
        <v>94947</v>
      </c>
      <c r="B724" s="17" t="s">
        <v>171</v>
      </c>
    </row>
    <row r="725" spans="1:2">
      <c r="A725" s="18">
        <v>94941</v>
      </c>
      <c r="B725" s="17" t="s">
        <v>171</v>
      </c>
    </row>
    <row r="726" spans="1:2">
      <c r="A726" s="18">
        <v>94945</v>
      </c>
      <c r="B726" s="17" t="s">
        <v>171</v>
      </c>
    </row>
    <row r="727" spans="1:2">
      <c r="A727" s="18">
        <v>94965</v>
      </c>
      <c r="B727" s="17" t="s">
        <v>171</v>
      </c>
    </row>
    <row r="728" spans="1:2">
      <c r="A728" s="18">
        <v>92139</v>
      </c>
      <c r="B728" s="17" t="s">
        <v>184</v>
      </c>
    </row>
    <row r="729" spans="1:2">
      <c r="A729" s="18">
        <v>91950</v>
      </c>
      <c r="B729" s="17" t="s">
        <v>184</v>
      </c>
    </row>
    <row r="730" spans="1:2">
      <c r="A730" s="18">
        <v>94102</v>
      </c>
      <c r="B730" s="17" t="s">
        <v>171</v>
      </c>
    </row>
    <row r="731" spans="1:2">
      <c r="A731" s="18">
        <v>90304</v>
      </c>
      <c r="B731" s="17" t="s">
        <v>171</v>
      </c>
    </row>
    <row r="732" spans="1:2">
      <c r="A732" s="18">
        <v>94105</v>
      </c>
      <c r="B732" s="17" t="s">
        <v>171</v>
      </c>
    </row>
    <row r="733" spans="1:2">
      <c r="A733" s="18">
        <v>90303</v>
      </c>
      <c r="B733" s="17" t="s">
        <v>171</v>
      </c>
    </row>
    <row r="734" spans="1:2">
      <c r="A734" s="18">
        <v>90302</v>
      </c>
      <c r="B734" s="17" t="s">
        <v>171</v>
      </c>
    </row>
    <row r="735" spans="1:2">
      <c r="A735" s="18">
        <v>90037</v>
      </c>
      <c r="B735" s="17" t="s">
        <v>184</v>
      </c>
    </row>
    <row r="736" spans="1:2">
      <c r="A736" s="18">
        <v>94040</v>
      </c>
      <c r="B736" s="17" t="s">
        <v>171</v>
      </c>
    </row>
    <row r="737" spans="1:2">
      <c r="A737" s="18">
        <v>91710</v>
      </c>
      <c r="B737" s="17" t="s">
        <v>184</v>
      </c>
    </row>
    <row r="738" spans="1:2">
      <c r="A738" s="18">
        <v>91764</v>
      </c>
      <c r="B738" s="17" t="s">
        <v>184</v>
      </c>
    </row>
    <row r="739" spans="1:2">
      <c r="A739" s="18">
        <v>94550</v>
      </c>
      <c r="B739" s="17" t="s">
        <v>171</v>
      </c>
    </row>
    <row r="740" spans="1:2">
      <c r="A740" s="18">
        <v>95376</v>
      </c>
      <c r="B740" s="17" t="s">
        <v>171</v>
      </c>
    </row>
    <row r="741" spans="1:2">
      <c r="A741" s="18">
        <v>95618</v>
      </c>
      <c r="B741" s="17" t="s">
        <v>171</v>
      </c>
    </row>
    <row r="742" spans="1:2">
      <c r="A742" s="18">
        <v>92555</v>
      </c>
      <c r="B742" s="17" t="s">
        <v>171</v>
      </c>
    </row>
    <row r="743" spans="1:2">
      <c r="A743" s="18">
        <v>95117</v>
      </c>
      <c r="B743" s="17" t="s">
        <v>171</v>
      </c>
    </row>
    <row r="744" spans="1:2">
      <c r="A744" s="18">
        <v>92071</v>
      </c>
      <c r="B744" s="17" t="s">
        <v>171</v>
      </c>
    </row>
    <row r="745" spans="1:2">
      <c r="A745" s="18">
        <v>92040</v>
      </c>
      <c r="B745" s="17" t="s">
        <v>171</v>
      </c>
    </row>
    <row r="746" spans="1:2">
      <c r="A746" s="18">
        <v>92833</v>
      </c>
      <c r="B746" s="17" t="s">
        <v>184</v>
      </c>
    </row>
    <row r="747" spans="1:2">
      <c r="A747" s="18">
        <v>93657</v>
      </c>
      <c r="B747" s="17" t="s">
        <v>171</v>
      </c>
    </row>
    <row r="748" spans="1:2">
      <c r="A748" s="18">
        <v>92870</v>
      </c>
      <c r="B748" s="17" t="s">
        <v>184</v>
      </c>
    </row>
    <row r="749" spans="1:2">
      <c r="A749" s="18">
        <v>92831</v>
      </c>
      <c r="B749" s="17" t="s">
        <v>184</v>
      </c>
    </row>
    <row r="750" spans="1:2">
      <c r="A750" s="18">
        <v>90019</v>
      </c>
      <c r="B750" s="17" t="s">
        <v>184</v>
      </c>
    </row>
    <row r="751" spans="1:2">
      <c r="A751" s="18">
        <v>92037</v>
      </c>
      <c r="B751" s="17" t="s">
        <v>184</v>
      </c>
    </row>
    <row r="752" spans="1:2">
      <c r="A752" s="18">
        <v>92802</v>
      </c>
      <c r="B752" s="17" t="s">
        <v>184</v>
      </c>
    </row>
    <row r="753" spans="1:2">
      <c r="A753" s="18">
        <v>95337</v>
      </c>
      <c r="B753" s="17" t="s">
        <v>171</v>
      </c>
    </row>
    <row r="754" spans="1:2">
      <c r="A754" s="18">
        <v>91387</v>
      </c>
      <c r="B754" s="17" t="s">
        <v>171</v>
      </c>
    </row>
    <row r="755" spans="1:2">
      <c r="A755" s="18">
        <v>92026</v>
      </c>
      <c r="B755" s="17" t="s">
        <v>171</v>
      </c>
    </row>
    <row r="756" spans="1:2">
      <c r="A756" s="18">
        <v>92346</v>
      </c>
      <c r="B756" s="17" t="s">
        <v>184</v>
      </c>
    </row>
    <row r="757" spans="1:2">
      <c r="A757" s="18">
        <v>92407</v>
      </c>
      <c r="B757" s="23" t="s">
        <v>182</v>
      </c>
    </row>
    <row r="758" spans="1:2">
      <c r="A758" s="18">
        <v>90212</v>
      </c>
      <c r="B758" s="17" t="s">
        <v>171</v>
      </c>
    </row>
    <row r="759" spans="1:2">
      <c r="A759" s="18">
        <v>90272</v>
      </c>
      <c r="B759" s="17" t="s">
        <v>171</v>
      </c>
    </row>
    <row r="760" spans="1:2">
      <c r="A760" s="18">
        <v>90049</v>
      </c>
      <c r="B760" s="17" t="s">
        <v>171</v>
      </c>
    </row>
    <row r="761" spans="1:2">
      <c r="A761" s="18">
        <v>92780</v>
      </c>
      <c r="B761" s="17" t="s">
        <v>184</v>
      </c>
    </row>
    <row r="762" spans="1:2">
      <c r="A762" s="18">
        <v>92602</v>
      </c>
      <c r="B762" s="17" t="s">
        <v>184</v>
      </c>
    </row>
    <row r="763" spans="1:2">
      <c r="A763" s="18">
        <v>92392</v>
      </c>
      <c r="B763" s="17" t="s">
        <v>171</v>
      </c>
    </row>
    <row r="764" spans="1:2">
      <c r="A764" s="18">
        <v>92345</v>
      </c>
      <c r="B764" s="17" t="s">
        <v>171</v>
      </c>
    </row>
    <row r="765" spans="1:2">
      <c r="A765" s="18">
        <v>92021</v>
      </c>
      <c r="B765" s="17" t="s">
        <v>184</v>
      </c>
    </row>
    <row r="766" spans="1:2">
      <c r="A766" s="18">
        <v>92019</v>
      </c>
      <c r="B766" s="17" t="s">
        <v>184</v>
      </c>
    </row>
    <row r="767" spans="1:2">
      <c r="A767" s="18">
        <v>92373</v>
      </c>
      <c r="B767" s="17" t="s">
        <v>171</v>
      </c>
    </row>
    <row r="768" spans="1:2">
      <c r="A768" s="18">
        <v>94016</v>
      </c>
      <c r="B768" s="17" t="s">
        <v>184</v>
      </c>
    </row>
    <row r="769" spans="1:2">
      <c r="A769" s="18">
        <v>94083</v>
      </c>
      <c r="B769" s="17" t="s">
        <v>184</v>
      </c>
    </row>
    <row r="770" spans="1:2">
      <c r="A770" s="18">
        <v>95015</v>
      </c>
      <c r="B770" s="17" t="s">
        <v>184</v>
      </c>
    </row>
    <row r="771" spans="1:2">
      <c r="A771" s="18">
        <v>94017</v>
      </c>
      <c r="B771" s="17" t="s">
        <v>184</v>
      </c>
    </row>
    <row r="772" spans="1:2">
      <c r="A772" s="18">
        <v>92521</v>
      </c>
      <c r="B772" s="17" t="s">
        <v>171</v>
      </c>
    </row>
    <row r="773" spans="1:2">
      <c r="A773" s="18">
        <v>91482</v>
      </c>
      <c r="B773" s="17" t="s">
        <v>171</v>
      </c>
    </row>
    <row r="774" spans="1:2">
      <c r="A774" s="18">
        <v>91496</v>
      </c>
      <c r="B774" s="17" t="s">
        <v>171</v>
      </c>
    </row>
    <row r="775" spans="1:2">
      <c r="A775" s="18">
        <v>92359</v>
      </c>
      <c r="B775" s="17" t="s">
        <v>171</v>
      </c>
    </row>
    <row r="776" spans="1:2">
      <c r="A776" s="18">
        <v>92357</v>
      </c>
      <c r="B776" s="17" t="s">
        <v>171</v>
      </c>
    </row>
    <row r="777" spans="1:2">
      <c r="A777" s="18">
        <v>92354</v>
      </c>
      <c r="B777" s="17" t="s">
        <v>184</v>
      </c>
    </row>
    <row r="778" spans="1:2">
      <c r="A778" s="18">
        <v>92350</v>
      </c>
      <c r="B778" s="17" t="s">
        <v>171</v>
      </c>
    </row>
    <row r="779" spans="1:2">
      <c r="A779" s="18">
        <v>92344</v>
      </c>
      <c r="B779" s="17" t="s">
        <v>171</v>
      </c>
    </row>
    <row r="780" spans="1:2">
      <c r="A780" s="18">
        <v>92324</v>
      </c>
      <c r="B780" s="17" t="s">
        <v>184</v>
      </c>
    </row>
    <row r="781" spans="1:2">
      <c r="A781" s="18">
        <v>92318</v>
      </c>
      <c r="B781" s="17" t="s">
        <v>171</v>
      </c>
    </row>
    <row r="782" spans="1:2">
      <c r="A782" s="18">
        <v>92313</v>
      </c>
      <c r="B782" s="17" t="s">
        <v>184</v>
      </c>
    </row>
    <row r="783" spans="1:2">
      <c r="A783" s="18">
        <v>92308</v>
      </c>
      <c r="B783" s="17" t="s">
        <v>171</v>
      </c>
    </row>
    <row r="784" spans="1:2">
      <c r="A784" s="18">
        <v>92307</v>
      </c>
      <c r="B784" s="17" t="s">
        <v>171</v>
      </c>
    </row>
    <row r="785" spans="1:2">
      <c r="A785" s="18">
        <v>92129</v>
      </c>
      <c r="B785" s="17" t="s">
        <v>171</v>
      </c>
    </row>
    <row r="786" spans="1:2">
      <c r="A786" s="18">
        <v>92128</v>
      </c>
      <c r="B786" s="17" t="s">
        <v>184</v>
      </c>
    </row>
    <row r="787" spans="1:2">
      <c r="A787" s="18">
        <v>92127</v>
      </c>
      <c r="B787" s="17" t="s">
        <v>184</v>
      </c>
    </row>
    <row r="788" spans="1:2">
      <c r="A788" s="18">
        <v>92122</v>
      </c>
      <c r="B788" s="17" t="s">
        <v>184</v>
      </c>
    </row>
    <row r="789" spans="1:2">
      <c r="A789" s="18">
        <v>92121</v>
      </c>
      <c r="B789" s="17" t="s">
        <v>184</v>
      </c>
    </row>
    <row r="790" spans="1:2">
      <c r="A790" s="18">
        <v>92114</v>
      </c>
      <c r="B790" s="17" t="s">
        <v>184</v>
      </c>
    </row>
    <row r="791" spans="1:2">
      <c r="A791" s="18">
        <v>92109</v>
      </c>
      <c r="B791" s="17" t="s">
        <v>184</v>
      </c>
    </row>
    <row r="792" spans="1:2">
      <c r="A792" s="18">
        <v>92103</v>
      </c>
      <c r="B792" s="17" t="s">
        <v>184</v>
      </c>
    </row>
    <row r="793" spans="1:2">
      <c r="A793" s="18">
        <v>92101</v>
      </c>
      <c r="B793" s="17" t="s">
        <v>184</v>
      </c>
    </row>
    <row r="794" spans="1:2">
      <c r="A794" s="18">
        <v>92093</v>
      </c>
      <c r="B794" s="17" t="s">
        <v>184</v>
      </c>
    </row>
    <row r="795" spans="1:2">
      <c r="A795" s="18">
        <v>92067</v>
      </c>
      <c r="B795" s="17" t="s">
        <v>184</v>
      </c>
    </row>
    <row r="796" spans="1:2">
      <c r="A796" s="18">
        <v>92064</v>
      </c>
      <c r="B796" s="17" t="s">
        <v>184</v>
      </c>
    </row>
    <row r="797" spans="1:2">
      <c r="A797" s="18">
        <v>92029</v>
      </c>
      <c r="B797" s="17" t="s">
        <v>184</v>
      </c>
    </row>
    <row r="798" spans="1:2">
      <c r="A798" s="18">
        <v>92027</v>
      </c>
      <c r="B798" s="17" t="s">
        <v>184</v>
      </c>
    </row>
    <row r="799" spans="1:2">
      <c r="A799" s="18">
        <v>92025</v>
      </c>
      <c r="B799" s="17" t="s">
        <v>184</v>
      </c>
    </row>
    <row r="800" spans="1:2">
      <c r="A800" s="18">
        <v>91902</v>
      </c>
      <c r="B800" s="17" t="s">
        <v>184</v>
      </c>
    </row>
    <row r="801" spans="1:2">
      <c r="A801" s="18">
        <v>90012</v>
      </c>
      <c r="B801" s="17" t="s">
        <v>171</v>
      </c>
    </row>
    <row r="802" spans="1:2">
      <c r="A802" s="18">
        <v>91786</v>
      </c>
      <c r="B802" s="17" t="s">
        <v>184</v>
      </c>
    </row>
    <row r="803" spans="1:2">
      <c r="A803" s="18">
        <v>90731</v>
      </c>
      <c r="B803" s="17" t="s">
        <v>184</v>
      </c>
    </row>
    <row r="804" spans="1:2">
      <c r="A804" s="18">
        <v>91761</v>
      </c>
      <c r="B804" s="17" t="s">
        <v>184</v>
      </c>
    </row>
    <row r="805" spans="1:2">
      <c r="A805" s="18">
        <v>91758</v>
      </c>
      <c r="B805" s="17" t="s">
        <v>171</v>
      </c>
    </row>
    <row r="806" spans="1:2">
      <c r="A806" s="18">
        <v>90744</v>
      </c>
      <c r="B806" s="17" t="s">
        <v>184</v>
      </c>
    </row>
    <row r="807" spans="1:2">
      <c r="A807" s="18">
        <v>90717</v>
      </c>
      <c r="B807" s="17" t="s">
        <v>184</v>
      </c>
    </row>
    <row r="808" spans="1:2">
      <c r="A808" s="18">
        <v>90280</v>
      </c>
      <c r="B808" s="17" t="s">
        <v>184</v>
      </c>
    </row>
    <row r="809" spans="1:2">
      <c r="A809" s="18">
        <v>90040</v>
      </c>
      <c r="B809" s="17" t="s">
        <v>184</v>
      </c>
    </row>
    <row r="810" spans="1:2">
      <c r="A810" s="18">
        <v>90706</v>
      </c>
      <c r="B810" s="17" t="s">
        <v>184</v>
      </c>
    </row>
    <row r="811" spans="1:2">
      <c r="A811" s="18">
        <v>91730</v>
      </c>
      <c r="B811" s="17" t="s">
        <v>184</v>
      </c>
    </row>
    <row r="812" spans="1:2">
      <c r="A812" s="18">
        <v>91709</v>
      </c>
      <c r="B812" s="17" t="s">
        <v>184</v>
      </c>
    </row>
    <row r="813" spans="1:2">
      <c r="A813" s="18">
        <v>91708</v>
      </c>
      <c r="B813" s="17" t="s">
        <v>184</v>
      </c>
    </row>
    <row r="814" spans="1:2">
      <c r="A814" s="18">
        <v>91701</v>
      </c>
      <c r="B814" s="17" t="s">
        <v>184</v>
      </c>
    </row>
    <row r="815" spans="1:2">
      <c r="A815" s="18">
        <v>91612</v>
      </c>
      <c r="B815" s="17" t="s">
        <v>171</v>
      </c>
    </row>
    <row r="816" spans="1:2">
      <c r="A816" s="18">
        <v>91611</v>
      </c>
      <c r="B816" s="17" t="s">
        <v>171</v>
      </c>
    </row>
    <row r="817" spans="1:2">
      <c r="A817" s="18">
        <v>93301</v>
      </c>
      <c r="B817" s="17" t="s">
        <v>184</v>
      </c>
    </row>
    <row r="818" spans="1:2">
      <c r="A818" s="18">
        <v>93312</v>
      </c>
      <c r="B818" s="17" t="s">
        <v>184</v>
      </c>
    </row>
    <row r="819" spans="1:2">
      <c r="A819" s="18">
        <v>93304</v>
      </c>
      <c r="B819" s="17" t="s">
        <v>184</v>
      </c>
    </row>
    <row r="820" spans="1:2">
      <c r="A820" s="18">
        <v>93305</v>
      </c>
      <c r="B820" s="17" t="s">
        <v>184</v>
      </c>
    </row>
    <row r="821" spans="1:2">
      <c r="A821" s="18">
        <v>93241</v>
      </c>
      <c r="B821" s="17" t="s">
        <v>184</v>
      </c>
    </row>
    <row r="822" spans="1:2">
      <c r="A822" s="18">
        <v>93268</v>
      </c>
      <c r="B822" s="17" t="s">
        <v>184</v>
      </c>
    </row>
    <row r="823" spans="1:2">
      <c r="A823" s="18">
        <v>93309</v>
      </c>
      <c r="B823" s="17" t="s">
        <v>184</v>
      </c>
    </row>
    <row r="824" spans="1:2">
      <c r="A824" s="18">
        <v>93203</v>
      </c>
      <c r="B824" s="17" t="s">
        <v>184</v>
      </c>
    </row>
    <row r="825" spans="1:2">
      <c r="A825" s="18">
        <v>90240</v>
      </c>
      <c r="B825" s="17" t="s">
        <v>184</v>
      </c>
    </row>
    <row r="826" spans="1:2">
      <c r="A826" s="18">
        <v>93311</v>
      </c>
      <c r="B826" s="17" t="s">
        <v>184</v>
      </c>
    </row>
    <row r="827" spans="1:2">
      <c r="A827" s="18">
        <v>90723</v>
      </c>
      <c r="B827" s="17" t="s">
        <v>184</v>
      </c>
    </row>
    <row r="828" spans="1:2">
      <c r="A828" s="18">
        <v>93307</v>
      </c>
      <c r="B828" s="17" t="s">
        <v>184</v>
      </c>
    </row>
    <row r="829" spans="1:2">
      <c r="A829" s="18">
        <v>90242</v>
      </c>
      <c r="B829" s="17" t="s">
        <v>184</v>
      </c>
    </row>
    <row r="830" spans="1:2">
      <c r="A830" s="18">
        <v>91205</v>
      </c>
      <c r="B830" s="17" t="s">
        <v>184</v>
      </c>
    </row>
    <row r="831" spans="1:2">
      <c r="A831" s="18">
        <v>93313</v>
      </c>
      <c r="B831" s="17" t="s">
        <v>184</v>
      </c>
    </row>
    <row r="832" spans="1:2">
      <c r="A832" s="18">
        <v>93314</v>
      </c>
      <c r="B832" s="17" t="s">
        <v>184</v>
      </c>
    </row>
    <row r="833" spans="1:2">
      <c r="A833" s="18">
        <v>93308</v>
      </c>
      <c r="B833" s="17" t="s">
        <v>184</v>
      </c>
    </row>
    <row r="834" spans="1:2">
      <c r="A834" s="18">
        <v>93306</v>
      </c>
      <c r="B834" s="17" t="s">
        <v>184</v>
      </c>
    </row>
    <row r="835" spans="1:2">
      <c r="A835" s="18">
        <v>90249</v>
      </c>
      <c r="B835" s="17" t="s">
        <v>184</v>
      </c>
    </row>
    <row r="836" spans="1:2">
      <c r="A836" s="18">
        <v>90221</v>
      </c>
      <c r="B836" s="17" t="s">
        <v>184</v>
      </c>
    </row>
    <row r="837" spans="1:2">
      <c r="A837" s="18">
        <v>92683</v>
      </c>
      <c r="B837" s="17" t="s">
        <v>184</v>
      </c>
    </row>
    <row r="838" spans="1:2">
      <c r="A838" s="18">
        <v>90222</v>
      </c>
      <c r="B838" s="17" t="s">
        <v>184</v>
      </c>
    </row>
    <row r="839" spans="1:2">
      <c r="A839" s="18">
        <v>90220</v>
      </c>
      <c r="B839" s="17" t="s">
        <v>184</v>
      </c>
    </row>
    <row r="840" spans="1:2">
      <c r="A840" s="18">
        <v>90247</v>
      </c>
      <c r="B840" s="17" t="s">
        <v>184</v>
      </c>
    </row>
    <row r="841" spans="1:2">
      <c r="A841" s="18">
        <v>90248</v>
      </c>
      <c r="B841" s="17" t="s">
        <v>184</v>
      </c>
    </row>
    <row r="842" spans="1:2">
      <c r="A842" s="18">
        <v>92843</v>
      </c>
      <c r="B842" s="17" t="s">
        <v>184</v>
      </c>
    </row>
    <row r="843" spans="1:2">
      <c r="A843" s="18">
        <v>90260</v>
      </c>
      <c r="B843" s="17" t="s">
        <v>184</v>
      </c>
    </row>
    <row r="844" spans="1:2">
      <c r="A844" s="18">
        <v>90250</v>
      </c>
      <c r="B844" s="17" t="s">
        <v>184</v>
      </c>
    </row>
    <row r="845" spans="1:2">
      <c r="A845" s="18">
        <v>90266</v>
      </c>
      <c r="B845" s="17" t="s">
        <v>184</v>
      </c>
    </row>
    <row r="846" spans="1:2">
      <c r="A846" s="18">
        <v>92649</v>
      </c>
      <c r="B846" s="17" t="s">
        <v>184</v>
      </c>
    </row>
    <row r="847" spans="1:2">
      <c r="A847" s="18">
        <v>92647</v>
      </c>
      <c r="B847" s="17" t="s">
        <v>184</v>
      </c>
    </row>
    <row r="848" spans="1:2">
      <c r="A848" s="18">
        <v>90740</v>
      </c>
      <c r="B848" s="17" t="s">
        <v>184</v>
      </c>
    </row>
    <row r="849" spans="1:2">
      <c r="A849" s="18">
        <v>85233</v>
      </c>
      <c r="B849" s="17" t="s">
        <v>184</v>
      </c>
    </row>
    <row r="850" spans="1:2">
      <c r="A850" s="18">
        <v>85298</v>
      </c>
      <c r="B850" s="17" t="s">
        <v>184</v>
      </c>
    </row>
    <row r="851" spans="1:2">
      <c r="A851" s="18">
        <v>85225</v>
      </c>
      <c r="B851" s="17" t="s">
        <v>184</v>
      </c>
    </row>
    <row r="852" spans="1:2">
      <c r="A852" s="18">
        <v>92844</v>
      </c>
      <c r="B852" s="17" t="s">
        <v>184</v>
      </c>
    </row>
    <row r="853" spans="1:2">
      <c r="A853" s="18">
        <v>92655</v>
      </c>
      <c r="B853" s="17" t="s">
        <v>184</v>
      </c>
    </row>
    <row r="854" spans="1:2">
      <c r="A854" s="18">
        <v>91767</v>
      </c>
      <c r="B854" s="17" t="s">
        <v>184</v>
      </c>
    </row>
    <row r="855" spans="1:2">
      <c r="A855" s="18">
        <v>92866</v>
      </c>
      <c r="B855" s="17" t="s">
        <v>184</v>
      </c>
    </row>
    <row r="856" spans="1:2">
      <c r="A856" s="18">
        <v>92805</v>
      </c>
      <c r="B856" s="17" t="s">
        <v>184</v>
      </c>
    </row>
    <row r="857" spans="1:2">
      <c r="A857" s="18">
        <v>85295</v>
      </c>
      <c r="B857" s="17" t="s">
        <v>184</v>
      </c>
    </row>
    <row r="858" spans="1:2">
      <c r="A858" s="18">
        <v>92868</v>
      </c>
      <c r="B858" s="17" t="s">
        <v>184</v>
      </c>
    </row>
    <row r="859" spans="1:2">
      <c r="A859" s="18">
        <v>92806</v>
      </c>
      <c r="B859" s="17" t="s">
        <v>184</v>
      </c>
    </row>
    <row r="860" spans="1:2">
      <c r="A860" s="18">
        <v>91763</v>
      </c>
      <c r="B860" s="17" t="s">
        <v>184</v>
      </c>
    </row>
    <row r="861" spans="1:2">
      <c r="A861" s="18">
        <v>91766</v>
      </c>
      <c r="B861" s="17" t="s">
        <v>184</v>
      </c>
    </row>
    <row r="862" spans="1:2">
      <c r="A862" s="18">
        <v>92869</v>
      </c>
      <c r="B862" s="17" t="s">
        <v>184</v>
      </c>
    </row>
    <row r="863" spans="1:2">
      <c r="A863" s="18">
        <v>85234</v>
      </c>
      <c r="B863" s="17" t="s">
        <v>184</v>
      </c>
    </row>
    <row r="864" spans="1:2">
      <c r="A864" s="18">
        <v>85249</v>
      </c>
      <c r="B864" s="17" t="s">
        <v>184</v>
      </c>
    </row>
    <row r="865" spans="1:2">
      <c r="A865" s="18">
        <v>85286</v>
      </c>
      <c r="B865" s="17" t="s">
        <v>184</v>
      </c>
    </row>
    <row r="866" spans="1:2">
      <c r="A866" s="18">
        <v>92865</v>
      </c>
      <c r="B866" s="17" t="s">
        <v>184</v>
      </c>
    </row>
    <row r="867" spans="1:2">
      <c r="A867" s="18">
        <v>85224</v>
      </c>
      <c r="B867" s="17" t="s">
        <v>184</v>
      </c>
    </row>
    <row r="868" spans="1:2">
      <c r="A868" s="18">
        <v>92007</v>
      </c>
      <c r="B868" s="17" t="s">
        <v>184</v>
      </c>
    </row>
    <row r="869" spans="1:2">
      <c r="A869" s="18">
        <v>92011</v>
      </c>
      <c r="B869" s="17" t="s">
        <v>184</v>
      </c>
    </row>
    <row r="870" spans="1:2">
      <c r="A870" s="18">
        <v>92069</v>
      </c>
      <c r="B870" s="17" t="s">
        <v>184</v>
      </c>
    </row>
    <row r="871" spans="1:2">
      <c r="A871" s="18">
        <v>90245</v>
      </c>
      <c r="B871" s="17" t="s">
        <v>184</v>
      </c>
    </row>
    <row r="872" spans="1:2">
      <c r="A872" s="18">
        <v>90278</v>
      </c>
      <c r="B872" s="17" t="s">
        <v>184</v>
      </c>
    </row>
    <row r="873" spans="1:2">
      <c r="A873" s="18">
        <v>90292</v>
      </c>
      <c r="B873" s="17" t="s">
        <v>184</v>
      </c>
    </row>
    <row r="874" spans="1:2">
      <c r="A874" s="18">
        <v>90008</v>
      </c>
      <c r="B874" s="17" t="s">
        <v>184</v>
      </c>
    </row>
    <row r="875" spans="1:2">
      <c r="A875" s="18">
        <v>85212</v>
      </c>
      <c r="B875" s="17" t="s">
        <v>184</v>
      </c>
    </row>
    <row r="876" spans="1:2">
      <c r="A876" s="18">
        <v>90291</v>
      </c>
      <c r="B876" s="17" t="s">
        <v>184</v>
      </c>
    </row>
    <row r="877" spans="1:2">
      <c r="A877" s="18">
        <v>92078</v>
      </c>
      <c r="B877" s="17" t="s">
        <v>184</v>
      </c>
    </row>
    <row r="878" spans="1:2">
      <c r="A878" s="18">
        <v>85297</v>
      </c>
      <c r="B878" s="17" t="s">
        <v>184</v>
      </c>
    </row>
    <row r="879" spans="1:2">
      <c r="A879" s="18">
        <v>92008</v>
      </c>
      <c r="B879" s="17" t="s">
        <v>184</v>
      </c>
    </row>
    <row r="880" spans="1:2">
      <c r="A880" s="18">
        <v>91768</v>
      </c>
      <c r="B880" s="17" t="s">
        <v>184</v>
      </c>
    </row>
    <row r="881" spans="1:2">
      <c r="A881" s="18">
        <v>85296</v>
      </c>
      <c r="B881" s="17" t="s">
        <v>184</v>
      </c>
    </row>
    <row r="882" spans="1:2">
      <c r="A882" s="18">
        <v>85248</v>
      </c>
      <c r="B882" s="17" t="s">
        <v>184</v>
      </c>
    </row>
    <row r="883" spans="1:2">
      <c r="A883" s="18">
        <v>90230</v>
      </c>
      <c r="B883" s="17" t="s">
        <v>184</v>
      </c>
    </row>
    <row r="884" spans="1:2">
      <c r="A884" s="18">
        <v>92009</v>
      </c>
      <c r="B884" s="17" t="s">
        <v>184</v>
      </c>
    </row>
    <row r="885" spans="1:2">
      <c r="A885" s="18">
        <v>90621</v>
      </c>
      <c r="B885" s="17" t="s">
        <v>184</v>
      </c>
    </row>
    <row r="886" spans="1:2">
      <c r="A886" s="18">
        <v>90043</v>
      </c>
      <c r="B886" s="17" t="s">
        <v>184</v>
      </c>
    </row>
    <row r="887" spans="1:2">
      <c r="A887" s="18">
        <v>90620</v>
      </c>
      <c r="B887" s="17" t="s">
        <v>184</v>
      </c>
    </row>
    <row r="888" spans="1:2">
      <c r="A888" s="18">
        <v>90066</v>
      </c>
      <c r="B888" s="17" t="s">
        <v>184</v>
      </c>
    </row>
    <row r="889" spans="1:2">
      <c r="A889" s="18">
        <v>90010</v>
      </c>
      <c r="B889" s="17" t="s">
        <v>171</v>
      </c>
    </row>
    <row r="890" spans="1:2">
      <c r="A890" s="18">
        <v>90623</v>
      </c>
      <c r="B890" s="17" t="s">
        <v>184</v>
      </c>
    </row>
    <row r="891" spans="1:2">
      <c r="A891" s="18">
        <v>92024</v>
      </c>
      <c r="B891" s="17" t="s">
        <v>184</v>
      </c>
    </row>
    <row r="892" spans="1:2">
      <c r="A892" s="18">
        <v>92620</v>
      </c>
      <c r="B892" s="17" t="s">
        <v>184</v>
      </c>
    </row>
    <row r="893" spans="1:2">
      <c r="A893" s="18">
        <v>92010</v>
      </c>
      <c r="B893" s="17" t="s">
        <v>184</v>
      </c>
    </row>
    <row r="894" spans="1:2">
      <c r="A894" s="18">
        <v>92618</v>
      </c>
      <c r="B894" s="17" t="s">
        <v>184</v>
      </c>
    </row>
    <row r="895" spans="1:2">
      <c r="A895" s="18">
        <v>92591</v>
      </c>
      <c r="B895" s="17" t="s">
        <v>184</v>
      </c>
    </row>
    <row r="896" spans="1:2">
      <c r="A896" s="18">
        <v>92096</v>
      </c>
      <c r="B896" s="17" t="s">
        <v>184</v>
      </c>
    </row>
    <row r="897" spans="1:2">
      <c r="A897" s="18">
        <v>91762</v>
      </c>
      <c r="B897" s="17" t="s">
        <v>184</v>
      </c>
    </row>
    <row r="898" spans="1:2">
      <c r="A898" s="18">
        <v>92592</v>
      </c>
      <c r="B898" s="17" t="s">
        <v>184</v>
      </c>
    </row>
    <row r="899" spans="1:2">
      <c r="A899" s="18">
        <v>92590</v>
      </c>
      <c r="B899" s="17" t="s">
        <v>184</v>
      </c>
    </row>
    <row r="900" spans="1:2">
      <c r="A900" s="18">
        <v>90056</v>
      </c>
      <c r="B900" s="17" t="s">
        <v>171</v>
      </c>
    </row>
    <row r="901" spans="1:2">
      <c r="A901" s="18">
        <v>90005</v>
      </c>
      <c r="B901" s="17" t="s">
        <v>184</v>
      </c>
    </row>
    <row r="902" spans="1:2">
      <c r="A902" s="18">
        <v>90020</v>
      </c>
      <c r="B902" s="17" t="s">
        <v>184</v>
      </c>
    </row>
    <row r="903" spans="1:2">
      <c r="A903" s="18">
        <v>90062</v>
      </c>
      <c r="B903" s="17" t="s">
        <v>184</v>
      </c>
    </row>
    <row r="904" spans="1:2">
      <c r="A904" s="18">
        <v>90018</v>
      </c>
      <c r="B904" s="17" t="s">
        <v>184</v>
      </c>
    </row>
    <row r="905" spans="1:2">
      <c r="A905" s="18">
        <v>90007</v>
      </c>
      <c r="B905" s="17" t="s">
        <v>184</v>
      </c>
    </row>
    <row r="906" spans="1:2">
      <c r="A906" s="18">
        <v>90006</v>
      </c>
      <c r="B906" s="17" t="s">
        <v>184</v>
      </c>
    </row>
    <row r="907" spans="1:2">
      <c r="A907" s="18">
        <v>90094</v>
      </c>
      <c r="B907" s="17" t="s">
        <v>182</v>
      </c>
    </row>
    <row r="908" spans="1:2">
      <c r="A908" s="18">
        <v>90089</v>
      </c>
      <c r="B908" s="17" t="s">
        <v>171</v>
      </c>
    </row>
    <row r="909" spans="1:2">
      <c r="A909" s="18">
        <v>91776</v>
      </c>
      <c r="B909" s="23" t="s">
        <v>184</v>
      </c>
    </row>
    <row r="910" spans="1:2">
      <c r="A910" s="18">
        <v>91803</v>
      </c>
      <c r="B910" s="23" t="s">
        <v>184</v>
      </c>
    </row>
    <row r="911" spans="1:2">
      <c r="A911" s="18">
        <v>91755</v>
      </c>
      <c r="B911" s="23" t="s">
        <v>184</v>
      </c>
    </row>
    <row r="912" spans="1:2">
      <c r="A912" s="18">
        <v>91754</v>
      </c>
      <c r="B912" s="23" t="s">
        <v>184</v>
      </c>
    </row>
    <row r="913" spans="1:2">
      <c r="A913" s="18">
        <v>91801</v>
      </c>
      <c r="B913" s="23" t="s">
        <v>184</v>
      </c>
    </row>
    <row r="914" spans="1:2">
      <c r="A914" s="18">
        <v>91775</v>
      </c>
      <c r="B914" s="17" t="s">
        <v>171</v>
      </c>
    </row>
    <row r="915" spans="1:2">
      <c r="A915" s="18">
        <v>91748</v>
      </c>
      <c r="B915" s="17" t="s">
        <v>171</v>
      </c>
    </row>
    <row r="916" spans="1:2">
      <c r="A916" s="18">
        <v>91765</v>
      </c>
      <c r="B916" s="17" t="s">
        <v>184</v>
      </c>
    </row>
    <row r="917" spans="1:2">
      <c r="A917" s="18">
        <v>91789</v>
      </c>
      <c r="B917" s="17" t="s">
        <v>184</v>
      </c>
    </row>
    <row r="918" spans="1:2">
      <c r="A918" s="18">
        <v>91792</v>
      </c>
      <c r="B918" s="17" t="s">
        <v>184</v>
      </c>
    </row>
    <row r="919" spans="1:2">
      <c r="A919" s="18">
        <v>91722</v>
      </c>
      <c r="B919" s="17" t="s">
        <v>184</v>
      </c>
    </row>
    <row r="920" spans="1:2">
      <c r="A920" s="18">
        <v>91790</v>
      </c>
      <c r="B920" s="17" t="s">
        <v>184</v>
      </c>
    </row>
    <row r="921" spans="1:2">
      <c r="A921" s="18">
        <v>91724</v>
      </c>
      <c r="B921" s="17" t="s">
        <v>184</v>
      </c>
    </row>
    <row r="922" spans="1:2">
      <c r="A922" s="18">
        <v>91608</v>
      </c>
      <c r="B922" s="17" t="s">
        <v>171</v>
      </c>
    </row>
    <row r="923" spans="1:2">
      <c r="A923" s="18">
        <v>91791</v>
      </c>
      <c r="B923" s="17" t="s">
        <v>184</v>
      </c>
    </row>
    <row r="924" spans="1:2">
      <c r="A924" s="18">
        <v>91723</v>
      </c>
      <c r="B924" s="17" t="s">
        <v>184</v>
      </c>
    </row>
    <row r="925" spans="1:2">
      <c r="A925" s="18">
        <v>91741</v>
      </c>
      <c r="B925" s="17" t="s">
        <v>184</v>
      </c>
    </row>
    <row r="926" spans="1:2">
      <c r="A926" s="18">
        <v>94301</v>
      </c>
      <c r="B926" s="23" t="s">
        <v>184</v>
      </c>
    </row>
    <row r="927" spans="1:2">
      <c r="A927" s="18">
        <v>94065</v>
      </c>
      <c r="B927" s="23" t="s">
        <v>184</v>
      </c>
    </row>
    <row r="928" spans="1:2">
      <c r="A928" s="18">
        <v>94957</v>
      </c>
      <c r="B928" s="17" t="s">
        <v>171</v>
      </c>
    </row>
    <row r="929" spans="1:2">
      <c r="A929" s="18">
        <v>94964</v>
      </c>
      <c r="B929" s="17" t="s">
        <v>171</v>
      </c>
    </row>
    <row r="930" spans="1:2">
      <c r="A930" s="18">
        <v>94104</v>
      </c>
      <c r="B930" s="17" t="s">
        <v>171</v>
      </c>
    </row>
    <row r="931" spans="1:2">
      <c r="A931" s="18">
        <v>92102</v>
      </c>
      <c r="B931" s="17" t="s">
        <v>184</v>
      </c>
    </row>
    <row r="932" spans="1:2">
      <c r="A932" s="18">
        <v>94519</v>
      </c>
      <c r="B932" s="23" t="s">
        <v>184</v>
      </c>
    </row>
    <row r="933" spans="1:2">
      <c r="A933" s="18">
        <v>91910</v>
      </c>
      <c r="B933" s="17" t="s">
        <v>184</v>
      </c>
    </row>
    <row r="934" spans="1:2">
      <c r="A934" s="18">
        <v>95616</v>
      </c>
      <c r="B934" s="17" t="s">
        <v>171</v>
      </c>
    </row>
    <row r="935" spans="1:2">
      <c r="A935" s="18">
        <v>92551</v>
      </c>
      <c r="B935" s="17" t="s">
        <v>184</v>
      </c>
    </row>
    <row r="936" spans="1:2">
      <c r="A936" s="18">
        <v>92657</v>
      </c>
      <c r="B936" s="17" t="s">
        <v>171</v>
      </c>
    </row>
    <row r="937" spans="1:2">
      <c r="A937" s="18">
        <v>95610</v>
      </c>
      <c r="B937" s="17" t="s">
        <v>171</v>
      </c>
    </row>
    <row r="938" spans="1:2">
      <c r="A938" s="18">
        <v>89134</v>
      </c>
      <c r="B938" s="17" t="s">
        <v>171</v>
      </c>
    </row>
    <row r="939" spans="1:2">
      <c r="A939" s="18">
        <v>91945</v>
      </c>
      <c r="B939" s="17" t="s">
        <v>184</v>
      </c>
    </row>
    <row r="940" spans="1:2">
      <c r="A940" s="18">
        <v>91978</v>
      </c>
      <c r="B940" s="17" t="s">
        <v>184</v>
      </c>
    </row>
    <row r="941" spans="1:2">
      <c r="A941" s="18">
        <v>92879</v>
      </c>
      <c r="B941" s="17" t="s">
        <v>171</v>
      </c>
    </row>
    <row r="942" spans="1:2">
      <c r="A942" s="18">
        <v>91942</v>
      </c>
      <c r="B942" s="17" t="s">
        <v>184</v>
      </c>
    </row>
    <row r="943" spans="1:2">
      <c r="A943" s="18">
        <v>91941</v>
      </c>
      <c r="B943" s="17" t="s">
        <v>184</v>
      </c>
    </row>
    <row r="944" spans="1:2">
      <c r="A944" s="18">
        <v>92595</v>
      </c>
      <c r="B944" s="17" t="s">
        <v>184</v>
      </c>
    </row>
    <row r="945" spans="1:2">
      <c r="A945" s="18">
        <v>92123</v>
      </c>
      <c r="B945" s="17" t="s">
        <v>184</v>
      </c>
    </row>
    <row r="946" spans="1:2">
      <c r="A946" s="18">
        <v>95030</v>
      </c>
      <c r="B946" s="17" t="s">
        <v>171</v>
      </c>
    </row>
    <row r="947" spans="1:2">
      <c r="A947" s="18">
        <v>92505</v>
      </c>
      <c r="B947" s="17" t="s">
        <v>171</v>
      </c>
    </row>
    <row r="948" spans="1:2">
      <c r="A948" s="18">
        <v>92532</v>
      </c>
      <c r="B948" s="17" t="s">
        <v>184</v>
      </c>
    </row>
    <row r="949" spans="1:2">
      <c r="A949" s="18">
        <v>91773</v>
      </c>
      <c r="B949" s="17" t="s">
        <v>184</v>
      </c>
    </row>
    <row r="950" spans="1:2">
      <c r="A950" s="18">
        <v>92092</v>
      </c>
      <c r="B950" s="17" t="s">
        <v>184</v>
      </c>
    </row>
    <row r="951" spans="1:2">
      <c r="A951" s="18">
        <v>95608</v>
      </c>
      <c r="B951" s="17" t="s">
        <v>171</v>
      </c>
    </row>
    <row r="952" spans="1:2">
      <c r="A952" s="18">
        <v>92091</v>
      </c>
      <c r="B952" s="17" t="s">
        <v>184</v>
      </c>
    </row>
    <row r="953" spans="1:2">
      <c r="A953" s="18">
        <v>85257</v>
      </c>
      <c r="B953" s="17" t="s">
        <v>184</v>
      </c>
    </row>
    <row r="954" spans="1:2">
      <c r="A954" s="18">
        <v>85254</v>
      </c>
      <c r="B954" s="17" t="s">
        <v>184</v>
      </c>
    </row>
    <row r="955" spans="1:2">
      <c r="A955" s="18">
        <v>91351</v>
      </c>
      <c r="B955" s="17" t="s">
        <v>171</v>
      </c>
    </row>
    <row r="956" spans="1:2">
      <c r="A956" s="18">
        <v>95605</v>
      </c>
      <c r="B956" s="17" t="s">
        <v>171</v>
      </c>
    </row>
    <row r="957" spans="1:2">
      <c r="A957" s="18">
        <v>95603</v>
      </c>
      <c r="B957" s="17" t="s">
        <v>171</v>
      </c>
    </row>
    <row r="958" spans="1:2">
      <c r="A958" s="18">
        <v>95602</v>
      </c>
      <c r="B958" s="17" t="s">
        <v>171</v>
      </c>
    </row>
    <row r="959" spans="1:2">
      <c r="A959" s="18">
        <v>91606</v>
      </c>
      <c r="B959" s="17" t="s">
        <v>171</v>
      </c>
    </row>
    <row r="960" spans="1:2">
      <c r="A960" s="18">
        <v>90639</v>
      </c>
      <c r="B960" s="17" t="s">
        <v>184</v>
      </c>
    </row>
    <row r="961" spans="1:2">
      <c r="A961" s="18">
        <v>95304</v>
      </c>
      <c r="B961" s="17" t="s">
        <v>171</v>
      </c>
    </row>
    <row r="962" spans="1:2">
      <c r="A962" s="18">
        <v>85209</v>
      </c>
      <c r="B962" s="17" t="s">
        <v>171</v>
      </c>
    </row>
    <row r="963" spans="1:2">
      <c r="A963" s="18">
        <v>85202</v>
      </c>
      <c r="B963" s="17" t="s">
        <v>171</v>
      </c>
    </row>
    <row r="964" spans="1:2">
      <c r="A964" s="18">
        <v>85210</v>
      </c>
      <c r="B964" s="17" t="s">
        <v>171</v>
      </c>
    </row>
    <row r="965" spans="1:2">
      <c r="A965" s="18">
        <v>85208</v>
      </c>
      <c r="B965" s="17" t="s">
        <v>171</v>
      </c>
    </row>
    <row r="966" spans="1:2">
      <c r="A966" s="18">
        <v>92056</v>
      </c>
      <c r="B966" s="17" t="s">
        <v>184</v>
      </c>
    </row>
    <row r="967" spans="1:2">
      <c r="A967" s="18">
        <v>91607</v>
      </c>
      <c r="B967" s="17" t="s">
        <v>184</v>
      </c>
    </row>
    <row r="968" spans="1:2">
      <c r="A968" s="18">
        <v>91604</v>
      </c>
      <c r="B968" s="17" t="s">
        <v>171</v>
      </c>
    </row>
    <row r="969" spans="1:2">
      <c r="A969" s="18">
        <v>91602</v>
      </c>
      <c r="B969" s="17" t="s">
        <v>171</v>
      </c>
    </row>
    <row r="970" spans="1:2">
      <c r="A970" s="18">
        <v>91526</v>
      </c>
      <c r="B970" s="17" t="s">
        <v>171</v>
      </c>
    </row>
    <row r="971" spans="1:2">
      <c r="A971" s="18">
        <v>91521</v>
      </c>
      <c r="B971" s="17" t="s">
        <v>171</v>
      </c>
    </row>
    <row r="972" spans="1:2">
      <c r="A972" s="18">
        <v>91506</v>
      </c>
      <c r="B972" s="17" t="s">
        <v>184</v>
      </c>
    </row>
    <row r="973" spans="1:2">
      <c r="A973" s="18">
        <v>91505</v>
      </c>
      <c r="B973" s="23" t="s">
        <v>184</v>
      </c>
    </row>
    <row r="974" spans="1:2">
      <c r="A974" s="18">
        <v>91504</v>
      </c>
      <c r="B974" s="23" t="s">
        <v>184</v>
      </c>
    </row>
    <row r="975" spans="1:2">
      <c r="A975" s="18">
        <v>91502</v>
      </c>
      <c r="B975" s="17" t="s">
        <v>184</v>
      </c>
    </row>
    <row r="976" spans="1:2">
      <c r="A976" s="18">
        <v>91501</v>
      </c>
      <c r="B976" s="17" t="s">
        <v>182</v>
      </c>
    </row>
    <row r="977" spans="1:2">
      <c r="A977" s="18">
        <v>91423</v>
      </c>
      <c r="B977" s="23" t="s">
        <v>184</v>
      </c>
    </row>
    <row r="978" spans="1:2">
      <c r="A978" s="18">
        <v>91411</v>
      </c>
      <c r="B978" s="23" t="s">
        <v>184</v>
      </c>
    </row>
    <row r="979" spans="1:2">
      <c r="A979" s="18">
        <v>91401</v>
      </c>
      <c r="B979" s="23" t="s">
        <v>184</v>
      </c>
    </row>
    <row r="980" spans="1:2">
      <c r="A980" s="18">
        <v>91382</v>
      </c>
      <c r="B980" s="17" t="s">
        <v>171</v>
      </c>
    </row>
    <row r="981" spans="1:2">
      <c r="A981" s="18">
        <v>91381</v>
      </c>
      <c r="B981" s="17" t="s">
        <v>171</v>
      </c>
    </row>
    <row r="982" spans="1:2">
      <c r="A982" s="18">
        <v>91377</v>
      </c>
      <c r="B982" s="17" t="s">
        <v>184</v>
      </c>
    </row>
    <row r="983" spans="1:2">
      <c r="A983" s="18">
        <v>91371</v>
      </c>
      <c r="B983" s="17" t="s">
        <v>171</v>
      </c>
    </row>
    <row r="984" spans="1:2">
      <c r="A984" s="18">
        <v>91367</v>
      </c>
      <c r="B984" s="17" t="s">
        <v>184</v>
      </c>
    </row>
    <row r="985" spans="1:2">
      <c r="A985" s="18">
        <v>91362</v>
      </c>
      <c r="B985" s="17" t="s">
        <v>184</v>
      </c>
    </row>
    <row r="986" spans="1:2">
      <c r="A986" s="18">
        <v>91361</v>
      </c>
      <c r="B986" s="17" t="s">
        <v>184</v>
      </c>
    </row>
    <row r="987" spans="1:2">
      <c r="A987" s="18">
        <v>91360</v>
      </c>
      <c r="B987" s="17" t="s">
        <v>184</v>
      </c>
    </row>
    <row r="988" spans="1:2">
      <c r="A988" s="18">
        <v>91355</v>
      </c>
      <c r="B988" s="17" t="s">
        <v>171</v>
      </c>
    </row>
    <row r="989" spans="1:2">
      <c r="A989" s="18">
        <v>91352</v>
      </c>
      <c r="B989" s="17" t="s">
        <v>184</v>
      </c>
    </row>
    <row r="990" spans="1:2">
      <c r="A990" s="18">
        <v>91345</v>
      </c>
      <c r="B990" s="17" t="s">
        <v>184</v>
      </c>
    </row>
    <row r="991" spans="1:2">
      <c r="A991" s="18">
        <v>91335</v>
      </c>
      <c r="B991" s="17" t="s">
        <v>184</v>
      </c>
    </row>
    <row r="992" spans="1:2">
      <c r="A992" s="18">
        <v>91329</v>
      </c>
      <c r="B992" s="17" t="s">
        <v>171</v>
      </c>
    </row>
    <row r="993" spans="1:2">
      <c r="A993" s="18">
        <v>91321</v>
      </c>
      <c r="B993" s="17" t="s">
        <v>171</v>
      </c>
    </row>
    <row r="994" spans="1:2">
      <c r="A994" s="18">
        <v>91320</v>
      </c>
      <c r="B994" s="17" t="s">
        <v>184</v>
      </c>
    </row>
    <row r="995" spans="1:2">
      <c r="A995" s="18">
        <v>91316</v>
      </c>
      <c r="B995" s="23" t="s">
        <v>184</v>
      </c>
    </row>
    <row r="996" spans="1:2">
      <c r="A996" s="18">
        <v>91307</v>
      </c>
      <c r="B996" s="17" t="s">
        <v>184</v>
      </c>
    </row>
    <row r="997" spans="1:2">
      <c r="A997" s="18">
        <v>91306</v>
      </c>
      <c r="B997" s="17" t="s">
        <v>184</v>
      </c>
    </row>
    <row r="998" spans="1:2">
      <c r="A998" s="18">
        <v>91304</v>
      </c>
      <c r="B998" s="17" t="s">
        <v>184</v>
      </c>
    </row>
    <row r="999" spans="1:2">
      <c r="A999" s="18">
        <v>91301</v>
      </c>
      <c r="B999" s="17" t="s">
        <v>184</v>
      </c>
    </row>
    <row r="1000" spans="1:2">
      <c r="A1000" s="18">
        <v>90270</v>
      </c>
      <c r="B1000" s="17" t="s">
        <v>184</v>
      </c>
    </row>
    <row r="1001" spans="1:2">
      <c r="A1001" s="18">
        <v>90201</v>
      </c>
      <c r="B1001" s="17" t="s">
        <v>184</v>
      </c>
    </row>
    <row r="1002" spans="1:2">
      <c r="A1002" s="18">
        <v>91750</v>
      </c>
      <c r="B1002" s="17" t="s">
        <v>182</v>
      </c>
    </row>
    <row r="1003" spans="1:2">
      <c r="A1003" s="18">
        <v>90057</v>
      </c>
      <c r="B1003" s="17" t="s">
        <v>171</v>
      </c>
    </row>
    <row r="1004" spans="1:2">
      <c r="A1004" s="18">
        <v>90017</v>
      </c>
      <c r="B1004" s="17" t="s">
        <v>171</v>
      </c>
    </row>
    <row r="1005" spans="1:2">
      <c r="A1005" s="18">
        <v>90015</v>
      </c>
      <c r="B1005" s="17" t="s">
        <v>171</v>
      </c>
    </row>
    <row r="1006" spans="1:2">
      <c r="A1006" s="18">
        <v>90802</v>
      </c>
      <c r="B1006" s="17" t="s">
        <v>182</v>
      </c>
    </row>
    <row r="1007" spans="1:2">
      <c r="A1007" s="18">
        <v>90026</v>
      </c>
      <c r="B1007" s="17" t="s">
        <v>184</v>
      </c>
    </row>
    <row r="1008" spans="1:2">
      <c r="A1008" s="18">
        <v>90232</v>
      </c>
      <c r="B1008" s="17" t="s">
        <v>184</v>
      </c>
    </row>
    <row r="1009" spans="1:2">
      <c r="A1009" s="18">
        <v>90064</v>
      </c>
      <c r="B1009" s="17" t="s">
        <v>184</v>
      </c>
    </row>
    <row r="1010" spans="1:2">
      <c r="A1010" s="18">
        <v>90034</v>
      </c>
      <c r="B1010" s="17" t="s">
        <v>184</v>
      </c>
    </row>
    <row r="1011" spans="1:2">
      <c r="A1011" s="18">
        <v>90035</v>
      </c>
      <c r="B1011" s="17" t="s">
        <v>184</v>
      </c>
    </row>
    <row r="1012" spans="1:2">
      <c r="A1012" s="18">
        <v>90804</v>
      </c>
      <c r="B1012" s="17" t="s">
        <v>184</v>
      </c>
    </row>
    <row r="1013" spans="1:2">
      <c r="A1013" s="18">
        <v>90806</v>
      </c>
      <c r="B1013" s="17" t="s">
        <v>184</v>
      </c>
    </row>
    <row r="1014" spans="1:2">
      <c r="A1014" s="18">
        <v>91042</v>
      </c>
      <c r="B1014" s="17" t="s">
        <v>171</v>
      </c>
    </row>
    <row r="1015" spans="1:2">
      <c r="A1015" s="18">
        <v>91040</v>
      </c>
      <c r="B1015" s="17" t="s">
        <v>171</v>
      </c>
    </row>
    <row r="1016" spans="1:2">
      <c r="A1016" s="18">
        <v>90810</v>
      </c>
      <c r="B1016" s="17" t="s">
        <v>184</v>
      </c>
    </row>
    <row r="1017" spans="1:2">
      <c r="A1017" s="18">
        <v>91020</v>
      </c>
      <c r="B1017" s="17" t="s">
        <v>182</v>
      </c>
    </row>
    <row r="1018" spans="1:2">
      <c r="A1018" s="18">
        <v>91011</v>
      </c>
      <c r="B1018" s="17" t="s">
        <v>171</v>
      </c>
    </row>
    <row r="1019" spans="1:2">
      <c r="A1019" s="18">
        <v>90813</v>
      </c>
      <c r="B1019" s="17" t="s">
        <v>184</v>
      </c>
    </row>
    <row r="1020" spans="1:2">
      <c r="A1020" s="18">
        <v>90814</v>
      </c>
      <c r="B1020" s="17" t="s">
        <v>184</v>
      </c>
    </row>
    <row r="1021" spans="1:2">
      <c r="A1021" s="18">
        <v>90803</v>
      </c>
      <c r="B1021" s="17" t="s">
        <v>184</v>
      </c>
    </row>
    <row r="1022" spans="1:2">
      <c r="A1022" s="18">
        <v>90755</v>
      </c>
      <c r="B1022" s="17" t="s">
        <v>184</v>
      </c>
    </row>
    <row r="1023" spans="1:2">
      <c r="A1023" s="18">
        <v>90004</v>
      </c>
      <c r="B1023" s="17" t="s">
        <v>184</v>
      </c>
    </row>
    <row r="1024" spans="1:2">
      <c r="A1024" s="18">
        <v>90027</v>
      </c>
      <c r="B1024" s="17" t="s">
        <v>184</v>
      </c>
    </row>
    <row r="1025" spans="1:2">
      <c r="A1025" s="18">
        <v>90029</v>
      </c>
      <c r="B1025" s="17" t="s">
        <v>184</v>
      </c>
    </row>
    <row r="1026" spans="1:2">
      <c r="A1026" s="18">
        <v>90038</v>
      </c>
      <c r="B1026" s="17" t="s">
        <v>184</v>
      </c>
    </row>
    <row r="1027" spans="1:2">
      <c r="A1027" s="18">
        <v>90028</v>
      </c>
      <c r="B1027" s="17" t="s">
        <v>184</v>
      </c>
    </row>
    <row r="1028" spans="1:2">
      <c r="A1028" s="18">
        <v>90014</v>
      </c>
      <c r="B1028" s="17" t="s">
        <v>171</v>
      </c>
    </row>
    <row r="1029" spans="1:2">
      <c r="A1029" s="18">
        <v>90013</v>
      </c>
      <c r="B1029" s="17" t="s">
        <v>171</v>
      </c>
    </row>
    <row r="1030" spans="1:2">
      <c r="A1030" s="18">
        <v>90021</v>
      </c>
      <c r="B1030" s="17" t="s">
        <v>171</v>
      </c>
    </row>
    <row r="1031" spans="1:2">
      <c r="A1031" s="18">
        <v>90241</v>
      </c>
      <c r="B1031" s="17" t="s">
        <v>184</v>
      </c>
    </row>
    <row r="1032" spans="1:2">
      <c r="A1032" s="18">
        <v>90233</v>
      </c>
      <c r="B1032" s="17" t="s">
        <v>171</v>
      </c>
    </row>
    <row r="1033" spans="1:2">
      <c r="A1033" s="18">
        <v>90096</v>
      </c>
      <c r="B1033" s="17" t="s">
        <v>171</v>
      </c>
    </row>
    <row r="1034" spans="1:2">
      <c r="A1034" s="18">
        <v>90090</v>
      </c>
      <c r="B1034" s="17" t="s">
        <v>171</v>
      </c>
    </row>
    <row r="1035" spans="1:2">
      <c r="A1035" s="18">
        <v>90088</v>
      </c>
      <c r="B1035" s="17" t="s">
        <v>171</v>
      </c>
    </row>
    <row r="1036" spans="1:2">
      <c r="A1036" s="18">
        <v>90079</v>
      </c>
      <c r="B1036" s="17" t="s">
        <v>171</v>
      </c>
    </row>
    <row r="1037" spans="1:2">
      <c r="A1037" s="18">
        <v>90036</v>
      </c>
      <c r="B1037" s="17" t="s">
        <v>182</v>
      </c>
    </row>
    <row r="1038" spans="1:2">
      <c r="A1038" s="18">
        <v>91406</v>
      </c>
      <c r="B1038" s="23" t="s">
        <v>184</v>
      </c>
    </row>
    <row r="1039" spans="1:2">
      <c r="A1039" s="18">
        <v>91405</v>
      </c>
      <c r="B1039" s="23" t="s">
        <v>184</v>
      </c>
    </row>
    <row r="1040" spans="1:2">
      <c r="A1040" s="18">
        <v>91436</v>
      </c>
      <c r="B1040" s="23" t="s">
        <v>184</v>
      </c>
    </row>
    <row r="1041" spans="1:2">
      <c r="A1041" s="18">
        <v>91403</v>
      </c>
      <c r="B1041" s="23" t="s">
        <v>184</v>
      </c>
    </row>
    <row r="1042" spans="1:2">
      <c r="A1042" s="18">
        <v>91402</v>
      </c>
      <c r="B1042" s="23" t="s">
        <v>184</v>
      </c>
    </row>
    <row r="1043" spans="1:2">
      <c r="A1043" s="18">
        <v>91495</v>
      </c>
      <c r="B1043" s="17" t="s">
        <v>171</v>
      </c>
    </row>
    <row r="1044" spans="1:2">
      <c r="A1044" s="18">
        <v>92882</v>
      </c>
      <c r="B1044" s="17" t="s">
        <v>171</v>
      </c>
    </row>
    <row r="1045" spans="1:2">
      <c r="A1045" s="18">
        <v>90275</v>
      </c>
      <c r="B1045" s="17" t="s">
        <v>184</v>
      </c>
    </row>
    <row r="1046" spans="1:2">
      <c r="A1046" s="18">
        <v>90720</v>
      </c>
      <c r="B1046" s="17" t="s">
        <v>184</v>
      </c>
    </row>
    <row r="1047" spans="1:2">
      <c r="A1047" s="18">
        <v>90274</v>
      </c>
      <c r="B1047" s="17" t="s">
        <v>184</v>
      </c>
    </row>
    <row r="1048" spans="1:2">
      <c r="A1048" s="18">
        <v>90732</v>
      </c>
      <c r="B1048" s="17" t="s">
        <v>184</v>
      </c>
    </row>
    <row r="1049" spans="1:2">
      <c r="A1049" s="18">
        <v>90503</v>
      </c>
      <c r="B1049" s="17" t="s">
        <v>184</v>
      </c>
    </row>
    <row r="1050" spans="1:2">
      <c r="A1050" s="18">
        <v>90504</v>
      </c>
      <c r="B1050" s="17" t="s">
        <v>184</v>
      </c>
    </row>
    <row r="1051" spans="1:2">
      <c r="A1051" s="18">
        <v>90505</v>
      </c>
      <c r="B1051" s="17" t="s">
        <v>184</v>
      </c>
    </row>
    <row r="1052" spans="1:2">
      <c r="A1052" s="18">
        <v>90502</v>
      </c>
      <c r="B1052" s="17" t="s">
        <v>184</v>
      </c>
    </row>
    <row r="1053" spans="1:2">
      <c r="A1053" s="18">
        <v>90501</v>
      </c>
      <c r="B1053" s="17" t="s">
        <v>184</v>
      </c>
    </row>
    <row r="1054" spans="1:2">
      <c r="A1054" s="18">
        <v>90631</v>
      </c>
      <c r="B1054" s="17" t="s">
        <v>184</v>
      </c>
    </row>
    <row r="1055" spans="1:2">
      <c r="A1055" s="18">
        <v>90630</v>
      </c>
      <c r="B1055" s="17" t="s">
        <v>184</v>
      </c>
    </row>
    <row r="1056" spans="1:2">
      <c r="A1056" s="18">
        <v>90277</v>
      </c>
      <c r="B1056" s="17" t="s">
        <v>184</v>
      </c>
    </row>
    <row r="1057" spans="1:2">
      <c r="A1057" s="18">
        <v>90254</v>
      </c>
      <c r="B1057" s="17" t="s">
        <v>184</v>
      </c>
    </row>
    <row r="1058" spans="1:2">
      <c r="A1058" s="18">
        <v>90805</v>
      </c>
      <c r="B1058" s="17" t="s">
        <v>184</v>
      </c>
    </row>
    <row r="1059" spans="1:2">
      <c r="A1059" s="18">
        <v>90815</v>
      </c>
      <c r="B1059" s="17" t="s">
        <v>184</v>
      </c>
    </row>
    <row r="1060" spans="1:2">
      <c r="A1060" s="18">
        <v>90808</v>
      </c>
      <c r="B1060" s="17" t="s">
        <v>184</v>
      </c>
    </row>
    <row r="1061" spans="1:2">
      <c r="A1061" s="18">
        <v>90807</v>
      </c>
      <c r="B1061" s="17" t="s">
        <v>184</v>
      </c>
    </row>
    <row r="1062" spans="1:2">
      <c r="A1062" s="18">
        <v>90716</v>
      </c>
      <c r="B1062" s="17" t="s">
        <v>184</v>
      </c>
    </row>
    <row r="1063" spans="1:2">
      <c r="A1063" s="18">
        <v>90715</v>
      </c>
      <c r="B1063" s="17" t="s">
        <v>184</v>
      </c>
    </row>
    <row r="1064" spans="1:2">
      <c r="A1064" s="18">
        <v>90713</v>
      </c>
      <c r="B1064" s="17" t="s">
        <v>184</v>
      </c>
    </row>
    <row r="1065" spans="1:2">
      <c r="A1065" s="18">
        <v>90712</v>
      </c>
      <c r="B1065" s="17" t="s">
        <v>184</v>
      </c>
    </row>
    <row r="1066" spans="1:2">
      <c r="A1066" s="18">
        <v>90746</v>
      </c>
      <c r="B1066" s="17" t="s">
        <v>184</v>
      </c>
    </row>
    <row r="1067" spans="1:2">
      <c r="A1067" s="18">
        <v>90745</v>
      </c>
      <c r="B1067" s="17" t="s">
        <v>184</v>
      </c>
    </row>
    <row r="1068" spans="1:2">
      <c r="A1068" s="18">
        <v>90710</v>
      </c>
      <c r="B1068" s="17" t="s">
        <v>184</v>
      </c>
    </row>
    <row r="1069" spans="1:2">
      <c r="A1069" s="18">
        <v>90899</v>
      </c>
      <c r="B1069" s="17" t="s">
        <v>171</v>
      </c>
    </row>
    <row r="1070" spans="1:2">
      <c r="A1070" s="18">
        <v>90840</v>
      </c>
      <c r="B1070" s="17" t="s">
        <v>171</v>
      </c>
    </row>
    <row r="1071" spans="1:2">
      <c r="A1071" s="18">
        <v>90835</v>
      </c>
      <c r="B1071" s="17" t="s">
        <v>171</v>
      </c>
    </row>
    <row r="1072" spans="1:2">
      <c r="A1072" s="18">
        <v>90834</v>
      </c>
      <c r="B1072" s="17" t="s">
        <v>171</v>
      </c>
    </row>
    <row r="1073" spans="1:2">
      <c r="A1073" s="18">
        <v>90833</v>
      </c>
      <c r="B1073" s="17" t="s">
        <v>171</v>
      </c>
    </row>
    <row r="1074" spans="1:2">
      <c r="A1074" s="18">
        <v>90831</v>
      </c>
      <c r="B1074" s="17" t="s">
        <v>171</v>
      </c>
    </row>
    <row r="1075" spans="1:2">
      <c r="A1075" s="18">
        <v>90822</v>
      </c>
      <c r="B1075" s="17" t="s">
        <v>171</v>
      </c>
    </row>
    <row r="1076" spans="1:2">
      <c r="A1076" s="18">
        <v>90077</v>
      </c>
      <c r="B1076" s="17" t="s">
        <v>171</v>
      </c>
    </row>
    <row r="1077" spans="1:2">
      <c r="A1077" s="18">
        <v>90747</v>
      </c>
      <c r="B1077" s="17" t="s">
        <v>171</v>
      </c>
    </row>
    <row r="1078" spans="1:2">
      <c r="A1078" s="18">
        <v>90095</v>
      </c>
      <c r="B1078" s="17" t="s">
        <v>171</v>
      </c>
    </row>
    <row r="1079" spans="1:2">
      <c r="A1079" s="18">
        <v>90506</v>
      </c>
      <c r="B1079" s="17" t="s">
        <v>171</v>
      </c>
    </row>
    <row r="1080" spans="1:2">
      <c r="A1080" s="18">
        <v>90405</v>
      </c>
      <c r="B1080" s="17" t="s">
        <v>184</v>
      </c>
    </row>
    <row r="1081" spans="1:2">
      <c r="A1081" s="18">
        <v>90404</v>
      </c>
      <c r="B1081" s="17" t="s">
        <v>184</v>
      </c>
    </row>
    <row r="1082" spans="1:2">
      <c r="A1082" s="18">
        <v>90403</v>
      </c>
      <c r="B1082" s="17" t="s">
        <v>184</v>
      </c>
    </row>
    <row r="1083" spans="1:2">
      <c r="A1083" s="18">
        <v>90301</v>
      </c>
      <c r="B1083" s="17" t="s">
        <v>171</v>
      </c>
    </row>
    <row r="1084" spans="1:2">
      <c r="A1084" s="18">
        <v>90069</v>
      </c>
      <c r="B1084" s="17" t="s">
        <v>184</v>
      </c>
    </row>
    <row r="1085" spans="1:2">
      <c r="A1085" s="18">
        <v>90068</v>
      </c>
      <c r="B1085" s="17" t="s">
        <v>184</v>
      </c>
    </row>
    <row r="1086" spans="1:2">
      <c r="A1086" s="18">
        <v>90067</v>
      </c>
      <c r="B1086" s="17" t="s">
        <v>171</v>
      </c>
    </row>
    <row r="1087" spans="1:2">
      <c r="A1087" s="18">
        <v>90305</v>
      </c>
      <c r="B1087" s="17" t="s">
        <v>171</v>
      </c>
    </row>
    <row r="1088" spans="1:2">
      <c r="A1088" s="18">
        <v>91210</v>
      </c>
      <c r="B1088" s="17" t="s">
        <v>171</v>
      </c>
    </row>
    <row r="1089" spans="1:2">
      <c r="A1089" s="18">
        <v>90048</v>
      </c>
      <c r="B1089" s="17" t="s">
        <v>184</v>
      </c>
    </row>
    <row r="1090" spans="1:2">
      <c r="A1090" s="18">
        <v>90046</v>
      </c>
      <c r="B1090" s="17" t="s">
        <v>184</v>
      </c>
    </row>
    <row r="1091" spans="1:2">
      <c r="A1091" s="18">
        <v>91208</v>
      </c>
      <c r="B1091" s="17" t="s">
        <v>182</v>
      </c>
    </row>
    <row r="1092" spans="1:2">
      <c r="A1092" s="18">
        <v>91207</v>
      </c>
      <c r="B1092" s="17" t="s">
        <v>182</v>
      </c>
    </row>
    <row r="1093" spans="1:2">
      <c r="A1093" s="18">
        <v>90402</v>
      </c>
      <c r="B1093" s="17" t="s">
        <v>171</v>
      </c>
    </row>
    <row r="1094" spans="1:2">
      <c r="A1094" s="18">
        <v>90401</v>
      </c>
      <c r="B1094" s="17" t="s">
        <v>171</v>
      </c>
    </row>
    <row r="1095" spans="1:2">
      <c r="A1095" s="18">
        <v>91204</v>
      </c>
      <c r="B1095" s="17" t="s">
        <v>184</v>
      </c>
    </row>
    <row r="1096" spans="1:2">
      <c r="A1096" s="18">
        <v>90025</v>
      </c>
      <c r="B1096" s="17" t="s">
        <v>184</v>
      </c>
    </row>
    <row r="1097" spans="1:2">
      <c r="A1097" s="18">
        <v>90024</v>
      </c>
      <c r="B1097" s="17" t="s">
        <v>184</v>
      </c>
    </row>
    <row r="1098" spans="1:2">
      <c r="A1098" s="18">
        <v>91202</v>
      </c>
      <c r="B1098" s="17" t="s">
        <v>184</v>
      </c>
    </row>
    <row r="1099" spans="1:2">
      <c r="A1099" s="18">
        <v>91206</v>
      </c>
      <c r="B1099" s="17" t="s">
        <v>184</v>
      </c>
    </row>
    <row r="1100" spans="1:2">
      <c r="A1100" s="18">
        <v>91201</v>
      </c>
      <c r="B1100" s="17" t="s">
        <v>184</v>
      </c>
    </row>
    <row r="1101" spans="1:2">
      <c r="A1101" s="18">
        <v>91203</v>
      </c>
      <c r="B1101" s="17" t="s">
        <v>184</v>
      </c>
    </row>
    <row r="1102" spans="1:2">
      <c r="A1102" s="18">
        <v>89179</v>
      </c>
      <c r="B1102" s="17" t="s">
        <v>184</v>
      </c>
    </row>
    <row r="1103" spans="1:2">
      <c r="A1103" s="18">
        <v>89156</v>
      </c>
      <c r="B1103" s="17" t="s">
        <v>171</v>
      </c>
    </row>
    <row r="1104" spans="1:2">
      <c r="A1104" s="18">
        <v>89135</v>
      </c>
      <c r="B1104" s="17" t="s">
        <v>171</v>
      </c>
    </row>
    <row r="1105" spans="1:2">
      <c r="A1105" s="18">
        <v>89044</v>
      </c>
      <c r="B1105" s="17" t="s">
        <v>171</v>
      </c>
    </row>
    <row r="1106" spans="1:2">
      <c r="A1106" s="18">
        <v>85395</v>
      </c>
      <c r="B1106" s="17" t="s">
        <v>171</v>
      </c>
    </row>
    <row r="1107" spans="1:2">
      <c r="A1107" s="18">
        <v>85382</v>
      </c>
      <c r="B1107" s="17" t="s">
        <v>171</v>
      </c>
    </row>
    <row r="1108" spans="1:2">
      <c r="A1108" s="18">
        <v>85310</v>
      </c>
      <c r="B1108" s="17" t="s">
        <v>171</v>
      </c>
    </row>
    <row r="1109" spans="1:2">
      <c r="A1109" s="18">
        <v>85308</v>
      </c>
      <c r="B1109" s="17" t="s">
        <v>171</v>
      </c>
    </row>
    <row r="1110" spans="1:2">
      <c r="A1110" s="18">
        <v>85281</v>
      </c>
      <c r="B1110" s="17" t="s">
        <v>171</v>
      </c>
    </row>
    <row r="1111" spans="1:2">
      <c r="A1111" s="18">
        <v>85226</v>
      </c>
      <c r="B1111" s="17" t="s">
        <v>171</v>
      </c>
    </row>
    <row r="1112" spans="1:2">
      <c r="A1112" s="18">
        <v>85215</v>
      </c>
      <c r="B1112" s="17" t="s">
        <v>184</v>
      </c>
    </row>
    <row r="1113" spans="1:2">
      <c r="A1113" s="18">
        <v>85213</v>
      </c>
      <c r="B1113" s="17" t="s">
        <v>171</v>
      </c>
    </row>
    <row r="1114" spans="1:2">
      <c r="A1114" s="18">
        <v>85207</v>
      </c>
      <c r="B1114" s="17" t="s">
        <v>171</v>
      </c>
    </row>
    <row r="1115" spans="1:2">
      <c r="A1115" s="18">
        <v>85205</v>
      </c>
      <c r="B1115" s="17" t="s">
        <v>171</v>
      </c>
    </row>
    <row r="1116" spans="1:2">
      <c r="A1116" s="18">
        <v>85203</v>
      </c>
      <c r="B1116" s="17" t="s">
        <v>171</v>
      </c>
    </row>
    <row r="1117" spans="1:2">
      <c r="A1117" s="18">
        <v>85083</v>
      </c>
      <c r="B1117" s="17" t="s">
        <v>184</v>
      </c>
    </row>
    <row r="1118" spans="1:2">
      <c r="A1118" s="18">
        <v>85054</v>
      </c>
      <c r="B1118" s="17" t="s">
        <v>184</v>
      </c>
    </row>
    <row r="1119" spans="1:2">
      <c r="A1119" s="18">
        <v>85053</v>
      </c>
      <c r="B1119" s="17" t="s">
        <v>171</v>
      </c>
    </row>
    <row r="1120" spans="1:2">
      <c r="A1120" s="18">
        <v>85051</v>
      </c>
      <c r="B1120" s="17" t="s">
        <v>171</v>
      </c>
    </row>
    <row r="1121" spans="1:2">
      <c r="A1121" s="18">
        <v>85050</v>
      </c>
      <c r="B1121" s="17" t="s">
        <v>184</v>
      </c>
    </row>
    <row r="1122" spans="1:2">
      <c r="A1122" s="18">
        <v>85048</v>
      </c>
      <c r="B1122" s="17" t="s">
        <v>171</v>
      </c>
    </row>
    <row r="1123" spans="1:2">
      <c r="A1123" s="18">
        <v>85045</v>
      </c>
      <c r="B1123" s="17" t="s">
        <v>184</v>
      </c>
    </row>
    <row r="1124" spans="1:2">
      <c r="A1124" s="18">
        <v>85029</v>
      </c>
      <c r="B1124" s="17" t="s">
        <v>171</v>
      </c>
    </row>
    <row r="1125" spans="1:2">
      <c r="A1125" s="18">
        <v>85028</v>
      </c>
      <c r="B1125" s="17" t="s">
        <v>171</v>
      </c>
    </row>
    <row r="1126" spans="1:2">
      <c r="A1126" s="18">
        <v>85027</v>
      </c>
      <c r="B1126" s="17" t="s">
        <v>184</v>
      </c>
    </row>
    <row r="1127" spans="1:2">
      <c r="A1127" s="18">
        <v>85024</v>
      </c>
      <c r="B1127" s="17" t="s">
        <v>184</v>
      </c>
    </row>
    <row r="1128" spans="1:2">
      <c r="A1128" s="18">
        <v>85023</v>
      </c>
      <c r="B1128" s="17" t="s">
        <v>171</v>
      </c>
    </row>
    <row r="1129" spans="1:2">
      <c r="A1129" s="18">
        <v>85022</v>
      </c>
      <c r="B1129" s="17" t="s">
        <v>171</v>
      </c>
    </row>
    <row r="1130" spans="1:2">
      <c r="A1130" s="18">
        <v>85021</v>
      </c>
      <c r="B1130" s="17" t="s">
        <v>171</v>
      </c>
    </row>
    <row r="1131" spans="1:2">
      <c r="A1131" s="18">
        <v>85020</v>
      </c>
      <c r="B1131" s="17" t="s">
        <v>171</v>
      </c>
    </row>
    <row r="1132" spans="1:2">
      <c r="A1132" s="18">
        <v>85019</v>
      </c>
      <c r="B1132" s="17" t="s">
        <v>184</v>
      </c>
    </row>
    <row r="1133" spans="1:2">
      <c r="A1133" s="18">
        <v>85017</v>
      </c>
      <c r="B1133" s="17" t="s">
        <v>171</v>
      </c>
    </row>
    <row r="1134" spans="1:2">
      <c r="A1134" s="18">
        <v>85015</v>
      </c>
      <c r="B1134" s="17" t="s">
        <v>171</v>
      </c>
    </row>
    <row r="1135" spans="1:2">
      <c r="A1135" s="18">
        <v>85014</v>
      </c>
      <c r="B1135" s="17" t="s">
        <v>171</v>
      </c>
    </row>
    <row r="1136" spans="1:2">
      <c r="A1136" s="18">
        <v>85013</v>
      </c>
      <c r="B1136" s="17" t="s">
        <v>171</v>
      </c>
    </row>
    <row r="1137" spans="1:2">
      <c r="A1137" s="18">
        <v>85012</v>
      </c>
      <c r="B1137" s="17" t="s">
        <v>184</v>
      </c>
    </row>
    <row r="1138" spans="1:2">
      <c r="A1138" s="18"/>
      <c r="B1138" s="17"/>
    </row>
    <row r="1139" spans="1:2">
      <c r="A1139" s="18"/>
      <c r="B1139" s="17"/>
    </row>
    <row r="1140" spans="1:2">
      <c r="A1140" s="18"/>
      <c r="B1140" s="17"/>
    </row>
    <row r="1141" spans="1:2">
      <c r="A1141" s="18"/>
      <c r="B1141" s="17"/>
    </row>
    <row r="1142" spans="1:2">
      <c r="A1142" s="18"/>
      <c r="B1142" s="17"/>
    </row>
    <row r="1143" spans="1:2">
      <c r="A1143" s="18"/>
      <c r="B1143" s="17"/>
    </row>
    <row r="1144" spans="1:2">
      <c r="A1144" s="18"/>
      <c r="B1144" s="17"/>
    </row>
    <row r="1145" spans="1:2">
      <c r="A1145" s="18"/>
      <c r="B1145" s="17"/>
    </row>
    <row r="1146" spans="1:2">
      <c r="A1146" s="18"/>
      <c r="B1146" s="17"/>
    </row>
    <row r="1147" spans="1:2">
      <c r="A1147" s="18"/>
      <c r="B1147" s="17"/>
    </row>
    <row r="1148" spans="1:2">
      <c r="A1148" s="18"/>
      <c r="B1148" s="17"/>
    </row>
    <row r="1149" spans="1:2">
      <c r="A1149" s="18"/>
      <c r="B1149" s="17"/>
    </row>
    <row r="1150" spans="1:2">
      <c r="A1150" s="18"/>
      <c r="B1150" s="17"/>
    </row>
    <row r="1151" spans="1:2">
      <c r="A1151" s="18"/>
      <c r="B1151" s="17"/>
    </row>
    <row r="1152" spans="1:2">
      <c r="A1152" s="18"/>
      <c r="B1152" s="17"/>
    </row>
    <row r="1153" spans="1:2">
      <c r="A1153" s="18"/>
      <c r="B1153" s="17"/>
    </row>
    <row r="1154" spans="1:2">
      <c r="A1154" s="18"/>
      <c r="B1154" s="17"/>
    </row>
    <row r="1155" spans="1:2">
      <c r="A1155" s="18"/>
      <c r="B1155" s="17"/>
    </row>
    <row r="1156" spans="1:2">
      <c r="A1156" s="18"/>
      <c r="B1156" s="17"/>
    </row>
    <row r="1157" spans="1:2">
      <c r="A1157" s="18"/>
      <c r="B1157" s="17"/>
    </row>
    <row r="1158" spans="1:2">
      <c r="A1158" s="18"/>
      <c r="B1158" s="17"/>
    </row>
    <row r="1159" spans="1:2">
      <c r="A1159" s="18"/>
      <c r="B1159" s="17"/>
    </row>
    <row r="1160" spans="1:2">
      <c r="A1160" s="18"/>
      <c r="B1160" s="17"/>
    </row>
    <row r="1161" spans="1:2">
      <c r="A1161" s="18"/>
      <c r="B1161" s="17"/>
    </row>
    <row r="1162" spans="1:2">
      <c r="A1162" s="18"/>
      <c r="B1162" s="17"/>
    </row>
    <row r="1163" spans="1:2">
      <c r="A1163" s="18"/>
      <c r="B1163" s="17"/>
    </row>
    <row r="1164" spans="1:2">
      <c r="A1164" s="18"/>
      <c r="B1164" s="17"/>
    </row>
    <row r="1165" spans="1:2">
      <c r="A1165" s="18"/>
      <c r="B1165" s="17"/>
    </row>
    <row r="1166" spans="1:2">
      <c r="A1166" s="18"/>
      <c r="B1166" s="17"/>
    </row>
    <row r="1167" spans="1:2">
      <c r="A1167" s="18"/>
      <c r="B1167" s="17"/>
    </row>
    <row r="1168" spans="1:2">
      <c r="A1168" s="18"/>
      <c r="B1168" s="17"/>
    </row>
    <row r="1169" spans="1:2">
      <c r="A1169" s="18"/>
      <c r="B1169" s="17"/>
    </row>
    <row r="1170" spans="1:2">
      <c r="A1170" s="18"/>
      <c r="B1170" s="17"/>
    </row>
    <row r="1171" spans="1:2">
      <c r="A1171" s="18"/>
      <c r="B1171" s="17"/>
    </row>
    <row r="1172" spans="1:2">
      <c r="A1172" s="18"/>
      <c r="B1172" s="17"/>
    </row>
    <row r="1173" spans="1:2">
      <c r="A1173" s="18"/>
      <c r="B1173" s="17"/>
    </row>
    <row r="1174" spans="1:2">
      <c r="A1174" s="18"/>
      <c r="B1174" s="17"/>
    </row>
    <row r="1175" spans="1:2">
      <c r="A1175" s="18"/>
      <c r="B1175" s="17"/>
    </row>
    <row r="1176" spans="1:2">
      <c r="A1176" s="18"/>
      <c r="B1176" s="17"/>
    </row>
    <row r="1177" spans="1:2">
      <c r="A1177" s="18"/>
      <c r="B1177" s="17"/>
    </row>
    <row r="1178" spans="1:2">
      <c r="A1178" s="18"/>
      <c r="B1178" s="17"/>
    </row>
    <row r="1179" spans="1:2">
      <c r="A1179" s="18"/>
      <c r="B1179" s="17"/>
    </row>
    <row r="1180" spans="1:2">
      <c r="A1180" s="18"/>
      <c r="B1180" s="17"/>
    </row>
    <row r="1181" spans="1:2">
      <c r="A1181" s="18"/>
      <c r="B1181" s="17"/>
    </row>
    <row r="1182" spans="1:2">
      <c r="A1182" s="18"/>
      <c r="B1182" s="17"/>
    </row>
    <row r="1183" spans="1:2">
      <c r="A1183" s="18"/>
      <c r="B1183" s="17"/>
    </row>
    <row r="1184" spans="1:2">
      <c r="A1184" s="18"/>
      <c r="B1184" s="17"/>
    </row>
    <row r="1185" spans="1:2">
      <c r="A1185" s="18"/>
      <c r="B1185" s="17"/>
    </row>
    <row r="1186" spans="1:2">
      <c r="A1186" s="18"/>
      <c r="B1186" s="17"/>
    </row>
    <row r="1187" spans="1:2">
      <c r="A1187" s="18"/>
      <c r="B1187" s="17"/>
    </row>
    <row r="1188" spans="1:2">
      <c r="A1188" s="18"/>
      <c r="B1188" s="17"/>
    </row>
    <row r="1189" spans="1:2">
      <c r="A1189" s="18"/>
      <c r="B1189" s="17"/>
    </row>
    <row r="1190" spans="1:2">
      <c r="A1190" s="18"/>
      <c r="B1190" s="17"/>
    </row>
    <row r="1191" spans="1:2">
      <c r="A1191" s="18"/>
      <c r="B1191" s="17"/>
    </row>
    <row r="1192" spans="1:2">
      <c r="A1192" s="18"/>
      <c r="B1192" s="17"/>
    </row>
    <row r="1193" spans="1:2">
      <c r="A1193" s="18"/>
      <c r="B1193" s="17"/>
    </row>
    <row r="1194" spans="1:2">
      <c r="A1194" s="18"/>
      <c r="B1194" s="17"/>
    </row>
    <row r="1195" spans="1:2">
      <c r="A1195" s="18"/>
      <c r="B1195" s="17"/>
    </row>
    <row r="1196" spans="1:2">
      <c r="A1196" s="18"/>
      <c r="B1196" s="17"/>
    </row>
    <row r="1197" spans="1:2">
      <c r="A1197" s="18"/>
      <c r="B1197" s="17"/>
    </row>
    <row r="1198" spans="1:2">
      <c r="A1198" s="18"/>
      <c r="B1198" s="17"/>
    </row>
    <row r="1199" spans="1:2">
      <c r="A1199" s="18"/>
      <c r="B1199" s="17"/>
    </row>
    <row r="1200" spans="1:2">
      <c r="A1200" s="18"/>
      <c r="B1200" s="17"/>
    </row>
    <row r="1201" spans="1:2">
      <c r="A1201" s="18"/>
      <c r="B1201" s="17"/>
    </row>
    <row r="1202" spans="1:2">
      <c r="A1202" s="18"/>
      <c r="B1202" s="17"/>
    </row>
    <row r="1203" spans="1:2">
      <c r="A1203" s="18"/>
      <c r="B1203" s="17"/>
    </row>
    <row r="1204" spans="1:2">
      <c r="A1204" s="18"/>
      <c r="B1204" s="17"/>
    </row>
    <row r="1205" spans="1:2">
      <c r="A1205" s="18"/>
      <c r="B1205" s="17"/>
    </row>
    <row r="1206" spans="1:2">
      <c r="A1206" s="18"/>
      <c r="B1206" s="17"/>
    </row>
    <row r="1207" spans="1:2">
      <c r="A1207" s="18"/>
      <c r="B1207" s="17"/>
    </row>
    <row r="1208" spans="1:2">
      <c r="A1208" s="18"/>
      <c r="B1208" s="17"/>
    </row>
    <row r="1209" spans="1:2">
      <c r="A1209" s="18"/>
      <c r="B1209" s="17"/>
    </row>
    <row r="1210" spans="1:2">
      <c r="A1210" s="18"/>
      <c r="B1210" s="17"/>
    </row>
    <row r="1211" spans="1:2">
      <c r="A1211" s="18"/>
      <c r="B1211" s="17"/>
    </row>
    <row r="1212" spans="1:2">
      <c r="A1212" s="18"/>
      <c r="B1212" s="17"/>
    </row>
    <row r="1213" spans="1:2">
      <c r="A1213" s="18"/>
      <c r="B1213" s="17"/>
    </row>
    <row r="1214" spans="1:2">
      <c r="A1214" s="18"/>
      <c r="B1214" s="17"/>
    </row>
    <row r="1215" spans="1:2">
      <c r="A1215" s="18"/>
      <c r="B1215" s="17"/>
    </row>
    <row r="1216" spans="1:2">
      <c r="A1216" s="18"/>
      <c r="B1216" s="17"/>
    </row>
    <row r="1217" spans="1:2">
      <c r="A1217" s="18"/>
      <c r="B1217" s="17"/>
    </row>
    <row r="1218" spans="1:2">
      <c r="A1218" s="18"/>
      <c r="B1218" s="17"/>
    </row>
    <row r="1219" spans="1:2">
      <c r="A1219" s="18"/>
      <c r="B1219" s="17"/>
    </row>
    <row r="1220" spans="1:2">
      <c r="A1220" s="18"/>
      <c r="B1220" s="17"/>
    </row>
    <row r="1221" spans="1:2">
      <c r="A1221" s="18"/>
      <c r="B1221" s="17"/>
    </row>
    <row r="1222" spans="1:2">
      <c r="A1222" s="18"/>
      <c r="B1222" s="17"/>
    </row>
    <row r="1223" spans="1:2">
      <c r="A1223" s="18"/>
      <c r="B1223" s="17"/>
    </row>
    <row r="1224" spans="1:2">
      <c r="A1224" s="18"/>
      <c r="B1224" s="17"/>
    </row>
    <row r="1225" spans="1:2">
      <c r="A1225" s="18"/>
      <c r="B1225" s="17"/>
    </row>
    <row r="1226" spans="1:2">
      <c r="A1226" s="18"/>
      <c r="B1226" s="17"/>
    </row>
    <row r="1227" spans="1:2">
      <c r="A1227" s="18"/>
      <c r="B1227" s="17"/>
    </row>
    <row r="1228" spans="1:2">
      <c r="A1228" s="18"/>
      <c r="B1228" s="17"/>
    </row>
    <row r="1229" spans="1:2">
      <c r="A1229" s="18"/>
      <c r="B1229" s="17"/>
    </row>
    <row r="1230" spans="1:2">
      <c r="A1230" s="18"/>
      <c r="B1230" s="17"/>
    </row>
    <row r="1231" spans="1:2">
      <c r="A1231" s="18"/>
      <c r="B1231" s="17"/>
    </row>
    <row r="1232" spans="1:2">
      <c r="A1232" s="18"/>
      <c r="B1232" s="17"/>
    </row>
    <row r="1233" spans="1:2">
      <c r="A1233" s="18"/>
      <c r="B1233" s="17"/>
    </row>
    <row r="1234" spans="1:2">
      <c r="A1234" s="18"/>
      <c r="B1234" s="17"/>
    </row>
    <row r="1235" spans="1:2">
      <c r="A1235" s="18"/>
      <c r="B1235" s="17"/>
    </row>
    <row r="1236" spans="1:2">
      <c r="A1236" s="18"/>
      <c r="B1236" s="17"/>
    </row>
    <row r="1237" spans="1:2">
      <c r="A1237" s="18"/>
      <c r="B1237" s="17"/>
    </row>
    <row r="1238" spans="1:2">
      <c r="A1238" s="18"/>
      <c r="B1238" s="17"/>
    </row>
    <row r="1239" spans="1:2">
      <c r="A1239" s="18"/>
      <c r="B1239" s="17"/>
    </row>
    <row r="1240" spans="1:2">
      <c r="A1240" s="18"/>
      <c r="B1240" s="17"/>
    </row>
    <row r="1241" spans="1:2">
      <c r="A1241" s="18"/>
      <c r="B1241" s="17"/>
    </row>
    <row r="1242" spans="1:2">
      <c r="A1242" s="18"/>
      <c r="B1242" s="17"/>
    </row>
    <row r="1243" spans="1:2">
      <c r="A1243" s="18"/>
      <c r="B1243" s="17"/>
    </row>
    <row r="1244" spans="1:2">
      <c r="A1244" s="18"/>
      <c r="B1244" s="17"/>
    </row>
    <row r="1245" spans="1:2">
      <c r="A1245" s="18"/>
      <c r="B1245" s="17"/>
    </row>
    <row r="1246" spans="1:2">
      <c r="A1246" s="18"/>
      <c r="B1246" s="17"/>
    </row>
    <row r="1247" spans="1:2">
      <c r="A1247" s="18"/>
      <c r="B1247" s="17"/>
    </row>
    <row r="1248" spans="1:2">
      <c r="A1248" s="18"/>
      <c r="B1248" s="17"/>
    </row>
    <row r="1249" spans="1:2">
      <c r="A1249" s="18"/>
      <c r="B1249" s="17"/>
    </row>
    <row r="1250" spans="1:2">
      <c r="A1250" s="18"/>
      <c r="B1250" s="17"/>
    </row>
    <row r="1251" spans="1:2">
      <c r="A1251" s="18"/>
      <c r="B1251" s="17"/>
    </row>
    <row r="1252" spans="1:2">
      <c r="A1252" s="18"/>
      <c r="B1252" s="17"/>
    </row>
    <row r="1253" spans="1:2">
      <c r="A1253" s="18"/>
      <c r="B1253" s="17"/>
    </row>
    <row r="1254" spans="1:2">
      <c r="A1254" s="18"/>
      <c r="B1254" s="17"/>
    </row>
    <row r="1255" spans="1:2">
      <c r="A1255" s="18"/>
      <c r="B1255" s="17"/>
    </row>
    <row r="1256" spans="1:2">
      <c r="A1256" s="18"/>
      <c r="B1256" s="17"/>
    </row>
    <row r="1257" spans="1:2">
      <c r="A1257" s="18"/>
      <c r="B1257" s="17"/>
    </row>
    <row r="1258" spans="1:2">
      <c r="A1258" s="18"/>
      <c r="B1258" s="17"/>
    </row>
    <row r="1259" spans="1:2">
      <c r="A1259" s="18"/>
      <c r="B1259" s="17"/>
    </row>
    <row r="1260" spans="1:2">
      <c r="A1260" s="18"/>
      <c r="B1260" s="17"/>
    </row>
    <row r="1261" spans="1:2">
      <c r="A1261" s="18"/>
      <c r="B1261" s="17"/>
    </row>
    <row r="1262" spans="1:2">
      <c r="A1262" s="18"/>
      <c r="B1262" s="17"/>
    </row>
    <row r="1263" spans="1:2">
      <c r="A1263" s="18"/>
      <c r="B1263" s="17"/>
    </row>
    <row r="1264" spans="1:2">
      <c r="A1264" s="18"/>
      <c r="B1264" s="17"/>
    </row>
    <row r="1265" spans="1:2">
      <c r="A1265" s="18"/>
      <c r="B1265" s="17"/>
    </row>
    <row r="1266" spans="1:2">
      <c r="A1266" s="18"/>
      <c r="B1266" s="17"/>
    </row>
    <row r="1267" spans="1:2">
      <c r="A1267" s="18"/>
      <c r="B1267" s="17"/>
    </row>
    <row r="1268" spans="1:2">
      <c r="A1268" s="18"/>
      <c r="B1268" s="17"/>
    </row>
    <row r="1269" spans="1:2">
      <c r="A1269" s="18"/>
      <c r="B1269" s="17"/>
    </row>
    <row r="1270" spans="1:2">
      <c r="A1270" s="18"/>
      <c r="B1270" s="17"/>
    </row>
    <row r="1271" spans="1:2">
      <c r="A1271" s="18"/>
      <c r="B1271" s="17"/>
    </row>
    <row r="1272" spans="1:2">
      <c r="A1272" s="18"/>
      <c r="B1272" s="17"/>
    </row>
    <row r="1273" spans="1:2">
      <c r="A1273" s="18"/>
      <c r="B1273" s="17"/>
    </row>
    <row r="1274" spans="1:2">
      <c r="A1274" s="18"/>
      <c r="B1274" s="17"/>
    </row>
    <row r="1275" spans="1:2">
      <c r="A1275" s="18"/>
      <c r="B1275" s="17"/>
    </row>
    <row r="1276" spans="1:2">
      <c r="A1276" s="18"/>
      <c r="B1276" s="17"/>
    </row>
    <row r="1277" spans="1:2">
      <c r="A1277" s="18"/>
      <c r="B1277" s="17"/>
    </row>
    <row r="1278" spans="1:2">
      <c r="A1278" s="18"/>
      <c r="B1278" s="17"/>
    </row>
    <row r="1279" spans="1:2">
      <c r="A1279" s="18"/>
      <c r="B1279" s="17"/>
    </row>
    <row r="1280" spans="1:2">
      <c r="A1280" s="18"/>
      <c r="B1280" s="17"/>
    </row>
    <row r="1281" spans="1:2">
      <c r="A1281" s="18"/>
      <c r="B1281" s="17"/>
    </row>
    <row r="1282" spans="1:2">
      <c r="A1282" s="18"/>
      <c r="B1282" s="17"/>
    </row>
    <row r="1283" spans="1:2">
      <c r="A1283" s="18"/>
      <c r="B1283" s="17"/>
    </row>
    <row r="1284" spans="1:2">
      <c r="A1284" s="18"/>
      <c r="B1284" s="17"/>
    </row>
    <row r="1285" spans="1:2">
      <c r="A1285" s="18"/>
      <c r="B1285" s="17"/>
    </row>
    <row r="1286" spans="1:2">
      <c r="A1286" s="18"/>
      <c r="B1286" s="17"/>
    </row>
    <row r="1287" spans="1:2">
      <c r="A1287" s="18"/>
      <c r="B1287" s="17"/>
    </row>
    <row r="1288" spans="1:2">
      <c r="A1288" s="18"/>
      <c r="B1288" s="17"/>
    </row>
    <row r="1289" spans="1:2">
      <c r="A1289" s="18"/>
      <c r="B1289" s="17"/>
    </row>
    <row r="1290" spans="1:2">
      <c r="A1290" s="18"/>
      <c r="B1290" s="17"/>
    </row>
    <row r="1291" spans="1:2">
      <c r="A1291" s="18"/>
      <c r="B1291" s="17"/>
    </row>
    <row r="1292" spans="1:2">
      <c r="A1292" s="18"/>
      <c r="B1292" s="17"/>
    </row>
    <row r="1293" spans="1:2">
      <c r="A1293" s="18"/>
      <c r="B1293" s="17"/>
    </row>
    <row r="1294" spans="1:2">
      <c r="A1294" s="18"/>
      <c r="B1294" s="17"/>
    </row>
    <row r="1295" spans="1:2">
      <c r="A1295" s="18"/>
      <c r="B1295" s="17"/>
    </row>
    <row r="1296" spans="1:2">
      <c r="A1296" s="18"/>
      <c r="B1296" s="17"/>
    </row>
    <row r="1297" spans="1:2">
      <c r="A1297" s="18"/>
      <c r="B1297" s="17"/>
    </row>
    <row r="1298" spans="1:2">
      <c r="A1298" s="18"/>
      <c r="B1298" s="17"/>
    </row>
    <row r="1299" spans="1:2">
      <c r="A1299" s="18"/>
      <c r="B1299" s="17"/>
    </row>
    <row r="1300" spans="1:2">
      <c r="A1300" s="18"/>
      <c r="B1300" s="17"/>
    </row>
    <row r="1301" spans="1:2">
      <c r="A1301" s="18"/>
      <c r="B1301" s="17"/>
    </row>
    <row r="1302" spans="1:2">
      <c r="A1302" s="18"/>
      <c r="B1302" s="17"/>
    </row>
    <row r="1303" spans="1:2">
      <c r="A1303" s="18"/>
      <c r="B1303" s="17"/>
    </row>
    <row r="1304" spans="1:2">
      <c r="A1304" s="18"/>
      <c r="B1304" s="17"/>
    </row>
  </sheetData>
  <autoFilter ref="A1:B1137" xr:uid="{500AE988-15BF-44C0-8755-0A111BB787E7}"/>
  <conditionalFormatting sqref="A1:A1048576">
    <cfRule type="duplicateValues" dxfId="1" priority="7"/>
  </conditionalFormatting>
  <conditionalFormatting sqref="A1:A1048576">
    <cfRule type="duplicateValues" dxfId="0" priority="8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854FB-BCD5-485A-BECC-C6C176D0D0A5}">
  <dimension ref="A1:B4481"/>
  <sheetViews>
    <sheetView workbookViewId="0">
      <selection sqref="A1:A1048576"/>
    </sheetView>
  </sheetViews>
  <sheetFormatPr defaultRowHeight="15.5"/>
  <sheetData>
    <row r="1" spans="1:2">
      <c r="A1" t="s">
        <v>196</v>
      </c>
      <c r="B1" t="s">
        <v>197</v>
      </c>
    </row>
    <row r="2" spans="1:2">
      <c r="A2">
        <v>90250</v>
      </c>
      <c r="B2" t="s">
        <v>198</v>
      </c>
    </row>
    <row r="3" spans="1:2">
      <c r="A3">
        <v>90650</v>
      </c>
      <c r="B3" t="s">
        <v>198</v>
      </c>
    </row>
    <row r="4" spans="1:2">
      <c r="A4">
        <v>90731</v>
      </c>
      <c r="B4" t="s">
        <v>198</v>
      </c>
    </row>
    <row r="5" spans="1:2">
      <c r="A5">
        <v>91331</v>
      </c>
      <c r="B5" t="s">
        <v>198</v>
      </c>
    </row>
    <row r="6" spans="1:2">
      <c r="A6">
        <v>90280</v>
      </c>
      <c r="B6" t="s">
        <v>198</v>
      </c>
    </row>
    <row r="7" spans="1:2">
      <c r="A7">
        <v>90706</v>
      </c>
      <c r="B7" t="s">
        <v>198</v>
      </c>
    </row>
    <row r="8" spans="1:2">
      <c r="A8">
        <v>90046</v>
      </c>
      <c r="B8" t="s">
        <v>198</v>
      </c>
    </row>
    <row r="9" spans="1:2">
      <c r="A9">
        <v>91744</v>
      </c>
      <c r="B9" t="s">
        <v>198</v>
      </c>
    </row>
    <row r="10" spans="1:2">
      <c r="A10">
        <v>91406</v>
      </c>
      <c r="B10" t="s">
        <v>198</v>
      </c>
    </row>
    <row r="11" spans="1:2">
      <c r="A11">
        <v>90026</v>
      </c>
      <c r="B11" t="s">
        <v>198</v>
      </c>
    </row>
    <row r="12" spans="1:2">
      <c r="A12">
        <v>90660</v>
      </c>
      <c r="B12" t="s">
        <v>198</v>
      </c>
    </row>
    <row r="13" spans="1:2">
      <c r="A13">
        <v>90004</v>
      </c>
      <c r="B13" t="s">
        <v>198</v>
      </c>
    </row>
    <row r="14" spans="1:2">
      <c r="A14">
        <v>90066</v>
      </c>
      <c r="B14" t="s">
        <v>198</v>
      </c>
    </row>
    <row r="15" spans="1:2">
      <c r="A15">
        <v>90044</v>
      </c>
      <c r="B15" t="s">
        <v>198</v>
      </c>
    </row>
    <row r="16" spans="1:2">
      <c r="A16">
        <v>90011</v>
      </c>
      <c r="B16" t="s">
        <v>198</v>
      </c>
    </row>
    <row r="17" spans="1:2">
      <c r="A17">
        <v>90201</v>
      </c>
      <c r="B17" t="s">
        <v>198</v>
      </c>
    </row>
    <row r="18" spans="1:2">
      <c r="A18">
        <v>91335</v>
      </c>
      <c r="B18" t="s">
        <v>198</v>
      </c>
    </row>
    <row r="19" spans="1:2">
      <c r="A19">
        <v>90019</v>
      </c>
      <c r="B19" t="s">
        <v>198</v>
      </c>
    </row>
    <row r="20" spans="1:2">
      <c r="A20">
        <v>91405</v>
      </c>
      <c r="B20" t="s">
        <v>198</v>
      </c>
    </row>
    <row r="21" spans="1:2">
      <c r="A21">
        <v>90503</v>
      </c>
      <c r="B21" t="s">
        <v>198</v>
      </c>
    </row>
    <row r="22" spans="1:2">
      <c r="A22">
        <v>91343</v>
      </c>
      <c r="B22" t="s">
        <v>198</v>
      </c>
    </row>
    <row r="23" spans="1:2">
      <c r="A23">
        <v>91367</v>
      </c>
      <c r="B23" t="s">
        <v>198</v>
      </c>
    </row>
    <row r="24" spans="1:2">
      <c r="A24">
        <v>90045</v>
      </c>
      <c r="B24" t="s">
        <v>198</v>
      </c>
    </row>
    <row r="25" spans="1:2">
      <c r="A25">
        <v>91745</v>
      </c>
      <c r="B25" t="s">
        <v>198</v>
      </c>
    </row>
    <row r="26" spans="1:2">
      <c r="A26">
        <v>91801</v>
      </c>
      <c r="B26" t="s">
        <v>198</v>
      </c>
    </row>
    <row r="27" spans="1:2">
      <c r="A27">
        <v>91016</v>
      </c>
      <c r="B27" t="s">
        <v>198</v>
      </c>
    </row>
    <row r="28" spans="1:2">
      <c r="A28">
        <v>91706</v>
      </c>
      <c r="B28" t="s">
        <v>198</v>
      </c>
    </row>
    <row r="29" spans="1:2">
      <c r="A29">
        <v>90745</v>
      </c>
      <c r="B29" t="s">
        <v>198</v>
      </c>
    </row>
    <row r="30" spans="1:2">
      <c r="A30">
        <v>90640</v>
      </c>
      <c r="B30" t="s">
        <v>198</v>
      </c>
    </row>
    <row r="31" spans="1:2">
      <c r="A31">
        <v>91402</v>
      </c>
      <c r="B31" t="s">
        <v>198</v>
      </c>
    </row>
    <row r="32" spans="1:2">
      <c r="A32">
        <v>91605</v>
      </c>
      <c r="B32" t="s">
        <v>198</v>
      </c>
    </row>
    <row r="33" spans="1:2">
      <c r="A33">
        <v>90047</v>
      </c>
      <c r="B33" t="s">
        <v>198</v>
      </c>
    </row>
    <row r="34" spans="1:2">
      <c r="A34">
        <v>91505</v>
      </c>
      <c r="B34" t="s">
        <v>198</v>
      </c>
    </row>
    <row r="35" spans="1:2">
      <c r="A35">
        <v>90638</v>
      </c>
      <c r="B35" t="s">
        <v>198</v>
      </c>
    </row>
    <row r="36" spans="1:2">
      <c r="A36">
        <v>91766</v>
      </c>
      <c r="B36" t="s">
        <v>198</v>
      </c>
    </row>
    <row r="37" spans="1:2">
      <c r="A37">
        <v>90703</v>
      </c>
      <c r="B37" t="s">
        <v>198</v>
      </c>
    </row>
    <row r="38" spans="1:2">
      <c r="A38">
        <v>90024</v>
      </c>
      <c r="B38" t="s">
        <v>198</v>
      </c>
    </row>
    <row r="39" spans="1:2">
      <c r="A39">
        <v>90042</v>
      </c>
      <c r="B39" t="s">
        <v>198</v>
      </c>
    </row>
    <row r="40" spans="1:2">
      <c r="A40">
        <v>91344</v>
      </c>
      <c r="B40" t="s">
        <v>198</v>
      </c>
    </row>
    <row r="41" spans="1:2">
      <c r="A41">
        <v>90292</v>
      </c>
      <c r="B41" t="s">
        <v>198</v>
      </c>
    </row>
    <row r="42" spans="1:2">
      <c r="A42">
        <v>90034</v>
      </c>
      <c r="B42" t="s">
        <v>198</v>
      </c>
    </row>
    <row r="43" spans="1:2">
      <c r="A43">
        <v>90275</v>
      </c>
      <c r="B43" t="s">
        <v>198</v>
      </c>
    </row>
    <row r="44" spans="1:2">
      <c r="A44">
        <v>91765</v>
      </c>
      <c r="B44" t="s">
        <v>198</v>
      </c>
    </row>
    <row r="45" spans="1:2">
      <c r="A45">
        <v>90803</v>
      </c>
      <c r="B45" t="s">
        <v>198</v>
      </c>
    </row>
    <row r="46" spans="1:2">
      <c r="A46">
        <v>90501</v>
      </c>
      <c r="B46" t="s">
        <v>198</v>
      </c>
    </row>
    <row r="47" spans="1:2">
      <c r="A47">
        <v>91352</v>
      </c>
      <c r="B47" t="s">
        <v>198</v>
      </c>
    </row>
    <row r="48" spans="1:2">
      <c r="A48">
        <v>91423</v>
      </c>
      <c r="B48" t="s">
        <v>198</v>
      </c>
    </row>
    <row r="49" spans="1:2">
      <c r="A49">
        <v>91306</v>
      </c>
      <c r="B49" t="s">
        <v>198</v>
      </c>
    </row>
    <row r="50" spans="1:2">
      <c r="A50">
        <v>90277</v>
      </c>
      <c r="B50" t="s">
        <v>198</v>
      </c>
    </row>
    <row r="51" spans="1:2">
      <c r="A51">
        <v>90241</v>
      </c>
      <c r="B51" t="s">
        <v>198</v>
      </c>
    </row>
    <row r="52" spans="1:2">
      <c r="A52">
        <v>91748</v>
      </c>
      <c r="B52" t="s">
        <v>198</v>
      </c>
    </row>
    <row r="53" spans="1:2">
      <c r="A53">
        <v>90022</v>
      </c>
      <c r="B53" t="s">
        <v>198</v>
      </c>
    </row>
    <row r="54" spans="1:2">
      <c r="A54">
        <v>90723</v>
      </c>
      <c r="B54" t="s">
        <v>198</v>
      </c>
    </row>
    <row r="55" spans="1:2">
      <c r="A55">
        <v>90025</v>
      </c>
      <c r="B55" t="s">
        <v>198</v>
      </c>
    </row>
    <row r="56" spans="1:2">
      <c r="A56">
        <v>90242</v>
      </c>
      <c r="B56" t="s">
        <v>198</v>
      </c>
    </row>
    <row r="57" spans="1:2">
      <c r="A57">
        <v>90028</v>
      </c>
      <c r="B57" t="s">
        <v>198</v>
      </c>
    </row>
    <row r="58" spans="1:2">
      <c r="A58">
        <v>91364</v>
      </c>
      <c r="B58" t="s">
        <v>198</v>
      </c>
    </row>
    <row r="59" spans="1:2">
      <c r="A59">
        <v>91790</v>
      </c>
      <c r="B59" t="s">
        <v>198</v>
      </c>
    </row>
    <row r="60" spans="1:2">
      <c r="A60">
        <v>91401</v>
      </c>
      <c r="B60" t="s">
        <v>198</v>
      </c>
    </row>
    <row r="61" spans="1:2">
      <c r="A61">
        <v>90016</v>
      </c>
      <c r="B61" t="s">
        <v>198</v>
      </c>
    </row>
    <row r="62" spans="1:2">
      <c r="A62">
        <v>91326</v>
      </c>
      <c r="B62" t="s">
        <v>198</v>
      </c>
    </row>
    <row r="63" spans="1:2">
      <c r="A63">
        <v>90810</v>
      </c>
      <c r="B63" t="s">
        <v>198</v>
      </c>
    </row>
    <row r="64" spans="1:2">
      <c r="A64">
        <v>90027</v>
      </c>
      <c r="B64" t="s">
        <v>198</v>
      </c>
    </row>
    <row r="65" spans="1:2">
      <c r="A65">
        <v>90003</v>
      </c>
      <c r="B65" t="s">
        <v>198</v>
      </c>
    </row>
    <row r="66" spans="1:2">
      <c r="A66">
        <v>90278</v>
      </c>
      <c r="B66" t="s">
        <v>198</v>
      </c>
    </row>
    <row r="67" spans="1:2">
      <c r="A67">
        <v>90043</v>
      </c>
      <c r="B67" t="s">
        <v>198</v>
      </c>
    </row>
    <row r="68" spans="1:2">
      <c r="A68">
        <v>90247</v>
      </c>
      <c r="B68" t="s">
        <v>198</v>
      </c>
    </row>
    <row r="69" spans="1:2">
      <c r="A69">
        <v>91504</v>
      </c>
      <c r="B69" t="s">
        <v>198</v>
      </c>
    </row>
    <row r="70" spans="1:2">
      <c r="A70">
        <v>90604</v>
      </c>
      <c r="B70" t="s">
        <v>198</v>
      </c>
    </row>
    <row r="71" spans="1:2">
      <c r="A71">
        <v>91356</v>
      </c>
      <c r="B71" t="s">
        <v>198</v>
      </c>
    </row>
    <row r="72" spans="1:2">
      <c r="A72">
        <v>91205</v>
      </c>
      <c r="B72" t="s">
        <v>198</v>
      </c>
    </row>
    <row r="73" spans="1:2">
      <c r="A73">
        <v>91316</v>
      </c>
      <c r="B73" t="s">
        <v>198</v>
      </c>
    </row>
    <row r="74" spans="1:2">
      <c r="A74">
        <v>90815</v>
      </c>
      <c r="B74" t="s">
        <v>198</v>
      </c>
    </row>
    <row r="75" spans="1:2">
      <c r="A75">
        <v>90064</v>
      </c>
      <c r="B75" t="s">
        <v>198</v>
      </c>
    </row>
    <row r="76" spans="1:2">
      <c r="A76">
        <v>90018</v>
      </c>
      <c r="B76" t="s">
        <v>198</v>
      </c>
    </row>
    <row r="77" spans="1:2">
      <c r="A77">
        <v>91607</v>
      </c>
      <c r="B77" t="s">
        <v>198</v>
      </c>
    </row>
    <row r="78" spans="1:2">
      <c r="A78">
        <v>91789</v>
      </c>
      <c r="B78" t="s">
        <v>198</v>
      </c>
    </row>
    <row r="79" spans="1:2">
      <c r="A79">
        <v>91770</v>
      </c>
      <c r="B79" t="s">
        <v>198</v>
      </c>
    </row>
    <row r="80" spans="1:2">
      <c r="A80">
        <v>90255</v>
      </c>
      <c r="B80" t="s">
        <v>198</v>
      </c>
    </row>
    <row r="81" spans="1:2">
      <c r="A81">
        <v>90035</v>
      </c>
      <c r="B81" t="s">
        <v>198</v>
      </c>
    </row>
    <row r="82" spans="1:2">
      <c r="A82">
        <v>90808</v>
      </c>
      <c r="B82" t="s">
        <v>198</v>
      </c>
    </row>
    <row r="83" spans="1:2">
      <c r="A83">
        <v>91791</v>
      </c>
      <c r="B83" t="s">
        <v>198</v>
      </c>
    </row>
    <row r="84" spans="1:2">
      <c r="A84">
        <v>90008</v>
      </c>
      <c r="B84" t="s">
        <v>198</v>
      </c>
    </row>
    <row r="85" spans="1:2">
      <c r="A85">
        <v>90605</v>
      </c>
      <c r="B85" t="s">
        <v>198</v>
      </c>
    </row>
    <row r="86" spans="1:2">
      <c r="A86">
        <v>90006</v>
      </c>
      <c r="B86" t="s">
        <v>198</v>
      </c>
    </row>
    <row r="87" spans="1:2">
      <c r="A87">
        <v>91741</v>
      </c>
      <c r="B87" t="s">
        <v>198</v>
      </c>
    </row>
    <row r="88" spans="1:2">
      <c r="A88">
        <v>91206</v>
      </c>
      <c r="B88" t="s">
        <v>198</v>
      </c>
    </row>
    <row r="89" spans="1:2">
      <c r="A89">
        <v>91340</v>
      </c>
      <c r="B89" t="s">
        <v>198</v>
      </c>
    </row>
    <row r="90" spans="1:2">
      <c r="A90">
        <v>90266</v>
      </c>
      <c r="B90" t="s">
        <v>198</v>
      </c>
    </row>
    <row r="91" spans="1:2">
      <c r="A91">
        <v>90746</v>
      </c>
      <c r="B91" t="s">
        <v>198</v>
      </c>
    </row>
    <row r="92" spans="1:2">
      <c r="A92">
        <v>91732</v>
      </c>
      <c r="B92" t="s">
        <v>198</v>
      </c>
    </row>
    <row r="93" spans="1:2">
      <c r="A93">
        <v>91007</v>
      </c>
      <c r="B93" t="s">
        <v>198</v>
      </c>
    </row>
    <row r="94" spans="1:2">
      <c r="A94">
        <v>90807</v>
      </c>
      <c r="B94" t="s">
        <v>198</v>
      </c>
    </row>
    <row r="95" spans="1:2">
      <c r="A95">
        <v>90063</v>
      </c>
      <c r="B95" t="s">
        <v>198</v>
      </c>
    </row>
    <row r="96" spans="1:2">
      <c r="A96">
        <v>90230</v>
      </c>
      <c r="B96" t="s">
        <v>198</v>
      </c>
    </row>
    <row r="97" spans="1:2">
      <c r="A97">
        <v>90065</v>
      </c>
      <c r="B97" t="s">
        <v>198</v>
      </c>
    </row>
    <row r="98" spans="1:2">
      <c r="A98">
        <v>90059</v>
      </c>
      <c r="B98" t="s">
        <v>198</v>
      </c>
    </row>
    <row r="99" spans="1:2">
      <c r="A99">
        <v>91324</v>
      </c>
      <c r="B99" t="s">
        <v>198</v>
      </c>
    </row>
    <row r="100" spans="1:2">
      <c r="A100">
        <v>91403</v>
      </c>
      <c r="B100" t="s">
        <v>198</v>
      </c>
    </row>
    <row r="101" spans="1:2">
      <c r="A101">
        <v>90504</v>
      </c>
      <c r="B101" t="s">
        <v>198</v>
      </c>
    </row>
    <row r="102" spans="1:2">
      <c r="A102">
        <v>91107</v>
      </c>
      <c r="B102" t="s">
        <v>198</v>
      </c>
    </row>
    <row r="103" spans="1:2">
      <c r="A103">
        <v>90037</v>
      </c>
      <c r="B103" t="s">
        <v>198</v>
      </c>
    </row>
    <row r="104" spans="1:2">
      <c r="A104">
        <v>90505</v>
      </c>
      <c r="B104" t="s">
        <v>198</v>
      </c>
    </row>
    <row r="105" spans="1:2">
      <c r="A105">
        <v>90291</v>
      </c>
      <c r="B105" t="s">
        <v>198</v>
      </c>
    </row>
    <row r="106" spans="1:2">
      <c r="A106">
        <v>90804</v>
      </c>
      <c r="B106" t="s">
        <v>198</v>
      </c>
    </row>
    <row r="107" spans="1:2">
      <c r="A107">
        <v>91780</v>
      </c>
      <c r="B107" t="s">
        <v>198</v>
      </c>
    </row>
    <row r="108" spans="1:2">
      <c r="A108">
        <v>91202</v>
      </c>
      <c r="B108" t="s">
        <v>198</v>
      </c>
    </row>
    <row r="109" spans="1:2">
      <c r="A109">
        <v>91767</v>
      </c>
      <c r="B109" t="s">
        <v>198</v>
      </c>
    </row>
    <row r="110" spans="1:2">
      <c r="A110">
        <v>90744</v>
      </c>
      <c r="B110" t="s">
        <v>198</v>
      </c>
    </row>
    <row r="111" spans="1:2">
      <c r="A111">
        <v>91722</v>
      </c>
      <c r="B111" t="s">
        <v>198</v>
      </c>
    </row>
    <row r="112" spans="1:2">
      <c r="A112">
        <v>90601</v>
      </c>
      <c r="B112" t="s">
        <v>198</v>
      </c>
    </row>
    <row r="113" spans="1:2">
      <c r="A113">
        <v>90032</v>
      </c>
      <c r="B113" t="s">
        <v>198</v>
      </c>
    </row>
    <row r="114" spans="1:2">
      <c r="A114">
        <v>90069</v>
      </c>
      <c r="B114" t="s">
        <v>198</v>
      </c>
    </row>
    <row r="115" spans="1:2">
      <c r="A115">
        <v>91792</v>
      </c>
      <c r="B115" t="s">
        <v>198</v>
      </c>
    </row>
    <row r="116" spans="1:2">
      <c r="A116">
        <v>90813</v>
      </c>
      <c r="B116" t="s">
        <v>198</v>
      </c>
    </row>
    <row r="117" spans="1:2">
      <c r="A117">
        <v>90806</v>
      </c>
      <c r="B117" t="s">
        <v>198</v>
      </c>
    </row>
    <row r="118" spans="1:2">
      <c r="A118">
        <v>91773</v>
      </c>
      <c r="B118" t="s">
        <v>198</v>
      </c>
    </row>
    <row r="119" spans="1:2">
      <c r="A119">
        <v>90041</v>
      </c>
      <c r="B119" t="s">
        <v>198</v>
      </c>
    </row>
    <row r="120" spans="1:2">
      <c r="A120">
        <v>90712</v>
      </c>
      <c r="B120" t="s">
        <v>198</v>
      </c>
    </row>
    <row r="121" spans="1:2">
      <c r="A121">
        <v>91106</v>
      </c>
      <c r="B121" t="s">
        <v>198</v>
      </c>
    </row>
    <row r="122" spans="1:2">
      <c r="A122">
        <v>90005</v>
      </c>
      <c r="B122" t="s">
        <v>198</v>
      </c>
    </row>
    <row r="123" spans="1:2">
      <c r="A123">
        <v>90039</v>
      </c>
      <c r="B123" t="s">
        <v>198</v>
      </c>
    </row>
    <row r="124" spans="1:2">
      <c r="A124">
        <v>90048</v>
      </c>
      <c r="B124" t="s">
        <v>198</v>
      </c>
    </row>
    <row r="125" spans="1:2">
      <c r="A125">
        <v>91006</v>
      </c>
      <c r="B125" t="s">
        <v>198</v>
      </c>
    </row>
    <row r="126" spans="1:2">
      <c r="A126">
        <v>90068</v>
      </c>
      <c r="B126" t="s">
        <v>198</v>
      </c>
    </row>
    <row r="127" spans="1:2">
      <c r="A127">
        <v>90001</v>
      </c>
      <c r="B127" t="s">
        <v>198</v>
      </c>
    </row>
    <row r="128" spans="1:2">
      <c r="A128">
        <v>91754</v>
      </c>
      <c r="B128" t="s">
        <v>198</v>
      </c>
    </row>
    <row r="129" spans="1:2">
      <c r="A129">
        <v>90405</v>
      </c>
      <c r="B129" t="s">
        <v>198</v>
      </c>
    </row>
    <row r="130" spans="1:2">
      <c r="A130">
        <v>90606</v>
      </c>
      <c r="B130" t="s">
        <v>198</v>
      </c>
    </row>
    <row r="131" spans="1:2">
      <c r="A131">
        <v>91724</v>
      </c>
      <c r="B131" t="s">
        <v>198</v>
      </c>
    </row>
    <row r="132" spans="1:2">
      <c r="A132">
        <v>90274</v>
      </c>
      <c r="B132" t="s">
        <v>198</v>
      </c>
    </row>
    <row r="133" spans="1:2">
      <c r="A133">
        <v>90732</v>
      </c>
      <c r="B133" t="s">
        <v>198</v>
      </c>
    </row>
    <row r="134" spans="1:2">
      <c r="A134">
        <v>91303</v>
      </c>
      <c r="B134" t="s">
        <v>198</v>
      </c>
    </row>
    <row r="135" spans="1:2">
      <c r="A135">
        <v>91201</v>
      </c>
      <c r="B135" t="s">
        <v>198</v>
      </c>
    </row>
    <row r="136" spans="1:2">
      <c r="A136">
        <v>90020</v>
      </c>
      <c r="B136" t="s">
        <v>198</v>
      </c>
    </row>
    <row r="137" spans="1:2">
      <c r="A137">
        <v>91030</v>
      </c>
      <c r="B137" t="s">
        <v>198</v>
      </c>
    </row>
    <row r="138" spans="1:2">
      <c r="A138">
        <v>90403</v>
      </c>
      <c r="B138" t="s">
        <v>198</v>
      </c>
    </row>
    <row r="139" spans="1:2">
      <c r="A139">
        <v>91733</v>
      </c>
      <c r="B139" t="s">
        <v>198</v>
      </c>
    </row>
    <row r="140" spans="1:2">
      <c r="A140">
        <v>91411</v>
      </c>
      <c r="B140" t="s">
        <v>198</v>
      </c>
    </row>
    <row r="141" spans="1:2">
      <c r="A141">
        <v>90240</v>
      </c>
      <c r="B141" t="s">
        <v>198</v>
      </c>
    </row>
    <row r="142" spans="1:2">
      <c r="A142">
        <v>91325</v>
      </c>
      <c r="B142" t="s">
        <v>198</v>
      </c>
    </row>
    <row r="143" spans="1:2">
      <c r="A143">
        <v>90023</v>
      </c>
      <c r="B143" t="s">
        <v>198</v>
      </c>
    </row>
    <row r="144" spans="1:2">
      <c r="A144">
        <v>91723</v>
      </c>
      <c r="B144" t="s">
        <v>198</v>
      </c>
    </row>
    <row r="145" spans="1:2">
      <c r="A145">
        <v>90029</v>
      </c>
      <c r="B145" t="s">
        <v>198</v>
      </c>
    </row>
    <row r="146" spans="1:2">
      <c r="A146">
        <v>91746</v>
      </c>
      <c r="B146" t="s">
        <v>198</v>
      </c>
    </row>
    <row r="147" spans="1:2">
      <c r="A147">
        <v>90260</v>
      </c>
      <c r="B147" t="s">
        <v>198</v>
      </c>
    </row>
    <row r="148" spans="1:2">
      <c r="A148">
        <v>90254</v>
      </c>
      <c r="B148" t="s">
        <v>198</v>
      </c>
    </row>
    <row r="149" spans="1:2">
      <c r="A149">
        <v>90404</v>
      </c>
      <c r="B149" t="s">
        <v>198</v>
      </c>
    </row>
    <row r="150" spans="1:2">
      <c r="A150">
        <v>90038</v>
      </c>
      <c r="B150" t="s">
        <v>198</v>
      </c>
    </row>
    <row r="151" spans="1:2">
      <c r="A151">
        <v>90713</v>
      </c>
      <c r="B151" t="s">
        <v>198</v>
      </c>
    </row>
    <row r="152" spans="1:2">
      <c r="A152">
        <v>91803</v>
      </c>
      <c r="B152" t="s">
        <v>198</v>
      </c>
    </row>
    <row r="153" spans="1:2">
      <c r="A153">
        <v>91436</v>
      </c>
      <c r="B153" t="s">
        <v>198</v>
      </c>
    </row>
    <row r="154" spans="1:2">
      <c r="A154">
        <v>91755</v>
      </c>
      <c r="B154" t="s">
        <v>198</v>
      </c>
    </row>
    <row r="155" spans="1:2">
      <c r="A155">
        <v>91506</v>
      </c>
      <c r="B155" t="s">
        <v>198</v>
      </c>
    </row>
    <row r="156" spans="1:2">
      <c r="A156">
        <v>91740</v>
      </c>
      <c r="B156" t="s">
        <v>198</v>
      </c>
    </row>
    <row r="157" spans="1:2">
      <c r="A157">
        <v>90007</v>
      </c>
      <c r="B157" t="s">
        <v>198</v>
      </c>
    </row>
    <row r="158" spans="1:2">
      <c r="A158">
        <v>90232</v>
      </c>
      <c r="B158" t="s">
        <v>198</v>
      </c>
    </row>
    <row r="159" spans="1:2">
      <c r="A159">
        <v>91776</v>
      </c>
      <c r="B159" t="s">
        <v>198</v>
      </c>
    </row>
    <row r="160" spans="1:2">
      <c r="A160">
        <v>90002</v>
      </c>
      <c r="B160" t="s">
        <v>198</v>
      </c>
    </row>
    <row r="161" spans="1:2">
      <c r="A161">
        <v>91010</v>
      </c>
      <c r="B161" t="s">
        <v>198</v>
      </c>
    </row>
    <row r="162" spans="1:2">
      <c r="A162">
        <v>90710</v>
      </c>
      <c r="B162" t="s">
        <v>198</v>
      </c>
    </row>
    <row r="163" spans="1:2">
      <c r="A163">
        <v>90602</v>
      </c>
      <c r="B163" t="s">
        <v>198</v>
      </c>
    </row>
    <row r="164" spans="1:2">
      <c r="A164">
        <v>91768</v>
      </c>
      <c r="B164" t="s">
        <v>198</v>
      </c>
    </row>
    <row r="165" spans="1:2">
      <c r="A165">
        <v>90249</v>
      </c>
      <c r="B165" t="s">
        <v>198</v>
      </c>
    </row>
    <row r="166" spans="1:2">
      <c r="A166">
        <v>90245</v>
      </c>
      <c r="B166" t="s">
        <v>198</v>
      </c>
    </row>
    <row r="167" spans="1:2">
      <c r="A167">
        <v>90062</v>
      </c>
      <c r="B167" t="s">
        <v>198</v>
      </c>
    </row>
    <row r="168" spans="1:2">
      <c r="A168">
        <v>91775</v>
      </c>
      <c r="B168" t="s">
        <v>198</v>
      </c>
    </row>
    <row r="169" spans="1:2">
      <c r="A169">
        <v>90603</v>
      </c>
      <c r="B169" t="s">
        <v>198</v>
      </c>
    </row>
    <row r="170" spans="1:2">
      <c r="A170">
        <v>90293</v>
      </c>
      <c r="B170" t="s">
        <v>198</v>
      </c>
    </row>
    <row r="171" spans="1:2">
      <c r="A171">
        <v>90715</v>
      </c>
      <c r="B171" t="s">
        <v>198</v>
      </c>
    </row>
    <row r="172" spans="1:2">
      <c r="A172">
        <v>91103</v>
      </c>
      <c r="B172" t="s">
        <v>198</v>
      </c>
    </row>
    <row r="173" spans="1:2">
      <c r="A173">
        <v>90061</v>
      </c>
      <c r="B173" t="s">
        <v>198</v>
      </c>
    </row>
    <row r="174" spans="1:2">
      <c r="A174">
        <v>90717</v>
      </c>
      <c r="B174" t="s">
        <v>198</v>
      </c>
    </row>
    <row r="175" spans="1:2">
      <c r="A175">
        <v>91203</v>
      </c>
      <c r="B175" t="s">
        <v>198</v>
      </c>
    </row>
    <row r="176" spans="1:2">
      <c r="A176">
        <v>90814</v>
      </c>
      <c r="B176" t="s">
        <v>198</v>
      </c>
    </row>
    <row r="177" spans="1:2">
      <c r="A177">
        <v>91731</v>
      </c>
      <c r="B177" t="s">
        <v>198</v>
      </c>
    </row>
    <row r="178" spans="1:2">
      <c r="A178">
        <v>91204</v>
      </c>
      <c r="B178" t="s">
        <v>198</v>
      </c>
    </row>
    <row r="179" spans="1:2">
      <c r="A179">
        <v>90502</v>
      </c>
      <c r="B179" t="s">
        <v>198</v>
      </c>
    </row>
    <row r="180" spans="1:2">
      <c r="A180">
        <v>90755</v>
      </c>
      <c r="B180" t="s">
        <v>198</v>
      </c>
    </row>
    <row r="181" spans="1:2">
      <c r="A181">
        <v>90701</v>
      </c>
      <c r="B181" t="s">
        <v>198</v>
      </c>
    </row>
    <row r="182" spans="1:2">
      <c r="A182">
        <v>90248</v>
      </c>
      <c r="B182" t="s">
        <v>198</v>
      </c>
    </row>
    <row r="183" spans="1:2">
      <c r="A183">
        <v>90670</v>
      </c>
      <c r="B183" t="s">
        <v>198</v>
      </c>
    </row>
    <row r="184" spans="1:2">
      <c r="A184">
        <v>90270</v>
      </c>
      <c r="B184" t="s">
        <v>198</v>
      </c>
    </row>
    <row r="185" spans="1:2">
      <c r="A185">
        <v>91345</v>
      </c>
      <c r="B185" t="s">
        <v>198</v>
      </c>
    </row>
    <row r="186" spans="1:2">
      <c r="A186">
        <v>90716</v>
      </c>
      <c r="B186" t="s">
        <v>198</v>
      </c>
    </row>
    <row r="187" spans="1:2">
      <c r="A187">
        <v>90040</v>
      </c>
      <c r="B187" t="s">
        <v>198</v>
      </c>
    </row>
    <row r="188" spans="1:2">
      <c r="A188">
        <v>91502</v>
      </c>
      <c r="B188" t="s">
        <v>198</v>
      </c>
    </row>
    <row r="189" spans="1:2">
      <c r="A189">
        <v>91108</v>
      </c>
      <c r="B189" t="s">
        <v>198</v>
      </c>
    </row>
    <row r="190" spans="1:2">
      <c r="A190">
        <v>90220</v>
      </c>
      <c r="B190" t="s">
        <v>198</v>
      </c>
    </row>
    <row r="191" spans="1:2">
      <c r="A191">
        <v>90221</v>
      </c>
      <c r="B191" t="s">
        <v>198</v>
      </c>
    </row>
    <row r="192" spans="1:2">
      <c r="A192">
        <v>90222</v>
      </c>
      <c r="B192" t="s">
        <v>198</v>
      </c>
    </row>
    <row r="193" spans="1:2">
      <c r="A193">
        <v>90262</v>
      </c>
      <c r="B193" t="s">
        <v>198</v>
      </c>
    </row>
    <row r="194" spans="1:2">
      <c r="A194">
        <v>90805</v>
      </c>
      <c r="B194" t="s">
        <v>198</v>
      </c>
    </row>
    <row r="195" spans="1:2">
      <c r="A195">
        <v>92602</v>
      </c>
      <c r="B195" t="s">
        <v>198</v>
      </c>
    </row>
    <row r="196" spans="1:2">
      <c r="A196">
        <v>92603</v>
      </c>
      <c r="B196" t="s">
        <v>198</v>
      </c>
    </row>
    <row r="197" spans="1:2">
      <c r="A197">
        <v>92604</v>
      </c>
      <c r="B197" t="s">
        <v>198</v>
      </c>
    </row>
    <row r="198" spans="1:2">
      <c r="A198">
        <v>92606</v>
      </c>
      <c r="B198" t="s">
        <v>198</v>
      </c>
    </row>
    <row r="199" spans="1:2">
      <c r="A199">
        <v>92610</v>
      </c>
      <c r="B199" t="s">
        <v>198</v>
      </c>
    </row>
    <row r="200" spans="1:2">
      <c r="A200">
        <v>92612</v>
      </c>
      <c r="B200" t="s">
        <v>198</v>
      </c>
    </row>
    <row r="201" spans="1:2">
      <c r="A201">
        <v>92617</v>
      </c>
      <c r="B201" t="s">
        <v>198</v>
      </c>
    </row>
    <row r="202" spans="1:2">
      <c r="A202">
        <v>92618</v>
      </c>
      <c r="B202" t="s">
        <v>198</v>
      </c>
    </row>
    <row r="203" spans="1:2">
      <c r="A203">
        <v>92620</v>
      </c>
      <c r="B203" t="s">
        <v>198</v>
      </c>
    </row>
    <row r="204" spans="1:2">
      <c r="A204">
        <v>92625</v>
      </c>
      <c r="B204" t="s">
        <v>198</v>
      </c>
    </row>
    <row r="205" spans="1:2">
      <c r="A205">
        <v>92626</v>
      </c>
      <c r="B205" t="s">
        <v>198</v>
      </c>
    </row>
    <row r="206" spans="1:2">
      <c r="A206">
        <v>92627</v>
      </c>
      <c r="B206" t="s">
        <v>198</v>
      </c>
    </row>
    <row r="207" spans="1:2">
      <c r="A207">
        <v>92630</v>
      </c>
      <c r="B207" t="s">
        <v>198</v>
      </c>
    </row>
    <row r="208" spans="1:2">
      <c r="A208">
        <v>92637</v>
      </c>
      <c r="B208" t="s">
        <v>198</v>
      </c>
    </row>
    <row r="209" spans="1:2">
      <c r="A209">
        <v>92646</v>
      </c>
      <c r="B209" t="s">
        <v>198</v>
      </c>
    </row>
    <row r="210" spans="1:2">
      <c r="A210">
        <v>92648</v>
      </c>
      <c r="B210" t="s">
        <v>198</v>
      </c>
    </row>
    <row r="211" spans="1:2">
      <c r="A211">
        <v>92653</v>
      </c>
      <c r="B211" t="s">
        <v>198</v>
      </c>
    </row>
    <row r="212" spans="1:2">
      <c r="A212">
        <v>92656</v>
      </c>
      <c r="B212" t="s">
        <v>198</v>
      </c>
    </row>
    <row r="213" spans="1:2">
      <c r="A213">
        <v>92660</v>
      </c>
      <c r="B213" t="s">
        <v>198</v>
      </c>
    </row>
    <row r="214" spans="1:2">
      <c r="A214">
        <v>92663</v>
      </c>
      <c r="B214" t="s">
        <v>198</v>
      </c>
    </row>
    <row r="215" spans="1:2">
      <c r="A215">
        <v>92677</v>
      </c>
      <c r="B215" t="s">
        <v>198</v>
      </c>
    </row>
    <row r="216" spans="1:2">
      <c r="A216">
        <v>92688</v>
      </c>
      <c r="B216" t="s">
        <v>198</v>
      </c>
    </row>
    <row r="217" spans="1:2">
      <c r="A217">
        <v>92691</v>
      </c>
      <c r="B217" t="s">
        <v>198</v>
      </c>
    </row>
    <row r="218" spans="1:2">
      <c r="A218">
        <v>92692</v>
      </c>
      <c r="B218" t="s">
        <v>198</v>
      </c>
    </row>
    <row r="219" spans="1:2">
      <c r="A219">
        <v>92694</v>
      </c>
      <c r="B219" t="s">
        <v>198</v>
      </c>
    </row>
    <row r="220" spans="1:2">
      <c r="A220">
        <v>92701</v>
      </c>
      <c r="B220" t="s">
        <v>198</v>
      </c>
    </row>
    <row r="221" spans="1:2">
      <c r="A221">
        <v>92704</v>
      </c>
      <c r="B221" t="s">
        <v>198</v>
      </c>
    </row>
    <row r="222" spans="1:2">
      <c r="A222">
        <v>92705</v>
      </c>
      <c r="B222" t="s">
        <v>198</v>
      </c>
    </row>
    <row r="223" spans="1:2">
      <c r="A223">
        <v>92707</v>
      </c>
      <c r="B223" t="s">
        <v>198</v>
      </c>
    </row>
    <row r="224" spans="1:2">
      <c r="A224">
        <v>92780</v>
      </c>
      <c r="B224" t="s">
        <v>198</v>
      </c>
    </row>
    <row r="225" spans="1:2">
      <c r="A225">
        <v>92782</v>
      </c>
      <c r="B225" t="s">
        <v>198</v>
      </c>
    </row>
    <row r="226" spans="1:2">
      <c r="A226">
        <v>92808</v>
      </c>
      <c r="B226" t="s">
        <v>198</v>
      </c>
    </row>
    <row r="227" spans="1:2">
      <c r="A227">
        <v>92869</v>
      </c>
      <c r="B227" t="s">
        <v>198</v>
      </c>
    </row>
    <row r="228" spans="1:2">
      <c r="A228">
        <v>92887</v>
      </c>
      <c r="B228" t="s">
        <v>198</v>
      </c>
    </row>
    <row r="229" spans="1:2">
      <c r="A229">
        <v>91701</v>
      </c>
      <c r="B229" t="s">
        <v>198</v>
      </c>
    </row>
    <row r="230" spans="1:2">
      <c r="A230">
        <v>91730</v>
      </c>
      <c r="B230" t="s">
        <v>198</v>
      </c>
    </row>
    <row r="231" spans="1:2">
      <c r="A231">
        <v>91737</v>
      </c>
      <c r="B231" t="s">
        <v>198</v>
      </c>
    </row>
    <row r="232" spans="1:2">
      <c r="A232">
        <v>91739</v>
      </c>
      <c r="B232" t="s">
        <v>198</v>
      </c>
    </row>
    <row r="233" spans="1:2">
      <c r="A233">
        <v>91763</v>
      </c>
      <c r="B233" t="s">
        <v>198</v>
      </c>
    </row>
    <row r="234" spans="1:2">
      <c r="A234">
        <v>91764</v>
      </c>
      <c r="B234" t="s">
        <v>198</v>
      </c>
    </row>
    <row r="235" spans="1:2">
      <c r="A235">
        <v>91784</v>
      </c>
      <c r="B235" t="s">
        <v>198</v>
      </c>
    </row>
    <row r="236" spans="1:2">
      <c r="A236">
        <v>91786</v>
      </c>
      <c r="B236" t="s">
        <v>198</v>
      </c>
    </row>
    <row r="237" spans="1:2">
      <c r="A237">
        <v>92313</v>
      </c>
      <c r="B237" t="s">
        <v>198</v>
      </c>
    </row>
    <row r="238" spans="1:2">
      <c r="A238">
        <v>92316</v>
      </c>
      <c r="B238" t="s">
        <v>198</v>
      </c>
    </row>
    <row r="239" spans="1:2">
      <c r="A239">
        <v>92324</v>
      </c>
      <c r="B239" t="s">
        <v>198</v>
      </c>
    </row>
    <row r="240" spans="1:2">
      <c r="A240">
        <v>92335</v>
      </c>
      <c r="B240" t="s">
        <v>198</v>
      </c>
    </row>
    <row r="241" spans="1:2">
      <c r="A241">
        <v>92336</v>
      </c>
      <c r="B241" t="s">
        <v>198</v>
      </c>
    </row>
    <row r="242" spans="1:2">
      <c r="A242">
        <v>92346</v>
      </c>
      <c r="B242" t="s">
        <v>198</v>
      </c>
    </row>
    <row r="243" spans="1:2">
      <c r="A243">
        <v>92354</v>
      </c>
      <c r="B243" t="s">
        <v>198</v>
      </c>
    </row>
    <row r="244" spans="1:2">
      <c r="A244">
        <v>92374</v>
      </c>
      <c r="B244" t="s">
        <v>198</v>
      </c>
    </row>
    <row r="245" spans="1:2">
      <c r="A245">
        <v>92376</v>
      </c>
      <c r="B245" t="s">
        <v>198</v>
      </c>
    </row>
    <row r="246" spans="1:2">
      <c r="A246">
        <v>92377</v>
      </c>
      <c r="B246" t="s">
        <v>198</v>
      </c>
    </row>
    <row r="247" spans="1:2">
      <c r="A247">
        <v>92404</v>
      </c>
      <c r="B247" t="s">
        <v>198</v>
      </c>
    </row>
    <row r="248" spans="1:2">
      <c r="A248">
        <v>92405</v>
      </c>
      <c r="B248" t="s">
        <v>198</v>
      </c>
    </row>
    <row r="249" spans="1:2">
      <c r="A249">
        <v>92408</v>
      </c>
      <c r="B249" t="s">
        <v>198</v>
      </c>
    </row>
    <row r="250" spans="1:2">
      <c r="A250">
        <v>92410</v>
      </c>
      <c r="B250" t="s">
        <v>198</v>
      </c>
    </row>
    <row r="251" spans="1:2">
      <c r="A251">
        <v>92411</v>
      </c>
      <c r="B251" t="s">
        <v>198</v>
      </c>
    </row>
    <row r="252" spans="1:2">
      <c r="A252">
        <v>91708</v>
      </c>
      <c r="B252" t="s">
        <v>198</v>
      </c>
    </row>
    <row r="253" spans="1:2">
      <c r="A253">
        <v>91709</v>
      </c>
      <c r="B253" t="s">
        <v>198</v>
      </c>
    </row>
    <row r="254" spans="1:2">
      <c r="A254">
        <v>91710</v>
      </c>
      <c r="B254" t="s">
        <v>198</v>
      </c>
    </row>
    <row r="255" spans="1:2">
      <c r="A255">
        <v>91752</v>
      </c>
      <c r="B255" t="s">
        <v>198</v>
      </c>
    </row>
    <row r="256" spans="1:2">
      <c r="A256">
        <v>91761</v>
      </c>
      <c r="B256" t="s">
        <v>198</v>
      </c>
    </row>
    <row r="257" spans="1:2">
      <c r="A257">
        <v>91762</v>
      </c>
      <c r="B257" t="s">
        <v>198</v>
      </c>
    </row>
    <row r="258" spans="1:2">
      <c r="A258">
        <v>92337</v>
      </c>
      <c r="B258" t="s">
        <v>198</v>
      </c>
    </row>
    <row r="259" spans="1:2">
      <c r="A259">
        <v>92501</v>
      </c>
      <c r="B259" t="s">
        <v>198</v>
      </c>
    </row>
    <row r="260" spans="1:2">
      <c r="A260">
        <v>92503</v>
      </c>
      <c r="B260" t="s">
        <v>198</v>
      </c>
    </row>
    <row r="261" spans="1:2">
      <c r="A261">
        <v>92504</v>
      </c>
      <c r="B261" t="s">
        <v>198</v>
      </c>
    </row>
    <row r="262" spans="1:2">
      <c r="A262">
        <v>92505</v>
      </c>
      <c r="B262" t="s">
        <v>198</v>
      </c>
    </row>
    <row r="263" spans="1:2">
      <c r="A263">
        <v>92506</v>
      </c>
      <c r="B263" t="s">
        <v>198</v>
      </c>
    </row>
    <row r="264" spans="1:2">
      <c r="A264">
        <v>92507</v>
      </c>
      <c r="B264" t="s">
        <v>198</v>
      </c>
    </row>
    <row r="265" spans="1:2">
      <c r="A265">
        <v>92508</v>
      </c>
      <c r="B265" t="s">
        <v>198</v>
      </c>
    </row>
    <row r="266" spans="1:2">
      <c r="A266">
        <v>92509</v>
      </c>
      <c r="B266" t="s">
        <v>198</v>
      </c>
    </row>
    <row r="267" spans="1:2">
      <c r="A267">
        <v>92551</v>
      </c>
      <c r="B267" t="s">
        <v>198</v>
      </c>
    </row>
    <row r="268" spans="1:2">
      <c r="A268">
        <v>92553</v>
      </c>
      <c r="B268" t="s">
        <v>198</v>
      </c>
    </row>
    <row r="269" spans="1:2">
      <c r="A269">
        <v>92557</v>
      </c>
      <c r="B269" t="s">
        <v>198</v>
      </c>
    </row>
    <row r="270" spans="1:2">
      <c r="A270">
        <v>92860</v>
      </c>
      <c r="B270" t="s">
        <v>198</v>
      </c>
    </row>
    <row r="271" spans="1:2">
      <c r="A271">
        <v>92879</v>
      </c>
      <c r="B271" t="s">
        <v>198</v>
      </c>
    </row>
    <row r="272" spans="1:2">
      <c r="A272">
        <v>92880</v>
      </c>
      <c r="B272" t="s">
        <v>198</v>
      </c>
    </row>
    <row r="273" spans="1:2">
      <c r="A273">
        <v>92881</v>
      </c>
      <c r="B273" t="s">
        <v>198</v>
      </c>
    </row>
    <row r="274" spans="1:2">
      <c r="A274">
        <v>92882</v>
      </c>
      <c r="B274" t="s">
        <v>198</v>
      </c>
    </row>
    <row r="275" spans="1:2">
      <c r="A275">
        <v>90620</v>
      </c>
      <c r="B275" t="s">
        <v>198</v>
      </c>
    </row>
    <row r="276" spans="1:2">
      <c r="A276">
        <v>90621</v>
      </c>
      <c r="B276" t="s">
        <v>198</v>
      </c>
    </row>
    <row r="277" spans="1:2">
      <c r="A277">
        <v>90623</v>
      </c>
      <c r="B277" t="s">
        <v>198</v>
      </c>
    </row>
    <row r="278" spans="1:2">
      <c r="A278">
        <v>90630</v>
      </c>
      <c r="B278" t="s">
        <v>198</v>
      </c>
    </row>
    <row r="279" spans="1:2">
      <c r="A279">
        <v>90631</v>
      </c>
      <c r="B279" t="s">
        <v>198</v>
      </c>
    </row>
    <row r="280" spans="1:2">
      <c r="A280">
        <v>90680</v>
      </c>
      <c r="B280" t="s">
        <v>198</v>
      </c>
    </row>
    <row r="281" spans="1:2">
      <c r="A281">
        <v>90720</v>
      </c>
      <c r="B281" t="s">
        <v>198</v>
      </c>
    </row>
    <row r="282" spans="1:2">
      <c r="A282">
        <v>90740</v>
      </c>
      <c r="B282" t="s">
        <v>198</v>
      </c>
    </row>
    <row r="283" spans="1:2">
      <c r="A283">
        <v>92647</v>
      </c>
      <c r="B283" t="s">
        <v>198</v>
      </c>
    </row>
    <row r="284" spans="1:2">
      <c r="A284">
        <v>92649</v>
      </c>
      <c r="B284" t="s">
        <v>198</v>
      </c>
    </row>
    <row r="285" spans="1:2">
      <c r="A285">
        <v>92655</v>
      </c>
      <c r="B285" t="s">
        <v>198</v>
      </c>
    </row>
    <row r="286" spans="1:2">
      <c r="A286">
        <v>92683</v>
      </c>
      <c r="B286" t="s">
        <v>198</v>
      </c>
    </row>
    <row r="287" spans="1:2">
      <c r="A287">
        <v>92703</v>
      </c>
      <c r="B287" t="s">
        <v>198</v>
      </c>
    </row>
    <row r="288" spans="1:2">
      <c r="A288">
        <v>92706</v>
      </c>
      <c r="B288" t="s">
        <v>198</v>
      </c>
    </row>
    <row r="289" spans="1:2">
      <c r="A289">
        <v>92708</v>
      </c>
      <c r="B289" t="s">
        <v>198</v>
      </c>
    </row>
    <row r="290" spans="1:2">
      <c r="A290">
        <v>92801</v>
      </c>
      <c r="B290" t="s">
        <v>198</v>
      </c>
    </row>
    <row r="291" spans="1:2">
      <c r="A291">
        <v>92802</v>
      </c>
      <c r="B291" t="s">
        <v>198</v>
      </c>
    </row>
    <row r="292" spans="1:2">
      <c r="A292">
        <v>92804</v>
      </c>
      <c r="B292" t="s">
        <v>198</v>
      </c>
    </row>
    <row r="293" spans="1:2">
      <c r="A293">
        <v>92805</v>
      </c>
      <c r="B293" t="s">
        <v>198</v>
      </c>
    </row>
    <row r="294" spans="1:2">
      <c r="A294">
        <v>92806</v>
      </c>
      <c r="B294" t="s">
        <v>198</v>
      </c>
    </row>
    <row r="295" spans="1:2">
      <c r="A295">
        <v>92807</v>
      </c>
      <c r="B295" t="s">
        <v>198</v>
      </c>
    </row>
    <row r="296" spans="1:2">
      <c r="A296">
        <v>92821</v>
      </c>
      <c r="B296" t="s">
        <v>198</v>
      </c>
    </row>
    <row r="297" spans="1:2">
      <c r="A297">
        <v>92831</v>
      </c>
      <c r="B297" t="s">
        <v>198</v>
      </c>
    </row>
    <row r="298" spans="1:2">
      <c r="A298">
        <v>92832</v>
      </c>
      <c r="B298" t="s">
        <v>198</v>
      </c>
    </row>
    <row r="299" spans="1:2">
      <c r="A299">
        <v>92833</v>
      </c>
      <c r="B299" t="s">
        <v>198</v>
      </c>
    </row>
    <row r="300" spans="1:2">
      <c r="A300">
        <v>92835</v>
      </c>
      <c r="B300" t="s">
        <v>198</v>
      </c>
    </row>
    <row r="301" spans="1:2">
      <c r="A301">
        <v>92840</v>
      </c>
      <c r="B301" t="s">
        <v>198</v>
      </c>
    </row>
    <row r="302" spans="1:2">
      <c r="A302">
        <v>92841</v>
      </c>
      <c r="B302" t="s">
        <v>198</v>
      </c>
    </row>
    <row r="303" spans="1:2">
      <c r="A303">
        <v>92843</v>
      </c>
      <c r="B303" t="s">
        <v>198</v>
      </c>
    </row>
    <row r="304" spans="1:2">
      <c r="A304">
        <v>92844</v>
      </c>
      <c r="B304" t="s">
        <v>198</v>
      </c>
    </row>
    <row r="305" spans="1:2">
      <c r="A305">
        <v>92845</v>
      </c>
      <c r="B305" t="s">
        <v>198</v>
      </c>
    </row>
    <row r="306" spans="1:2">
      <c r="A306">
        <v>92861</v>
      </c>
      <c r="B306" t="s">
        <v>198</v>
      </c>
    </row>
    <row r="307" spans="1:2">
      <c r="A307">
        <v>92865</v>
      </c>
      <c r="B307" t="s">
        <v>198</v>
      </c>
    </row>
    <row r="308" spans="1:2">
      <c r="A308">
        <v>92866</v>
      </c>
      <c r="B308" t="s">
        <v>198</v>
      </c>
    </row>
    <row r="309" spans="1:2">
      <c r="A309">
        <v>92867</v>
      </c>
      <c r="B309" t="s">
        <v>198</v>
      </c>
    </row>
    <row r="310" spans="1:2">
      <c r="A310">
        <v>92868</v>
      </c>
      <c r="B310" t="s">
        <v>198</v>
      </c>
    </row>
    <row r="311" spans="1:2">
      <c r="A311">
        <v>92870</v>
      </c>
      <c r="B311" t="s">
        <v>198</v>
      </c>
    </row>
    <row r="312" spans="1:2">
      <c r="A312">
        <v>92886</v>
      </c>
      <c r="B312" t="s">
        <v>198</v>
      </c>
    </row>
    <row r="313" spans="1:2">
      <c r="A313">
        <v>75189</v>
      </c>
      <c r="B313" t="s">
        <v>198</v>
      </c>
    </row>
    <row r="314" spans="1:2">
      <c r="A314">
        <v>75087</v>
      </c>
      <c r="B314" t="s">
        <v>198</v>
      </c>
    </row>
    <row r="315" spans="1:2">
      <c r="A315">
        <v>75166</v>
      </c>
      <c r="B315" t="s">
        <v>198</v>
      </c>
    </row>
    <row r="316" spans="1:2">
      <c r="A316">
        <v>75173</v>
      </c>
      <c r="B316" t="s">
        <v>198</v>
      </c>
    </row>
    <row r="317" spans="1:2">
      <c r="A317">
        <v>75032</v>
      </c>
      <c r="B317" t="s">
        <v>198</v>
      </c>
    </row>
    <row r="318" spans="1:2">
      <c r="A318">
        <v>75098</v>
      </c>
      <c r="B318" t="s">
        <v>198</v>
      </c>
    </row>
    <row r="319" spans="1:2">
      <c r="A319">
        <v>75089</v>
      </c>
      <c r="B319" t="s">
        <v>198</v>
      </c>
    </row>
    <row r="320" spans="1:2">
      <c r="A320">
        <v>75088</v>
      </c>
      <c r="B320" t="s">
        <v>198</v>
      </c>
    </row>
    <row r="321" spans="1:2">
      <c r="A321">
        <v>75048</v>
      </c>
      <c r="B321" t="s">
        <v>198</v>
      </c>
    </row>
    <row r="322" spans="1:2">
      <c r="A322">
        <v>75094</v>
      </c>
      <c r="B322" t="s">
        <v>198</v>
      </c>
    </row>
    <row r="323" spans="1:2">
      <c r="A323">
        <v>75040</v>
      </c>
      <c r="B323" t="s">
        <v>198</v>
      </c>
    </row>
    <row r="324" spans="1:2">
      <c r="A324">
        <v>75043</v>
      </c>
      <c r="B324" t="s">
        <v>198</v>
      </c>
    </row>
    <row r="325" spans="1:2">
      <c r="A325">
        <v>75041</v>
      </c>
      <c r="B325" t="s">
        <v>198</v>
      </c>
    </row>
    <row r="326" spans="1:2">
      <c r="A326">
        <v>75044</v>
      </c>
      <c r="B326" t="s">
        <v>198</v>
      </c>
    </row>
    <row r="327" spans="1:2">
      <c r="A327">
        <v>75042</v>
      </c>
      <c r="B327" t="s">
        <v>198</v>
      </c>
    </row>
    <row r="328" spans="1:2">
      <c r="A328">
        <v>75182</v>
      </c>
      <c r="B328" t="s">
        <v>198</v>
      </c>
    </row>
    <row r="329" spans="1:2">
      <c r="A329">
        <v>75150</v>
      </c>
      <c r="B329" t="s">
        <v>198</v>
      </c>
    </row>
    <row r="330" spans="1:2">
      <c r="A330">
        <v>75082</v>
      </c>
      <c r="B330" t="s">
        <v>198</v>
      </c>
    </row>
    <row r="331" spans="1:2">
      <c r="A331">
        <v>75126</v>
      </c>
      <c r="B331" t="s">
        <v>198</v>
      </c>
    </row>
    <row r="332" spans="1:2">
      <c r="A332">
        <v>75181</v>
      </c>
      <c r="B332" t="s">
        <v>198</v>
      </c>
    </row>
    <row r="333" spans="1:2">
      <c r="A333">
        <v>75149</v>
      </c>
      <c r="B333" t="s">
        <v>198</v>
      </c>
    </row>
    <row r="334" spans="1:2">
      <c r="A334">
        <v>75253</v>
      </c>
      <c r="B334" t="s">
        <v>198</v>
      </c>
    </row>
    <row r="335" spans="1:2">
      <c r="A335">
        <v>75180</v>
      </c>
      <c r="B335" t="s">
        <v>198</v>
      </c>
    </row>
    <row r="336" spans="1:2">
      <c r="A336">
        <v>75217</v>
      </c>
      <c r="B336" t="s">
        <v>198</v>
      </c>
    </row>
    <row r="337" spans="1:2">
      <c r="A337">
        <v>75227</v>
      </c>
      <c r="B337" t="s">
        <v>198</v>
      </c>
    </row>
    <row r="338" spans="1:2">
      <c r="A338">
        <v>75228</v>
      </c>
      <c r="B338" t="s">
        <v>198</v>
      </c>
    </row>
    <row r="339" spans="1:2">
      <c r="A339">
        <v>75218</v>
      </c>
      <c r="B339" t="s">
        <v>198</v>
      </c>
    </row>
    <row r="340" spans="1:2">
      <c r="A340">
        <v>75210</v>
      </c>
      <c r="B340" t="s">
        <v>198</v>
      </c>
    </row>
    <row r="341" spans="1:2">
      <c r="A341">
        <v>75223</v>
      </c>
      <c r="B341" t="s">
        <v>198</v>
      </c>
    </row>
    <row r="342" spans="1:2">
      <c r="A342">
        <v>75238</v>
      </c>
      <c r="B342" t="s">
        <v>198</v>
      </c>
    </row>
    <row r="343" spans="1:2">
      <c r="A343">
        <v>75214</v>
      </c>
      <c r="B343" t="s">
        <v>198</v>
      </c>
    </row>
    <row r="344" spans="1:2">
      <c r="A344">
        <v>75215</v>
      </c>
      <c r="B344" t="s">
        <v>198</v>
      </c>
    </row>
    <row r="345" spans="1:2">
      <c r="A345">
        <v>75226</v>
      </c>
      <c r="B345" t="s">
        <v>198</v>
      </c>
    </row>
    <row r="346" spans="1:2">
      <c r="A346">
        <v>75206</v>
      </c>
      <c r="B346" t="s">
        <v>198</v>
      </c>
    </row>
    <row r="347" spans="1:2">
      <c r="A347">
        <v>75231</v>
      </c>
      <c r="B347" t="s">
        <v>198</v>
      </c>
    </row>
    <row r="348" spans="1:2">
      <c r="A348">
        <v>75141</v>
      </c>
      <c r="B348" t="s">
        <v>198</v>
      </c>
    </row>
    <row r="349" spans="1:2">
      <c r="A349">
        <v>75204</v>
      </c>
      <c r="B349" t="s">
        <v>198</v>
      </c>
    </row>
    <row r="350" spans="1:2">
      <c r="A350">
        <v>75205</v>
      </c>
      <c r="B350" t="s">
        <v>198</v>
      </c>
    </row>
    <row r="351" spans="1:2">
      <c r="A351">
        <v>75241</v>
      </c>
      <c r="B351" t="s">
        <v>198</v>
      </c>
    </row>
    <row r="352" spans="1:2">
      <c r="A352">
        <v>75216</v>
      </c>
      <c r="B352" t="s">
        <v>198</v>
      </c>
    </row>
    <row r="353" spans="1:2">
      <c r="A353">
        <v>75202</v>
      </c>
      <c r="B353" t="s">
        <v>198</v>
      </c>
    </row>
    <row r="354" spans="1:2">
      <c r="A354">
        <v>75201</v>
      </c>
      <c r="B354" t="s">
        <v>198</v>
      </c>
    </row>
    <row r="355" spans="1:2">
      <c r="A355">
        <v>75203</v>
      </c>
      <c r="B355" t="s">
        <v>198</v>
      </c>
    </row>
    <row r="356" spans="1:2">
      <c r="A356">
        <v>75243</v>
      </c>
      <c r="B356" t="s">
        <v>198</v>
      </c>
    </row>
    <row r="357" spans="1:2">
      <c r="A357">
        <v>75225</v>
      </c>
      <c r="B357" t="s">
        <v>198</v>
      </c>
    </row>
    <row r="358" spans="1:2">
      <c r="A358">
        <v>75407</v>
      </c>
      <c r="B358" t="s">
        <v>198</v>
      </c>
    </row>
    <row r="359" spans="1:2">
      <c r="A359">
        <v>75069</v>
      </c>
      <c r="B359" t="s">
        <v>198</v>
      </c>
    </row>
    <row r="360" spans="1:2">
      <c r="A360">
        <v>75070</v>
      </c>
      <c r="B360" t="s">
        <v>198</v>
      </c>
    </row>
    <row r="361" spans="1:2">
      <c r="A361">
        <v>75071</v>
      </c>
      <c r="B361" t="s">
        <v>198</v>
      </c>
    </row>
    <row r="362" spans="1:2">
      <c r="A362">
        <v>75072</v>
      </c>
      <c r="B362" t="s">
        <v>198</v>
      </c>
    </row>
    <row r="363" spans="1:2">
      <c r="A363">
        <v>75002</v>
      </c>
      <c r="B363" t="s">
        <v>198</v>
      </c>
    </row>
    <row r="364" spans="1:2">
      <c r="A364">
        <v>75013</v>
      </c>
      <c r="B364" t="s">
        <v>198</v>
      </c>
    </row>
    <row r="365" spans="1:2">
      <c r="A365">
        <v>75074</v>
      </c>
      <c r="B365" t="s">
        <v>198</v>
      </c>
    </row>
    <row r="366" spans="1:2">
      <c r="A366">
        <v>75025</v>
      </c>
      <c r="B366" t="s">
        <v>198</v>
      </c>
    </row>
    <row r="367" spans="1:2">
      <c r="A367">
        <v>75023</v>
      </c>
      <c r="B367" t="s">
        <v>198</v>
      </c>
    </row>
    <row r="368" spans="1:2">
      <c r="A368">
        <v>75035</v>
      </c>
      <c r="B368" t="s">
        <v>198</v>
      </c>
    </row>
    <row r="369" spans="1:2">
      <c r="A369">
        <v>75009</v>
      </c>
      <c r="B369" t="s">
        <v>198</v>
      </c>
    </row>
    <row r="370" spans="1:2">
      <c r="A370">
        <v>75078</v>
      </c>
      <c r="B370" t="s">
        <v>198</v>
      </c>
    </row>
    <row r="371" spans="1:2">
      <c r="A371">
        <v>75033</v>
      </c>
      <c r="B371" t="s">
        <v>198</v>
      </c>
    </row>
    <row r="372" spans="1:2">
      <c r="A372">
        <v>75034</v>
      </c>
      <c r="B372" t="s">
        <v>198</v>
      </c>
    </row>
    <row r="373" spans="1:2">
      <c r="A373">
        <v>75036</v>
      </c>
      <c r="B373" t="s">
        <v>198</v>
      </c>
    </row>
    <row r="374" spans="1:2">
      <c r="A374">
        <v>75068</v>
      </c>
      <c r="B374" t="s">
        <v>198</v>
      </c>
    </row>
    <row r="375" spans="1:2">
      <c r="A375">
        <v>75056</v>
      </c>
      <c r="B375" t="s">
        <v>198</v>
      </c>
    </row>
    <row r="376" spans="1:2">
      <c r="A376">
        <v>75024</v>
      </c>
      <c r="B376" t="s">
        <v>198</v>
      </c>
    </row>
    <row r="377" spans="1:2">
      <c r="A377">
        <v>76227</v>
      </c>
      <c r="B377" t="s">
        <v>198</v>
      </c>
    </row>
    <row r="378" spans="1:2">
      <c r="A378">
        <v>75010</v>
      </c>
      <c r="B378" t="s">
        <v>198</v>
      </c>
    </row>
    <row r="379" spans="1:2">
      <c r="A379">
        <v>75065</v>
      </c>
      <c r="B379" t="s">
        <v>198</v>
      </c>
    </row>
    <row r="380" spans="1:2">
      <c r="A380">
        <v>75057</v>
      </c>
      <c r="B380" t="s">
        <v>198</v>
      </c>
    </row>
    <row r="381" spans="1:2">
      <c r="A381">
        <v>76116</v>
      </c>
      <c r="B381" t="s">
        <v>198</v>
      </c>
    </row>
    <row r="382" spans="1:2">
      <c r="A382">
        <v>76107</v>
      </c>
      <c r="B382" t="s">
        <v>198</v>
      </c>
    </row>
    <row r="383" spans="1:2">
      <c r="A383">
        <v>76109</v>
      </c>
      <c r="B383" t="s">
        <v>198</v>
      </c>
    </row>
    <row r="384" spans="1:2">
      <c r="A384">
        <v>76132</v>
      </c>
      <c r="B384" t="s">
        <v>198</v>
      </c>
    </row>
    <row r="385" spans="1:2">
      <c r="A385">
        <v>76133</v>
      </c>
      <c r="B385" t="s">
        <v>198</v>
      </c>
    </row>
    <row r="386" spans="1:2">
      <c r="A386">
        <v>76110</v>
      </c>
      <c r="B386" t="s">
        <v>198</v>
      </c>
    </row>
    <row r="387" spans="1:2">
      <c r="A387">
        <v>76115</v>
      </c>
      <c r="B387" t="s">
        <v>198</v>
      </c>
    </row>
    <row r="388" spans="1:2">
      <c r="A388">
        <v>76123</v>
      </c>
      <c r="B388" t="s">
        <v>198</v>
      </c>
    </row>
    <row r="389" spans="1:2">
      <c r="A389">
        <v>76134</v>
      </c>
      <c r="B389" t="s">
        <v>198</v>
      </c>
    </row>
    <row r="390" spans="1:2">
      <c r="A390">
        <v>76104</v>
      </c>
      <c r="B390" t="s">
        <v>198</v>
      </c>
    </row>
    <row r="391" spans="1:2">
      <c r="A391">
        <v>76102</v>
      </c>
      <c r="B391" t="s">
        <v>198</v>
      </c>
    </row>
    <row r="392" spans="1:2">
      <c r="A392">
        <v>76114</v>
      </c>
      <c r="B392" t="s">
        <v>198</v>
      </c>
    </row>
    <row r="393" spans="1:2">
      <c r="A393">
        <v>76164</v>
      </c>
      <c r="B393" t="s">
        <v>198</v>
      </c>
    </row>
    <row r="394" spans="1:2">
      <c r="A394">
        <v>76106</v>
      </c>
      <c r="B394" t="s">
        <v>198</v>
      </c>
    </row>
    <row r="395" spans="1:2">
      <c r="A395">
        <v>76111</v>
      </c>
      <c r="B395" t="s">
        <v>198</v>
      </c>
    </row>
    <row r="396" spans="1:2">
      <c r="A396">
        <v>76005</v>
      </c>
      <c r="B396" t="s">
        <v>198</v>
      </c>
    </row>
    <row r="397" spans="1:2">
      <c r="A397">
        <v>76105</v>
      </c>
      <c r="B397" t="s">
        <v>198</v>
      </c>
    </row>
    <row r="398" spans="1:2">
      <c r="A398">
        <v>76119</v>
      </c>
      <c r="B398" t="s">
        <v>198</v>
      </c>
    </row>
    <row r="399" spans="1:2">
      <c r="A399">
        <v>76103</v>
      </c>
      <c r="B399" t="s">
        <v>198</v>
      </c>
    </row>
    <row r="400" spans="1:2">
      <c r="A400">
        <v>76140</v>
      </c>
      <c r="B400" t="s">
        <v>198</v>
      </c>
    </row>
    <row r="401" spans="1:2">
      <c r="A401">
        <v>76117</v>
      </c>
      <c r="B401" t="s">
        <v>198</v>
      </c>
    </row>
    <row r="402" spans="1:2">
      <c r="A402">
        <v>76112</v>
      </c>
      <c r="B402" t="s">
        <v>198</v>
      </c>
    </row>
    <row r="403" spans="1:2">
      <c r="A403">
        <v>76060</v>
      </c>
      <c r="B403" t="s">
        <v>198</v>
      </c>
    </row>
    <row r="404" spans="1:2">
      <c r="A404">
        <v>76016</v>
      </c>
      <c r="B404" t="s">
        <v>198</v>
      </c>
    </row>
    <row r="405" spans="1:2">
      <c r="A405">
        <v>76120</v>
      </c>
      <c r="B405" t="s">
        <v>198</v>
      </c>
    </row>
    <row r="406" spans="1:2">
      <c r="A406">
        <v>76118</v>
      </c>
      <c r="B406" t="s">
        <v>198</v>
      </c>
    </row>
    <row r="407" spans="1:2">
      <c r="A407">
        <v>76131</v>
      </c>
      <c r="B407" t="s">
        <v>198</v>
      </c>
    </row>
    <row r="408" spans="1:2">
      <c r="A408">
        <v>76137</v>
      </c>
      <c r="B408" t="s">
        <v>198</v>
      </c>
    </row>
    <row r="409" spans="1:2">
      <c r="A409">
        <v>76180</v>
      </c>
      <c r="B409" t="s">
        <v>198</v>
      </c>
    </row>
    <row r="410" spans="1:2">
      <c r="A410">
        <v>75134</v>
      </c>
      <c r="B410" t="s">
        <v>198</v>
      </c>
    </row>
    <row r="411" spans="1:2">
      <c r="A411">
        <v>75232</v>
      </c>
      <c r="B411" t="s">
        <v>198</v>
      </c>
    </row>
    <row r="412" spans="1:2">
      <c r="A412">
        <v>75115</v>
      </c>
      <c r="B412" t="s">
        <v>198</v>
      </c>
    </row>
    <row r="413" spans="1:2">
      <c r="A413">
        <v>75237</v>
      </c>
      <c r="B413" t="s">
        <v>198</v>
      </c>
    </row>
    <row r="414" spans="1:2">
      <c r="A414">
        <v>75224</v>
      </c>
      <c r="B414" t="s">
        <v>198</v>
      </c>
    </row>
    <row r="415" spans="1:2">
      <c r="A415">
        <v>75233</v>
      </c>
      <c r="B415" t="s">
        <v>198</v>
      </c>
    </row>
    <row r="416" spans="1:2">
      <c r="A416">
        <v>75116</v>
      </c>
      <c r="B416" t="s">
        <v>198</v>
      </c>
    </row>
    <row r="417" spans="1:2">
      <c r="A417">
        <v>75137</v>
      </c>
      <c r="B417" t="s">
        <v>198</v>
      </c>
    </row>
    <row r="418" spans="1:2">
      <c r="A418">
        <v>75236</v>
      </c>
      <c r="B418" t="s">
        <v>198</v>
      </c>
    </row>
    <row r="419" spans="1:2">
      <c r="A419">
        <v>75208</v>
      </c>
      <c r="B419" t="s">
        <v>198</v>
      </c>
    </row>
    <row r="420" spans="1:2">
      <c r="A420">
        <v>75211</v>
      </c>
      <c r="B420" t="s">
        <v>198</v>
      </c>
    </row>
    <row r="421" spans="1:2">
      <c r="A421">
        <v>75249</v>
      </c>
      <c r="B421" t="s">
        <v>198</v>
      </c>
    </row>
    <row r="422" spans="1:2">
      <c r="A422">
        <v>75212</v>
      </c>
      <c r="B422" t="s">
        <v>198</v>
      </c>
    </row>
    <row r="423" spans="1:2">
      <c r="A423">
        <v>75207</v>
      </c>
      <c r="B423" t="s">
        <v>198</v>
      </c>
    </row>
    <row r="424" spans="1:2">
      <c r="A424">
        <v>75247</v>
      </c>
      <c r="B424" t="s">
        <v>198</v>
      </c>
    </row>
    <row r="425" spans="1:2">
      <c r="A425">
        <v>75219</v>
      </c>
      <c r="B425" t="s">
        <v>198</v>
      </c>
    </row>
    <row r="426" spans="1:2">
      <c r="A426">
        <v>75235</v>
      </c>
      <c r="B426" t="s">
        <v>198</v>
      </c>
    </row>
    <row r="427" spans="1:2">
      <c r="A427">
        <v>75060</v>
      </c>
      <c r="B427" t="s">
        <v>198</v>
      </c>
    </row>
    <row r="428" spans="1:2">
      <c r="A428">
        <v>75051</v>
      </c>
      <c r="B428" t="s">
        <v>198</v>
      </c>
    </row>
    <row r="429" spans="1:2">
      <c r="A429">
        <v>75050</v>
      </c>
      <c r="B429" t="s">
        <v>198</v>
      </c>
    </row>
    <row r="430" spans="1:2">
      <c r="A430">
        <v>75061</v>
      </c>
      <c r="B430" t="s">
        <v>198</v>
      </c>
    </row>
    <row r="431" spans="1:2">
      <c r="A431">
        <v>75104</v>
      </c>
      <c r="B431" t="s">
        <v>198</v>
      </c>
    </row>
    <row r="432" spans="1:2">
      <c r="A432">
        <v>75052</v>
      </c>
      <c r="B432" t="s">
        <v>198</v>
      </c>
    </row>
    <row r="433" spans="1:2">
      <c r="A433">
        <v>75062</v>
      </c>
      <c r="B433" t="s">
        <v>198</v>
      </c>
    </row>
    <row r="434" spans="1:2">
      <c r="A434">
        <v>75081</v>
      </c>
      <c r="B434" t="s">
        <v>198</v>
      </c>
    </row>
    <row r="435" spans="1:2">
      <c r="A435">
        <v>75080</v>
      </c>
      <c r="B435" t="s">
        <v>198</v>
      </c>
    </row>
    <row r="436" spans="1:2">
      <c r="A436">
        <v>75251</v>
      </c>
      <c r="B436" t="s">
        <v>198</v>
      </c>
    </row>
    <row r="437" spans="1:2">
      <c r="A437">
        <v>75240</v>
      </c>
      <c r="B437" t="s">
        <v>198</v>
      </c>
    </row>
    <row r="438" spans="1:2">
      <c r="A438">
        <v>75248</v>
      </c>
      <c r="B438" t="s">
        <v>198</v>
      </c>
    </row>
    <row r="439" spans="1:2">
      <c r="A439">
        <v>75230</v>
      </c>
      <c r="B439" t="s">
        <v>198</v>
      </c>
    </row>
    <row r="440" spans="1:2">
      <c r="A440">
        <v>75254</v>
      </c>
      <c r="B440" t="s">
        <v>198</v>
      </c>
    </row>
    <row r="441" spans="1:2">
      <c r="A441">
        <v>75252</v>
      </c>
      <c r="B441" t="s">
        <v>198</v>
      </c>
    </row>
    <row r="442" spans="1:2">
      <c r="A442">
        <v>75244</v>
      </c>
      <c r="B442" t="s">
        <v>198</v>
      </c>
    </row>
    <row r="443" spans="1:2">
      <c r="A443">
        <v>75001</v>
      </c>
      <c r="B443" t="s">
        <v>198</v>
      </c>
    </row>
    <row r="444" spans="1:2">
      <c r="A444">
        <v>75287</v>
      </c>
      <c r="B444" t="s">
        <v>198</v>
      </c>
    </row>
    <row r="445" spans="1:2">
      <c r="A445">
        <v>75093</v>
      </c>
      <c r="B445" t="s">
        <v>198</v>
      </c>
    </row>
    <row r="446" spans="1:2">
      <c r="A446">
        <v>75075</v>
      </c>
      <c r="B446" t="s">
        <v>198</v>
      </c>
    </row>
    <row r="447" spans="1:2">
      <c r="A447">
        <v>75006</v>
      </c>
      <c r="B447" t="s">
        <v>198</v>
      </c>
    </row>
    <row r="448" spans="1:2">
      <c r="A448">
        <v>75229</v>
      </c>
      <c r="B448" t="s">
        <v>198</v>
      </c>
    </row>
    <row r="449" spans="1:2">
      <c r="A449">
        <v>75007</v>
      </c>
      <c r="B449" t="s">
        <v>198</v>
      </c>
    </row>
    <row r="450" spans="1:2">
      <c r="A450">
        <v>75234</v>
      </c>
      <c r="B450" t="s">
        <v>198</v>
      </c>
    </row>
    <row r="451" spans="1:2">
      <c r="A451">
        <v>75220</v>
      </c>
      <c r="B451" t="s">
        <v>198</v>
      </c>
    </row>
    <row r="452" spans="1:2">
      <c r="A452">
        <v>75209</v>
      </c>
      <c r="B452" t="s">
        <v>198</v>
      </c>
    </row>
    <row r="453" spans="1:2">
      <c r="A453">
        <v>75039</v>
      </c>
      <c r="B453" t="s">
        <v>198</v>
      </c>
    </row>
    <row r="454" spans="1:2">
      <c r="A454">
        <v>76063</v>
      </c>
      <c r="B454" t="s">
        <v>198</v>
      </c>
    </row>
    <row r="455" spans="1:2">
      <c r="A455">
        <v>76001</v>
      </c>
      <c r="B455" t="s">
        <v>198</v>
      </c>
    </row>
    <row r="456" spans="1:2">
      <c r="A456">
        <v>76017</v>
      </c>
      <c r="B456" t="s">
        <v>198</v>
      </c>
    </row>
    <row r="457" spans="1:2">
      <c r="A457">
        <v>76018</v>
      </c>
      <c r="B457" t="s">
        <v>198</v>
      </c>
    </row>
    <row r="458" spans="1:2">
      <c r="A458">
        <v>76002</v>
      </c>
      <c r="B458" t="s">
        <v>198</v>
      </c>
    </row>
    <row r="459" spans="1:2">
      <c r="A459">
        <v>76015</v>
      </c>
      <c r="B459" t="s">
        <v>198</v>
      </c>
    </row>
    <row r="460" spans="1:2">
      <c r="A460">
        <v>76014</v>
      </c>
      <c r="B460" t="s">
        <v>198</v>
      </c>
    </row>
    <row r="461" spans="1:2">
      <c r="A461">
        <v>76013</v>
      </c>
      <c r="B461" t="s">
        <v>198</v>
      </c>
    </row>
    <row r="462" spans="1:2">
      <c r="A462">
        <v>76010</v>
      </c>
      <c r="B462" t="s">
        <v>198</v>
      </c>
    </row>
    <row r="463" spans="1:2">
      <c r="A463">
        <v>75054</v>
      </c>
      <c r="B463" t="s">
        <v>198</v>
      </c>
    </row>
    <row r="464" spans="1:2">
      <c r="A464">
        <v>76011</v>
      </c>
      <c r="B464" t="s">
        <v>198</v>
      </c>
    </row>
    <row r="465" spans="1:2">
      <c r="A465">
        <v>76012</v>
      </c>
      <c r="B465" t="s">
        <v>198</v>
      </c>
    </row>
    <row r="466" spans="1:2">
      <c r="A466">
        <v>76006</v>
      </c>
      <c r="B466" t="s">
        <v>198</v>
      </c>
    </row>
    <row r="467" spans="1:2">
      <c r="A467">
        <v>76040</v>
      </c>
      <c r="B467" t="s">
        <v>198</v>
      </c>
    </row>
    <row r="468" spans="1:2">
      <c r="A468">
        <v>76155</v>
      </c>
      <c r="B468" t="s">
        <v>198</v>
      </c>
    </row>
    <row r="469" spans="1:2">
      <c r="A469">
        <v>76022</v>
      </c>
      <c r="B469" t="s">
        <v>198</v>
      </c>
    </row>
    <row r="470" spans="1:2">
      <c r="A470">
        <v>76053</v>
      </c>
      <c r="B470" t="s">
        <v>198</v>
      </c>
    </row>
    <row r="471" spans="1:2">
      <c r="A471">
        <v>76021</v>
      </c>
      <c r="B471" t="s">
        <v>198</v>
      </c>
    </row>
    <row r="472" spans="1:2">
      <c r="A472">
        <v>76039</v>
      </c>
      <c r="B472" t="s">
        <v>198</v>
      </c>
    </row>
    <row r="473" spans="1:2">
      <c r="A473">
        <v>76054</v>
      </c>
      <c r="B473" t="s">
        <v>198</v>
      </c>
    </row>
    <row r="474" spans="1:2">
      <c r="A474">
        <v>76034</v>
      </c>
      <c r="B474" t="s">
        <v>198</v>
      </c>
    </row>
    <row r="475" spans="1:2">
      <c r="A475">
        <v>75038</v>
      </c>
      <c r="B475" t="s">
        <v>198</v>
      </c>
    </row>
    <row r="476" spans="1:2">
      <c r="A476">
        <v>76179</v>
      </c>
      <c r="B476" t="s">
        <v>198</v>
      </c>
    </row>
    <row r="477" spans="1:2">
      <c r="A477">
        <v>76052</v>
      </c>
      <c r="B477" t="s">
        <v>198</v>
      </c>
    </row>
    <row r="478" spans="1:2">
      <c r="A478">
        <v>76177</v>
      </c>
      <c r="B478" t="s">
        <v>198</v>
      </c>
    </row>
    <row r="479" spans="1:2">
      <c r="A479">
        <v>76244</v>
      </c>
      <c r="B479" t="s">
        <v>198</v>
      </c>
    </row>
    <row r="480" spans="1:2">
      <c r="A480">
        <v>76248</v>
      </c>
      <c r="B480" t="s">
        <v>198</v>
      </c>
    </row>
    <row r="481" spans="1:2">
      <c r="A481">
        <v>76148</v>
      </c>
      <c r="B481" t="s">
        <v>198</v>
      </c>
    </row>
    <row r="482" spans="1:2">
      <c r="A482">
        <v>76182</v>
      </c>
      <c r="B482" t="s">
        <v>198</v>
      </c>
    </row>
    <row r="483" spans="1:2">
      <c r="A483">
        <v>76262</v>
      </c>
      <c r="B483" t="s">
        <v>198</v>
      </c>
    </row>
    <row r="484" spans="1:2">
      <c r="A484">
        <v>76092</v>
      </c>
      <c r="B484" t="s">
        <v>198</v>
      </c>
    </row>
    <row r="485" spans="1:2">
      <c r="A485">
        <v>75022</v>
      </c>
      <c r="B485" t="s">
        <v>198</v>
      </c>
    </row>
    <row r="486" spans="1:2">
      <c r="A486">
        <v>76051</v>
      </c>
      <c r="B486" t="s">
        <v>198</v>
      </c>
    </row>
    <row r="487" spans="1:2">
      <c r="A487">
        <v>76207</v>
      </c>
      <c r="B487" t="s">
        <v>198</v>
      </c>
    </row>
    <row r="488" spans="1:2">
      <c r="A488">
        <v>76201</v>
      </c>
      <c r="B488" t="s">
        <v>198</v>
      </c>
    </row>
    <row r="489" spans="1:2">
      <c r="A489">
        <v>76209</v>
      </c>
      <c r="B489" t="s">
        <v>198</v>
      </c>
    </row>
    <row r="490" spans="1:2">
      <c r="A490">
        <v>76205</v>
      </c>
      <c r="B490" t="s">
        <v>198</v>
      </c>
    </row>
    <row r="491" spans="1:2">
      <c r="A491">
        <v>76208</v>
      </c>
      <c r="B491" t="s">
        <v>198</v>
      </c>
    </row>
    <row r="492" spans="1:2">
      <c r="A492">
        <v>76210</v>
      </c>
      <c r="B492" t="s">
        <v>198</v>
      </c>
    </row>
    <row r="493" spans="1:2">
      <c r="A493">
        <v>75077</v>
      </c>
      <c r="B493" t="s">
        <v>198</v>
      </c>
    </row>
    <row r="494" spans="1:2">
      <c r="A494">
        <v>75028</v>
      </c>
      <c r="B494" t="s">
        <v>198</v>
      </c>
    </row>
    <row r="495" spans="1:2">
      <c r="A495">
        <v>75067</v>
      </c>
      <c r="B495" t="s">
        <v>198</v>
      </c>
    </row>
    <row r="496" spans="1:2">
      <c r="A496">
        <v>75019</v>
      </c>
      <c r="B496" t="s">
        <v>198</v>
      </c>
    </row>
    <row r="497" spans="1:2">
      <c r="A497">
        <v>75063</v>
      </c>
      <c r="B497" t="s">
        <v>198</v>
      </c>
    </row>
    <row r="498" spans="1:2">
      <c r="A498">
        <v>77001</v>
      </c>
      <c r="B498" t="s">
        <v>198</v>
      </c>
    </row>
    <row r="499" spans="1:2">
      <c r="A499">
        <v>77002</v>
      </c>
      <c r="B499" t="s">
        <v>198</v>
      </c>
    </row>
    <row r="500" spans="1:2">
      <c r="A500">
        <v>77003</v>
      </c>
      <c r="B500" t="s">
        <v>198</v>
      </c>
    </row>
    <row r="501" spans="1:2">
      <c r="A501">
        <v>77004</v>
      </c>
      <c r="B501" t="s">
        <v>198</v>
      </c>
    </row>
    <row r="502" spans="1:2">
      <c r="A502">
        <v>77005</v>
      </c>
      <c r="B502" t="s">
        <v>198</v>
      </c>
    </row>
    <row r="503" spans="1:2">
      <c r="A503">
        <v>77006</v>
      </c>
      <c r="B503" t="s">
        <v>198</v>
      </c>
    </row>
    <row r="504" spans="1:2">
      <c r="A504">
        <v>77007</v>
      </c>
      <c r="B504" t="s">
        <v>198</v>
      </c>
    </row>
    <row r="505" spans="1:2">
      <c r="A505">
        <v>77008</v>
      </c>
      <c r="B505" t="s">
        <v>198</v>
      </c>
    </row>
    <row r="506" spans="1:2">
      <c r="A506">
        <v>77009</v>
      </c>
      <c r="B506" t="s">
        <v>198</v>
      </c>
    </row>
    <row r="507" spans="1:2">
      <c r="A507">
        <v>77010</v>
      </c>
      <c r="B507" t="s">
        <v>198</v>
      </c>
    </row>
    <row r="508" spans="1:2">
      <c r="A508">
        <v>77011</v>
      </c>
      <c r="B508" t="s">
        <v>198</v>
      </c>
    </row>
    <row r="509" spans="1:2">
      <c r="A509">
        <v>77012</v>
      </c>
      <c r="B509" t="s">
        <v>198</v>
      </c>
    </row>
    <row r="510" spans="1:2">
      <c r="A510">
        <v>77013</v>
      </c>
      <c r="B510" t="s">
        <v>198</v>
      </c>
    </row>
    <row r="511" spans="1:2">
      <c r="A511">
        <v>77014</v>
      </c>
      <c r="B511" t="s">
        <v>198</v>
      </c>
    </row>
    <row r="512" spans="1:2">
      <c r="A512">
        <v>77015</v>
      </c>
      <c r="B512" t="s">
        <v>198</v>
      </c>
    </row>
    <row r="513" spans="1:2">
      <c r="A513">
        <v>77016</v>
      </c>
      <c r="B513" t="s">
        <v>198</v>
      </c>
    </row>
    <row r="514" spans="1:2">
      <c r="A514">
        <v>77017</v>
      </c>
      <c r="B514" t="s">
        <v>198</v>
      </c>
    </row>
    <row r="515" spans="1:2">
      <c r="A515">
        <v>77018</v>
      </c>
      <c r="B515" t="s">
        <v>198</v>
      </c>
    </row>
    <row r="516" spans="1:2">
      <c r="A516">
        <v>77019</v>
      </c>
      <c r="B516" t="s">
        <v>198</v>
      </c>
    </row>
    <row r="517" spans="1:2">
      <c r="A517">
        <v>77020</v>
      </c>
      <c r="B517" t="s">
        <v>198</v>
      </c>
    </row>
    <row r="518" spans="1:2">
      <c r="A518">
        <v>77021</v>
      </c>
      <c r="B518" t="s">
        <v>198</v>
      </c>
    </row>
    <row r="519" spans="1:2">
      <c r="A519">
        <v>77022</v>
      </c>
      <c r="B519" t="s">
        <v>198</v>
      </c>
    </row>
    <row r="520" spans="1:2">
      <c r="A520">
        <v>77023</v>
      </c>
      <c r="B520" t="s">
        <v>198</v>
      </c>
    </row>
    <row r="521" spans="1:2">
      <c r="A521">
        <v>77024</v>
      </c>
      <c r="B521" t="s">
        <v>198</v>
      </c>
    </row>
    <row r="522" spans="1:2">
      <c r="A522">
        <v>77025</v>
      </c>
      <c r="B522" t="s">
        <v>198</v>
      </c>
    </row>
    <row r="523" spans="1:2">
      <c r="A523">
        <v>77026</v>
      </c>
      <c r="B523" t="s">
        <v>198</v>
      </c>
    </row>
    <row r="524" spans="1:2">
      <c r="A524">
        <v>77027</v>
      </c>
      <c r="B524" t="s">
        <v>198</v>
      </c>
    </row>
    <row r="525" spans="1:2">
      <c r="A525">
        <v>77028</v>
      </c>
      <c r="B525" t="s">
        <v>198</v>
      </c>
    </row>
    <row r="526" spans="1:2">
      <c r="A526">
        <v>77029</v>
      </c>
      <c r="B526" t="s">
        <v>198</v>
      </c>
    </row>
    <row r="527" spans="1:2">
      <c r="A527">
        <v>77030</v>
      </c>
      <c r="B527" t="s">
        <v>198</v>
      </c>
    </row>
    <row r="528" spans="1:2">
      <c r="A528">
        <v>77031</v>
      </c>
      <c r="B528" t="s">
        <v>198</v>
      </c>
    </row>
    <row r="529" spans="1:2">
      <c r="A529">
        <v>77032</v>
      </c>
      <c r="B529" t="s">
        <v>198</v>
      </c>
    </row>
    <row r="530" spans="1:2">
      <c r="A530">
        <v>77033</v>
      </c>
      <c r="B530" t="s">
        <v>198</v>
      </c>
    </row>
    <row r="531" spans="1:2">
      <c r="A531">
        <v>77034</v>
      </c>
      <c r="B531" t="s">
        <v>198</v>
      </c>
    </row>
    <row r="532" spans="1:2">
      <c r="A532">
        <v>77035</v>
      </c>
      <c r="B532" t="s">
        <v>198</v>
      </c>
    </row>
    <row r="533" spans="1:2">
      <c r="A533">
        <v>77036</v>
      </c>
      <c r="B533" t="s">
        <v>198</v>
      </c>
    </row>
    <row r="534" spans="1:2">
      <c r="A534">
        <v>77037</v>
      </c>
      <c r="B534" t="s">
        <v>198</v>
      </c>
    </row>
    <row r="535" spans="1:2">
      <c r="A535">
        <v>77038</v>
      </c>
      <c r="B535" t="s">
        <v>198</v>
      </c>
    </row>
    <row r="536" spans="1:2">
      <c r="A536">
        <v>77039</v>
      </c>
      <c r="B536" t="s">
        <v>198</v>
      </c>
    </row>
    <row r="537" spans="1:2">
      <c r="A537">
        <v>77040</v>
      </c>
      <c r="B537" t="s">
        <v>198</v>
      </c>
    </row>
    <row r="538" spans="1:2">
      <c r="A538">
        <v>77041</v>
      </c>
      <c r="B538" t="s">
        <v>198</v>
      </c>
    </row>
    <row r="539" spans="1:2">
      <c r="A539">
        <v>77042</v>
      </c>
      <c r="B539" t="s">
        <v>198</v>
      </c>
    </row>
    <row r="540" spans="1:2">
      <c r="A540">
        <v>77043</v>
      </c>
      <c r="B540" t="s">
        <v>198</v>
      </c>
    </row>
    <row r="541" spans="1:2">
      <c r="A541">
        <v>77044</v>
      </c>
      <c r="B541" t="s">
        <v>198</v>
      </c>
    </row>
    <row r="542" spans="1:2">
      <c r="A542">
        <v>77045</v>
      </c>
      <c r="B542" t="s">
        <v>198</v>
      </c>
    </row>
    <row r="543" spans="1:2">
      <c r="A543">
        <v>77046</v>
      </c>
      <c r="B543" t="s">
        <v>198</v>
      </c>
    </row>
    <row r="544" spans="1:2">
      <c r="A544">
        <v>77047</v>
      </c>
      <c r="B544" t="s">
        <v>198</v>
      </c>
    </row>
    <row r="545" spans="1:2">
      <c r="A545">
        <v>77048</v>
      </c>
      <c r="B545" t="s">
        <v>198</v>
      </c>
    </row>
    <row r="546" spans="1:2">
      <c r="A546">
        <v>77049</v>
      </c>
      <c r="B546" t="s">
        <v>198</v>
      </c>
    </row>
    <row r="547" spans="1:2">
      <c r="A547">
        <v>77050</v>
      </c>
      <c r="B547" t="s">
        <v>198</v>
      </c>
    </row>
    <row r="548" spans="1:2">
      <c r="A548">
        <v>77051</v>
      </c>
      <c r="B548" t="s">
        <v>198</v>
      </c>
    </row>
    <row r="549" spans="1:2">
      <c r="A549">
        <v>77052</v>
      </c>
      <c r="B549" t="s">
        <v>198</v>
      </c>
    </row>
    <row r="550" spans="1:2">
      <c r="A550">
        <v>77053</v>
      </c>
      <c r="B550" t="s">
        <v>198</v>
      </c>
    </row>
    <row r="551" spans="1:2">
      <c r="A551">
        <v>77054</v>
      </c>
      <c r="B551" t="s">
        <v>198</v>
      </c>
    </row>
    <row r="552" spans="1:2">
      <c r="A552">
        <v>77055</v>
      </c>
      <c r="B552" t="s">
        <v>198</v>
      </c>
    </row>
    <row r="553" spans="1:2">
      <c r="A553">
        <v>77056</v>
      </c>
      <c r="B553" t="s">
        <v>198</v>
      </c>
    </row>
    <row r="554" spans="1:2">
      <c r="A554">
        <v>77057</v>
      </c>
      <c r="B554" t="s">
        <v>198</v>
      </c>
    </row>
    <row r="555" spans="1:2">
      <c r="A555">
        <v>77058</v>
      </c>
      <c r="B555" t="s">
        <v>198</v>
      </c>
    </row>
    <row r="556" spans="1:2">
      <c r="A556">
        <v>77059</v>
      </c>
      <c r="B556" t="s">
        <v>198</v>
      </c>
    </row>
    <row r="557" spans="1:2">
      <c r="A557">
        <v>77060</v>
      </c>
      <c r="B557" t="s">
        <v>198</v>
      </c>
    </row>
    <row r="558" spans="1:2">
      <c r="A558">
        <v>77061</v>
      </c>
      <c r="B558" t="s">
        <v>198</v>
      </c>
    </row>
    <row r="559" spans="1:2">
      <c r="A559">
        <v>77062</v>
      </c>
      <c r="B559" t="s">
        <v>198</v>
      </c>
    </row>
    <row r="560" spans="1:2">
      <c r="A560">
        <v>77063</v>
      </c>
      <c r="B560" t="s">
        <v>198</v>
      </c>
    </row>
    <row r="561" spans="1:2">
      <c r="A561">
        <v>77064</v>
      </c>
      <c r="B561" t="s">
        <v>198</v>
      </c>
    </row>
    <row r="562" spans="1:2">
      <c r="A562">
        <v>77065</v>
      </c>
      <c r="B562" t="s">
        <v>198</v>
      </c>
    </row>
    <row r="563" spans="1:2">
      <c r="A563">
        <v>77066</v>
      </c>
      <c r="B563" t="s">
        <v>198</v>
      </c>
    </row>
    <row r="564" spans="1:2">
      <c r="A564">
        <v>77067</v>
      </c>
      <c r="B564" t="s">
        <v>198</v>
      </c>
    </row>
    <row r="565" spans="1:2">
      <c r="A565">
        <v>77068</v>
      </c>
      <c r="B565" t="s">
        <v>198</v>
      </c>
    </row>
    <row r="566" spans="1:2">
      <c r="A566">
        <v>77069</v>
      </c>
      <c r="B566" t="s">
        <v>198</v>
      </c>
    </row>
    <row r="567" spans="1:2">
      <c r="A567">
        <v>77070</v>
      </c>
      <c r="B567" t="s">
        <v>198</v>
      </c>
    </row>
    <row r="568" spans="1:2">
      <c r="A568">
        <v>77071</v>
      </c>
      <c r="B568" t="s">
        <v>198</v>
      </c>
    </row>
    <row r="569" spans="1:2">
      <c r="A569">
        <v>77072</v>
      </c>
      <c r="B569" t="s">
        <v>198</v>
      </c>
    </row>
    <row r="570" spans="1:2">
      <c r="A570">
        <v>77073</v>
      </c>
      <c r="B570" t="s">
        <v>198</v>
      </c>
    </row>
    <row r="571" spans="1:2">
      <c r="A571">
        <v>77074</v>
      </c>
      <c r="B571" t="s">
        <v>198</v>
      </c>
    </row>
    <row r="572" spans="1:2">
      <c r="A572">
        <v>77075</v>
      </c>
      <c r="B572" t="s">
        <v>198</v>
      </c>
    </row>
    <row r="573" spans="1:2">
      <c r="A573">
        <v>77076</v>
      </c>
      <c r="B573" t="s">
        <v>198</v>
      </c>
    </row>
    <row r="574" spans="1:2">
      <c r="A574">
        <v>77077</v>
      </c>
      <c r="B574" t="s">
        <v>198</v>
      </c>
    </row>
    <row r="575" spans="1:2">
      <c r="A575">
        <v>77078</v>
      </c>
      <c r="B575" t="s">
        <v>198</v>
      </c>
    </row>
    <row r="576" spans="1:2">
      <c r="A576">
        <v>77079</v>
      </c>
      <c r="B576" t="s">
        <v>198</v>
      </c>
    </row>
    <row r="577" spans="1:2">
      <c r="A577">
        <v>77080</v>
      </c>
      <c r="B577" t="s">
        <v>198</v>
      </c>
    </row>
    <row r="578" spans="1:2">
      <c r="A578">
        <v>77081</v>
      </c>
      <c r="B578" t="s">
        <v>198</v>
      </c>
    </row>
    <row r="579" spans="1:2">
      <c r="A579">
        <v>77082</v>
      </c>
      <c r="B579" t="s">
        <v>198</v>
      </c>
    </row>
    <row r="580" spans="1:2">
      <c r="A580">
        <v>77083</v>
      </c>
      <c r="B580" t="s">
        <v>198</v>
      </c>
    </row>
    <row r="581" spans="1:2">
      <c r="A581">
        <v>77084</v>
      </c>
      <c r="B581" t="s">
        <v>198</v>
      </c>
    </row>
    <row r="582" spans="1:2">
      <c r="A582">
        <v>77085</v>
      </c>
      <c r="B582" t="s">
        <v>198</v>
      </c>
    </row>
    <row r="583" spans="1:2">
      <c r="A583">
        <v>77086</v>
      </c>
      <c r="B583" t="s">
        <v>198</v>
      </c>
    </row>
    <row r="584" spans="1:2">
      <c r="A584">
        <v>77087</v>
      </c>
      <c r="B584" t="s">
        <v>198</v>
      </c>
    </row>
    <row r="585" spans="1:2">
      <c r="A585">
        <v>77088</v>
      </c>
      <c r="B585" t="s">
        <v>198</v>
      </c>
    </row>
    <row r="586" spans="1:2">
      <c r="A586">
        <v>77089</v>
      </c>
      <c r="B586" t="s">
        <v>198</v>
      </c>
    </row>
    <row r="587" spans="1:2">
      <c r="A587">
        <v>77090</v>
      </c>
      <c r="B587" t="s">
        <v>198</v>
      </c>
    </row>
    <row r="588" spans="1:2">
      <c r="A588">
        <v>77091</v>
      </c>
      <c r="B588" t="s">
        <v>198</v>
      </c>
    </row>
    <row r="589" spans="1:2">
      <c r="A589">
        <v>77092</v>
      </c>
      <c r="B589" t="s">
        <v>198</v>
      </c>
    </row>
    <row r="590" spans="1:2">
      <c r="A590">
        <v>77093</v>
      </c>
      <c r="B590" t="s">
        <v>198</v>
      </c>
    </row>
    <row r="591" spans="1:2">
      <c r="A591">
        <v>77094</v>
      </c>
      <c r="B591" t="s">
        <v>198</v>
      </c>
    </row>
    <row r="592" spans="1:2">
      <c r="A592">
        <v>77095</v>
      </c>
      <c r="B592" t="s">
        <v>198</v>
      </c>
    </row>
    <row r="593" spans="1:2">
      <c r="A593">
        <v>77096</v>
      </c>
      <c r="B593" t="s">
        <v>198</v>
      </c>
    </row>
    <row r="594" spans="1:2">
      <c r="A594">
        <v>77098</v>
      </c>
      <c r="B594" t="s">
        <v>198</v>
      </c>
    </row>
    <row r="595" spans="1:2">
      <c r="A595">
        <v>77099</v>
      </c>
      <c r="B595" t="s">
        <v>198</v>
      </c>
    </row>
    <row r="596" spans="1:2">
      <c r="A596">
        <v>77201</v>
      </c>
      <c r="B596" t="s">
        <v>198</v>
      </c>
    </row>
    <row r="597" spans="1:2">
      <c r="A597">
        <v>77204</v>
      </c>
      <c r="B597" t="s">
        <v>198</v>
      </c>
    </row>
    <row r="598" spans="1:2">
      <c r="A598">
        <v>77218</v>
      </c>
      <c r="B598" t="s">
        <v>198</v>
      </c>
    </row>
    <row r="599" spans="1:2">
      <c r="A599">
        <v>77301</v>
      </c>
      <c r="B599" t="s">
        <v>198</v>
      </c>
    </row>
    <row r="600" spans="1:2">
      <c r="A600">
        <v>77302</v>
      </c>
      <c r="B600" t="s">
        <v>198</v>
      </c>
    </row>
    <row r="601" spans="1:2">
      <c r="A601">
        <v>77304</v>
      </c>
      <c r="B601" t="s">
        <v>198</v>
      </c>
    </row>
    <row r="602" spans="1:2">
      <c r="A602">
        <v>77306</v>
      </c>
      <c r="B602" t="s">
        <v>198</v>
      </c>
    </row>
    <row r="603" spans="1:2">
      <c r="A603">
        <v>77315</v>
      </c>
      <c r="B603" t="s">
        <v>198</v>
      </c>
    </row>
    <row r="604" spans="1:2">
      <c r="A604">
        <v>77316</v>
      </c>
      <c r="B604" t="s">
        <v>198</v>
      </c>
    </row>
    <row r="605" spans="1:2">
      <c r="A605">
        <v>77336</v>
      </c>
      <c r="B605" t="s">
        <v>198</v>
      </c>
    </row>
    <row r="606" spans="1:2">
      <c r="A606">
        <v>77338</v>
      </c>
      <c r="B606" t="s">
        <v>198</v>
      </c>
    </row>
    <row r="607" spans="1:2">
      <c r="A607">
        <v>77339</v>
      </c>
      <c r="B607" t="s">
        <v>198</v>
      </c>
    </row>
    <row r="608" spans="1:2">
      <c r="A608">
        <v>77345</v>
      </c>
      <c r="B608" t="s">
        <v>198</v>
      </c>
    </row>
    <row r="609" spans="1:2">
      <c r="A609">
        <v>77346</v>
      </c>
      <c r="B609" t="s">
        <v>198</v>
      </c>
    </row>
    <row r="610" spans="1:2">
      <c r="A610">
        <v>77354</v>
      </c>
      <c r="B610" t="s">
        <v>198</v>
      </c>
    </row>
    <row r="611" spans="1:2">
      <c r="A611">
        <v>77355</v>
      </c>
      <c r="B611" t="s">
        <v>198</v>
      </c>
    </row>
    <row r="612" spans="1:2">
      <c r="A612">
        <v>77357</v>
      </c>
      <c r="B612" t="s">
        <v>198</v>
      </c>
    </row>
    <row r="613" spans="1:2">
      <c r="A613">
        <v>77362</v>
      </c>
      <c r="B613" t="s">
        <v>198</v>
      </c>
    </row>
    <row r="614" spans="1:2">
      <c r="A614">
        <v>77365</v>
      </c>
      <c r="B614" t="s">
        <v>198</v>
      </c>
    </row>
    <row r="615" spans="1:2">
      <c r="A615">
        <v>77372</v>
      </c>
      <c r="B615" t="s">
        <v>198</v>
      </c>
    </row>
    <row r="616" spans="1:2">
      <c r="A616">
        <v>77373</v>
      </c>
      <c r="B616" t="s">
        <v>198</v>
      </c>
    </row>
    <row r="617" spans="1:2">
      <c r="A617">
        <v>77375</v>
      </c>
      <c r="B617" t="s">
        <v>198</v>
      </c>
    </row>
    <row r="618" spans="1:2">
      <c r="A618">
        <v>77377</v>
      </c>
      <c r="B618" t="s">
        <v>198</v>
      </c>
    </row>
    <row r="619" spans="1:2">
      <c r="A619">
        <v>77379</v>
      </c>
      <c r="B619" t="s">
        <v>198</v>
      </c>
    </row>
    <row r="620" spans="1:2">
      <c r="A620">
        <v>77380</v>
      </c>
      <c r="B620" t="s">
        <v>198</v>
      </c>
    </row>
    <row r="621" spans="1:2">
      <c r="A621">
        <v>77381</v>
      </c>
      <c r="B621" t="s">
        <v>198</v>
      </c>
    </row>
    <row r="622" spans="1:2">
      <c r="A622">
        <v>77382</v>
      </c>
      <c r="B622" t="s">
        <v>198</v>
      </c>
    </row>
    <row r="623" spans="1:2">
      <c r="A623">
        <v>77384</v>
      </c>
      <c r="B623" t="s">
        <v>198</v>
      </c>
    </row>
    <row r="624" spans="1:2">
      <c r="A624">
        <v>77385</v>
      </c>
      <c r="B624" t="s">
        <v>198</v>
      </c>
    </row>
    <row r="625" spans="1:2">
      <c r="A625">
        <v>77386</v>
      </c>
      <c r="B625" t="s">
        <v>198</v>
      </c>
    </row>
    <row r="626" spans="1:2">
      <c r="A626">
        <v>77388</v>
      </c>
      <c r="B626" t="s">
        <v>198</v>
      </c>
    </row>
    <row r="627" spans="1:2">
      <c r="A627">
        <v>77389</v>
      </c>
      <c r="B627" t="s">
        <v>198</v>
      </c>
    </row>
    <row r="628" spans="1:2">
      <c r="A628">
        <v>77391</v>
      </c>
      <c r="B628" t="s">
        <v>198</v>
      </c>
    </row>
    <row r="629" spans="1:2">
      <c r="A629">
        <v>77396</v>
      </c>
      <c r="B629" t="s">
        <v>198</v>
      </c>
    </row>
    <row r="630" spans="1:2">
      <c r="A630">
        <v>77401</v>
      </c>
      <c r="B630" t="s">
        <v>198</v>
      </c>
    </row>
    <row r="631" spans="1:2">
      <c r="A631">
        <v>77402</v>
      </c>
      <c r="B631" t="s">
        <v>198</v>
      </c>
    </row>
    <row r="632" spans="1:2">
      <c r="A632">
        <v>77406</v>
      </c>
      <c r="B632" t="s">
        <v>198</v>
      </c>
    </row>
    <row r="633" spans="1:2">
      <c r="A633">
        <v>77407</v>
      </c>
      <c r="B633" t="s">
        <v>198</v>
      </c>
    </row>
    <row r="634" spans="1:2">
      <c r="A634">
        <v>77410</v>
      </c>
      <c r="B634" t="s">
        <v>198</v>
      </c>
    </row>
    <row r="635" spans="1:2">
      <c r="A635">
        <v>77411</v>
      </c>
      <c r="B635" t="s">
        <v>198</v>
      </c>
    </row>
    <row r="636" spans="1:2">
      <c r="A636">
        <v>77413</v>
      </c>
      <c r="B636" t="s">
        <v>198</v>
      </c>
    </row>
    <row r="637" spans="1:2">
      <c r="A637">
        <v>77423</v>
      </c>
      <c r="B637" t="s">
        <v>198</v>
      </c>
    </row>
    <row r="638" spans="1:2">
      <c r="A638">
        <v>77429</v>
      </c>
      <c r="B638" t="s">
        <v>198</v>
      </c>
    </row>
    <row r="639" spans="1:2">
      <c r="A639">
        <v>77433</v>
      </c>
      <c r="B639" t="s">
        <v>198</v>
      </c>
    </row>
    <row r="640" spans="1:2">
      <c r="A640">
        <v>77441</v>
      </c>
      <c r="B640" t="s">
        <v>198</v>
      </c>
    </row>
    <row r="641" spans="1:2">
      <c r="A641">
        <v>77447</v>
      </c>
      <c r="B641" t="s">
        <v>198</v>
      </c>
    </row>
    <row r="642" spans="1:2">
      <c r="A642">
        <v>77449</v>
      </c>
      <c r="B642" t="s">
        <v>198</v>
      </c>
    </row>
    <row r="643" spans="1:2">
      <c r="A643">
        <v>77450</v>
      </c>
      <c r="B643" t="s">
        <v>198</v>
      </c>
    </row>
    <row r="644" spans="1:2">
      <c r="A644">
        <v>77459</v>
      </c>
      <c r="B644" t="s">
        <v>198</v>
      </c>
    </row>
    <row r="645" spans="1:2">
      <c r="A645">
        <v>77464</v>
      </c>
      <c r="B645" t="s">
        <v>198</v>
      </c>
    </row>
    <row r="646" spans="1:2">
      <c r="A646">
        <v>77466</v>
      </c>
      <c r="B646" t="s">
        <v>198</v>
      </c>
    </row>
    <row r="647" spans="1:2">
      <c r="A647">
        <v>77469</v>
      </c>
      <c r="B647" t="s">
        <v>198</v>
      </c>
    </row>
    <row r="648" spans="1:2">
      <c r="A648">
        <v>77471</v>
      </c>
      <c r="B648" t="s">
        <v>198</v>
      </c>
    </row>
    <row r="649" spans="1:2">
      <c r="A649">
        <v>77473</v>
      </c>
      <c r="B649" t="s">
        <v>198</v>
      </c>
    </row>
    <row r="650" spans="1:2">
      <c r="A650">
        <v>77476</v>
      </c>
      <c r="B650" t="s">
        <v>198</v>
      </c>
    </row>
    <row r="651" spans="1:2">
      <c r="A651">
        <v>77477</v>
      </c>
      <c r="B651" t="s">
        <v>198</v>
      </c>
    </row>
    <row r="652" spans="1:2">
      <c r="A652">
        <v>77478</v>
      </c>
      <c r="B652" t="s">
        <v>198</v>
      </c>
    </row>
    <row r="653" spans="1:2">
      <c r="A653">
        <v>77479</v>
      </c>
      <c r="B653" t="s">
        <v>198</v>
      </c>
    </row>
    <row r="654" spans="1:2">
      <c r="A654">
        <v>77481</v>
      </c>
      <c r="B654" t="s">
        <v>198</v>
      </c>
    </row>
    <row r="655" spans="1:2">
      <c r="A655">
        <v>77487</v>
      </c>
      <c r="B655" t="s">
        <v>198</v>
      </c>
    </row>
    <row r="656" spans="1:2">
      <c r="A656">
        <v>77489</v>
      </c>
      <c r="B656" t="s">
        <v>198</v>
      </c>
    </row>
    <row r="657" spans="1:2">
      <c r="A657">
        <v>77491</v>
      </c>
      <c r="B657" t="s">
        <v>198</v>
      </c>
    </row>
    <row r="658" spans="1:2">
      <c r="A658">
        <v>77492</v>
      </c>
      <c r="B658" t="s">
        <v>198</v>
      </c>
    </row>
    <row r="659" spans="1:2">
      <c r="A659">
        <v>77493</v>
      </c>
      <c r="B659" t="s">
        <v>198</v>
      </c>
    </row>
    <row r="660" spans="1:2">
      <c r="A660">
        <v>77494</v>
      </c>
      <c r="B660" t="s">
        <v>198</v>
      </c>
    </row>
    <row r="661" spans="1:2">
      <c r="A661">
        <v>77496</v>
      </c>
      <c r="B661" t="s">
        <v>198</v>
      </c>
    </row>
    <row r="662" spans="1:2">
      <c r="A662">
        <v>77497</v>
      </c>
      <c r="B662" t="s">
        <v>198</v>
      </c>
    </row>
    <row r="663" spans="1:2">
      <c r="A663">
        <v>77498</v>
      </c>
      <c r="B663" t="s">
        <v>198</v>
      </c>
    </row>
    <row r="664" spans="1:2">
      <c r="A664">
        <v>77501</v>
      </c>
      <c r="B664" t="s">
        <v>198</v>
      </c>
    </row>
    <row r="665" spans="1:2">
      <c r="A665">
        <v>77502</v>
      </c>
      <c r="B665" t="s">
        <v>198</v>
      </c>
    </row>
    <row r="666" spans="1:2">
      <c r="A666">
        <v>77503</v>
      </c>
      <c r="B666" t="s">
        <v>198</v>
      </c>
    </row>
    <row r="667" spans="1:2">
      <c r="A667">
        <v>77504</v>
      </c>
      <c r="B667" t="s">
        <v>198</v>
      </c>
    </row>
    <row r="668" spans="1:2">
      <c r="A668">
        <v>77505</v>
      </c>
      <c r="B668" t="s">
        <v>198</v>
      </c>
    </row>
    <row r="669" spans="1:2">
      <c r="A669">
        <v>77506</v>
      </c>
      <c r="B669" t="s">
        <v>198</v>
      </c>
    </row>
    <row r="670" spans="1:2">
      <c r="A670">
        <v>77507</v>
      </c>
      <c r="B670" t="s">
        <v>198</v>
      </c>
    </row>
    <row r="671" spans="1:2">
      <c r="A671">
        <v>77508</v>
      </c>
      <c r="B671" t="s">
        <v>198</v>
      </c>
    </row>
    <row r="672" spans="1:2">
      <c r="A672">
        <v>77510</v>
      </c>
      <c r="B672" t="s">
        <v>198</v>
      </c>
    </row>
    <row r="673" spans="1:2">
      <c r="A673">
        <v>77511</v>
      </c>
      <c r="B673" t="s">
        <v>198</v>
      </c>
    </row>
    <row r="674" spans="1:2">
      <c r="A674">
        <v>77512</v>
      </c>
      <c r="B674" t="s">
        <v>198</v>
      </c>
    </row>
    <row r="675" spans="1:2">
      <c r="A675">
        <v>77515</v>
      </c>
      <c r="B675" t="s">
        <v>198</v>
      </c>
    </row>
    <row r="676" spans="1:2">
      <c r="A676">
        <v>77517</v>
      </c>
      <c r="B676" t="s">
        <v>198</v>
      </c>
    </row>
    <row r="677" spans="1:2">
      <c r="A677">
        <v>77518</v>
      </c>
      <c r="B677" t="s">
        <v>198</v>
      </c>
    </row>
    <row r="678" spans="1:2">
      <c r="A678">
        <v>77520</v>
      </c>
      <c r="B678" t="s">
        <v>198</v>
      </c>
    </row>
    <row r="679" spans="1:2">
      <c r="A679">
        <v>77521</v>
      </c>
      <c r="B679" t="s">
        <v>198</v>
      </c>
    </row>
    <row r="680" spans="1:2">
      <c r="A680">
        <v>77523</v>
      </c>
      <c r="B680" t="s">
        <v>198</v>
      </c>
    </row>
    <row r="681" spans="1:2">
      <c r="A681">
        <v>77530</v>
      </c>
      <c r="B681" t="s">
        <v>198</v>
      </c>
    </row>
    <row r="682" spans="1:2">
      <c r="A682">
        <v>77532</v>
      </c>
      <c r="B682" t="s">
        <v>198</v>
      </c>
    </row>
    <row r="683" spans="1:2">
      <c r="A683">
        <v>77536</v>
      </c>
      <c r="B683" t="s">
        <v>198</v>
      </c>
    </row>
    <row r="684" spans="1:2">
      <c r="A684">
        <v>77539</v>
      </c>
      <c r="B684" t="s">
        <v>198</v>
      </c>
    </row>
    <row r="685" spans="1:2">
      <c r="A685">
        <v>77545</v>
      </c>
      <c r="B685" t="s">
        <v>198</v>
      </c>
    </row>
    <row r="686" spans="1:2">
      <c r="A686">
        <v>77546</v>
      </c>
      <c r="B686" t="s">
        <v>198</v>
      </c>
    </row>
    <row r="687" spans="1:2">
      <c r="A687">
        <v>77547</v>
      </c>
      <c r="B687" t="s">
        <v>198</v>
      </c>
    </row>
    <row r="688" spans="1:2">
      <c r="A688">
        <v>77549</v>
      </c>
      <c r="B688" t="s">
        <v>198</v>
      </c>
    </row>
    <row r="689" spans="1:2">
      <c r="A689">
        <v>77550</v>
      </c>
      <c r="B689" t="s">
        <v>198</v>
      </c>
    </row>
    <row r="690" spans="1:2">
      <c r="A690">
        <v>77551</v>
      </c>
      <c r="B690" t="s">
        <v>198</v>
      </c>
    </row>
    <row r="691" spans="1:2">
      <c r="A691">
        <v>77554</v>
      </c>
      <c r="B691" t="s">
        <v>198</v>
      </c>
    </row>
    <row r="692" spans="1:2">
      <c r="A692">
        <v>77562</v>
      </c>
      <c r="B692" t="s">
        <v>198</v>
      </c>
    </row>
    <row r="693" spans="1:2">
      <c r="A693">
        <v>77563</v>
      </c>
      <c r="B693" t="s">
        <v>198</v>
      </c>
    </row>
    <row r="694" spans="1:2">
      <c r="A694">
        <v>77565</v>
      </c>
      <c r="B694" t="s">
        <v>198</v>
      </c>
    </row>
    <row r="695" spans="1:2">
      <c r="A695">
        <v>77568</v>
      </c>
      <c r="B695" t="s">
        <v>198</v>
      </c>
    </row>
    <row r="696" spans="1:2">
      <c r="A696">
        <v>77571</v>
      </c>
      <c r="B696" t="s">
        <v>198</v>
      </c>
    </row>
    <row r="697" spans="1:2">
      <c r="A697">
        <v>77572</v>
      </c>
      <c r="B697" t="s">
        <v>198</v>
      </c>
    </row>
    <row r="698" spans="1:2">
      <c r="A698">
        <v>77573</v>
      </c>
      <c r="B698" t="s">
        <v>198</v>
      </c>
    </row>
    <row r="699" spans="1:2">
      <c r="A699">
        <v>77574</v>
      </c>
      <c r="B699" t="s">
        <v>198</v>
      </c>
    </row>
    <row r="700" spans="1:2">
      <c r="A700">
        <v>77577</v>
      </c>
      <c r="B700" t="s">
        <v>198</v>
      </c>
    </row>
    <row r="701" spans="1:2">
      <c r="A701">
        <v>77578</v>
      </c>
      <c r="B701" t="s">
        <v>198</v>
      </c>
    </row>
    <row r="702" spans="1:2">
      <c r="A702">
        <v>77580</v>
      </c>
      <c r="B702" t="s">
        <v>198</v>
      </c>
    </row>
    <row r="703" spans="1:2">
      <c r="A703">
        <v>77581</v>
      </c>
      <c r="B703" t="s">
        <v>198</v>
      </c>
    </row>
    <row r="704" spans="1:2">
      <c r="A704">
        <v>77583</v>
      </c>
      <c r="B704" t="s">
        <v>198</v>
      </c>
    </row>
    <row r="705" spans="1:2">
      <c r="A705">
        <v>77584</v>
      </c>
      <c r="B705" t="s">
        <v>198</v>
      </c>
    </row>
    <row r="706" spans="1:2">
      <c r="A706">
        <v>77586</v>
      </c>
      <c r="B706" t="s">
        <v>198</v>
      </c>
    </row>
    <row r="707" spans="1:2">
      <c r="A707">
        <v>77587</v>
      </c>
      <c r="B707" t="s">
        <v>198</v>
      </c>
    </row>
    <row r="708" spans="1:2">
      <c r="A708">
        <v>77588</v>
      </c>
      <c r="B708" t="s">
        <v>198</v>
      </c>
    </row>
    <row r="709" spans="1:2">
      <c r="A709">
        <v>77590</v>
      </c>
      <c r="B709" t="s">
        <v>198</v>
      </c>
    </row>
    <row r="710" spans="1:2">
      <c r="A710">
        <v>77591</v>
      </c>
      <c r="B710" t="s">
        <v>198</v>
      </c>
    </row>
    <row r="711" spans="1:2">
      <c r="A711">
        <v>77592</v>
      </c>
      <c r="B711" t="s">
        <v>198</v>
      </c>
    </row>
    <row r="712" spans="1:2">
      <c r="A712">
        <v>77598</v>
      </c>
      <c r="B712" t="s">
        <v>198</v>
      </c>
    </row>
    <row r="713" spans="1:2">
      <c r="A713">
        <v>78641</v>
      </c>
      <c r="B713" t="s">
        <v>198</v>
      </c>
    </row>
    <row r="714" spans="1:2">
      <c r="A714">
        <v>78642</v>
      </c>
      <c r="B714" t="s">
        <v>198</v>
      </c>
    </row>
    <row r="715" spans="1:2">
      <c r="A715">
        <v>78646</v>
      </c>
      <c r="B715" t="s">
        <v>198</v>
      </c>
    </row>
    <row r="716" spans="1:2">
      <c r="A716">
        <v>78628</v>
      </c>
      <c r="B716" t="s">
        <v>198</v>
      </c>
    </row>
    <row r="717" spans="1:2">
      <c r="A717">
        <v>78633</v>
      </c>
      <c r="B717" t="s">
        <v>198</v>
      </c>
    </row>
    <row r="718" spans="1:2">
      <c r="A718">
        <v>76574</v>
      </c>
      <c r="B718" t="s">
        <v>198</v>
      </c>
    </row>
    <row r="719" spans="1:2">
      <c r="A719">
        <v>78626</v>
      </c>
      <c r="B719" t="s">
        <v>198</v>
      </c>
    </row>
    <row r="720" spans="1:2">
      <c r="A720">
        <v>78627</v>
      </c>
      <c r="B720" t="s">
        <v>198</v>
      </c>
    </row>
    <row r="721" spans="1:2">
      <c r="A721">
        <v>78634</v>
      </c>
      <c r="B721" t="s">
        <v>198</v>
      </c>
    </row>
    <row r="722" spans="1:2">
      <c r="A722">
        <v>78613</v>
      </c>
      <c r="B722" t="s">
        <v>198</v>
      </c>
    </row>
    <row r="723" spans="1:2">
      <c r="A723">
        <v>78717</v>
      </c>
      <c r="B723" t="s">
        <v>198</v>
      </c>
    </row>
    <row r="724" spans="1:2">
      <c r="A724">
        <v>78651</v>
      </c>
      <c r="B724" t="s">
        <v>198</v>
      </c>
    </row>
    <row r="725" spans="1:2">
      <c r="A725">
        <v>78727</v>
      </c>
      <c r="B725" t="s">
        <v>198</v>
      </c>
    </row>
    <row r="726" spans="1:2">
      <c r="A726">
        <v>78728</v>
      </c>
      <c r="B726" t="s">
        <v>198</v>
      </c>
    </row>
    <row r="727" spans="1:2">
      <c r="A727">
        <v>78729</v>
      </c>
      <c r="B727" t="s">
        <v>198</v>
      </c>
    </row>
    <row r="728" spans="1:2">
      <c r="A728">
        <v>78680</v>
      </c>
      <c r="B728" t="s">
        <v>198</v>
      </c>
    </row>
    <row r="729" spans="1:2">
      <c r="A729">
        <v>78681</v>
      </c>
      <c r="B729" t="s">
        <v>198</v>
      </c>
    </row>
    <row r="730" spans="1:2">
      <c r="A730">
        <v>78683</v>
      </c>
      <c r="B730" t="s">
        <v>198</v>
      </c>
    </row>
    <row r="731" spans="1:2">
      <c r="A731">
        <v>78630</v>
      </c>
      <c r="B731" t="s">
        <v>198</v>
      </c>
    </row>
    <row r="732" spans="1:2">
      <c r="A732">
        <v>78664</v>
      </c>
      <c r="B732" t="s">
        <v>198</v>
      </c>
    </row>
    <row r="733" spans="1:2">
      <c r="A733">
        <v>78665</v>
      </c>
      <c r="B733" t="s">
        <v>198</v>
      </c>
    </row>
    <row r="734" spans="1:2">
      <c r="A734">
        <v>78682</v>
      </c>
      <c r="B734" t="s">
        <v>198</v>
      </c>
    </row>
    <row r="735" spans="1:2">
      <c r="A735">
        <v>78691</v>
      </c>
      <c r="B735" t="s">
        <v>198</v>
      </c>
    </row>
    <row r="736" spans="1:2">
      <c r="A736">
        <v>78660</v>
      </c>
      <c r="B736" t="s">
        <v>198</v>
      </c>
    </row>
    <row r="737" spans="1:2">
      <c r="A737">
        <v>78705</v>
      </c>
      <c r="B737" t="s">
        <v>198</v>
      </c>
    </row>
    <row r="738" spans="1:2">
      <c r="A738">
        <v>78712</v>
      </c>
      <c r="B738" t="s">
        <v>198</v>
      </c>
    </row>
    <row r="739" spans="1:2">
      <c r="A739">
        <v>78751</v>
      </c>
      <c r="B739" t="s">
        <v>198</v>
      </c>
    </row>
    <row r="740" spans="1:2">
      <c r="A740">
        <v>78756</v>
      </c>
      <c r="B740" t="s">
        <v>198</v>
      </c>
    </row>
    <row r="741" spans="1:2">
      <c r="A741">
        <v>78701</v>
      </c>
      <c r="B741" t="s">
        <v>198</v>
      </c>
    </row>
    <row r="742" spans="1:2">
      <c r="A742">
        <v>78703</v>
      </c>
      <c r="B742" t="s">
        <v>198</v>
      </c>
    </row>
    <row r="743" spans="1:2">
      <c r="A743">
        <v>78704</v>
      </c>
      <c r="B743" t="s">
        <v>198</v>
      </c>
    </row>
    <row r="744" spans="1:2">
      <c r="A744">
        <v>78702</v>
      </c>
      <c r="B744" t="s">
        <v>198</v>
      </c>
    </row>
    <row r="745" spans="1:2">
      <c r="A745">
        <v>78721</v>
      </c>
      <c r="B745" t="s">
        <v>198</v>
      </c>
    </row>
    <row r="746" spans="1:2">
      <c r="A746">
        <v>78722</v>
      </c>
      <c r="B746" t="s">
        <v>198</v>
      </c>
    </row>
    <row r="747" spans="1:2">
      <c r="A747">
        <v>78723</v>
      </c>
      <c r="B747" t="s">
        <v>198</v>
      </c>
    </row>
    <row r="748" spans="1:2">
      <c r="A748">
        <v>78724</v>
      </c>
      <c r="B748" t="s">
        <v>198</v>
      </c>
    </row>
    <row r="749" spans="1:2">
      <c r="A749">
        <v>78725</v>
      </c>
      <c r="B749" t="s">
        <v>198</v>
      </c>
    </row>
    <row r="750" spans="1:2">
      <c r="A750">
        <v>78617</v>
      </c>
      <c r="B750" t="s">
        <v>198</v>
      </c>
    </row>
    <row r="751" spans="1:2">
      <c r="A751">
        <v>78710</v>
      </c>
      <c r="B751" t="s">
        <v>198</v>
      </c>
    </row>
    <row r="752" spans="1:2">
      <c r="A752">
        <v>78752</v>
      </c>
      <c r="B752" t="s">
        <v>198</v>
      </c>
    </row>
    <row r="753" spans="1:2">
      <c r="A753">
        <v>78754</v>
      </c>
      <c r="B753" t="s">
        <v>198</v>
      </c>
    </row>
    <row r="754" spans="1:2">
      <c r="A754">
        <v>78753</v>
      </c>
      <c r="B754" t="s">
        <v>198</v>
      </c>
    </row>
    <row r="755" spans="1:2">
      <c r="A755">
        <v>78731</v>
      </c>
      <c r="B755" t="s">
        <v>198</v>
      </c>
    </row>
    <row r="756" spans="1:2">
      <c r="A756">
        <v>78757</v>
      </c>
      <c r="B756" t="s">
        <v>198</v>
      </c>
    </row>
    <row r="757" spans="1:2">
      <c r="A757">
        <v>78758</v>
      </c>
      <c r="B757" t="s">
        <v>198</v>
      </c>
    </row>
    <row r="758" spans="1:2">
      <c r="A758">
        <v>78759</v>
      </c>
      <c r="B758" t="s">
        <v>198</v>
      </c>
    </row>
    <row r="759" spans="1:2">
      <c r="A759">
        <v>78726</v>
      </c>
      <c r="B759" t="s">
        <v>198</v>
      </c>
    </row>
    <row r="760" spans="1:2">
      <c r="A760">
        <v>78730</v>
      </c>
      <c r="B760" t="s">
        <v>198</v>
      </c>
    </row>
    <row r="761" spans="1:2">
      <c r="A761">
        <v>78750</v>
      </c>
      <c r="B761" t="s">
        <v>198</v>
      </c>
    </row>
    <row r="762" spans="1:2">
      <c r="A762">
        <v>78732</v>
      </c>
      <c r="B762" t="s">
        <v>198</v>
      </c>
    </row>
    <row r="763" spans="1:2">
      <c r="A763">
        <v>78734</v>
      </c>
      <c r="B763" t="s">
        <v>198</v>
      </c>
    </row>
    <row r="764" spans="1:2">
      <c r="A764">
        <v>78733</v>
      </c>
      <c r="B764" t="s">
        <v>198</v>
      </c>
    </row>
    <row r="765" spans="1:2">
      <c r="A765">
        <v>78735</v>
      </c>
      <c r="B765" t="s">
        <v>198</v>
      </c>
    </row>
    <row r="766" spans="1:2">
      <c r="A766">
        <v>78746</v>
      </c>
      <c r="B766" t="s">
        <v>198</v>
      </c>
    </row>
    <row r="767" spans="1:2">
      <c r="A767">
        <v>78736</v>
      </c>
      <c r="B767" t="s">
        <v>198</v>
      </c>
    </row>
    <row r="768" spans="1:2">
      <c r="A768">
        <v>78738</v>
      </c>
      <c r="B768" t="s">
        <v>198</v>
      </c>
    </row>
    <row r="769" spans="1:2">
      <c r="A769">
        <v>78737</v>
      </c>
      <c r="B769" t="s">
        <v>198</v>
      </c>
    </row>
    <row r="770" spans="1:2">
      <c r="A770">
        <v>78739</v>
      </c>
      <c r="B770" t="s">
        <v>198</v>
      </c>
    </row>
    <row r="771" spans="1:2">
      <c r="A771">
        <v>73301</v>
      </c>
      <c r="B771" t="s">
        <v>198</v>
      </c>
    </row>
    <row r="772" spans="1:2">
      <c r="A772">
        <v>78741</v>
      </c>
      <c r="B772" t="s">
        <v>198</v>
      </c>
    </row>
    <row r="773" spans="1:2">
      <c r="A773">
        <v>78742</v>
      </c>
      <c r="B773" t="s">
        <v>198</v>
      </c>
    </row>
    <row r="774" spans="1:2">
      <c r="A774">
        <v>78719</v>
      </c>
      <c r="B774" t="s">
        <v>198</v>
      </c>
    </row>
    <row r="775" spans="1:2">
      <c r="A775">
        <v>78744</v>
      </c>
      <c r="B775" t="s">
        <v>198</v>
      </c>
    </row>
    <row r="776" spans="1:2">
      <c r="A776">
        <v>78747</v>
      </c>
      <c r="B776" t="s">
        <v>198</v>
      </c>
    </row>
    <row r="777" spans="1:2">
      <c r="A777">
        <v>78610</v>
      </c>
      <c r="B777" t="s">
        <v>198</v>
      </c>
    </row>
    <row r="778" spans="1:2">
      <c r="A778">
        <v>78619</v>
      </c>
      <c r="B778" t="s">
        <v>198</v>
      </c>
    </row>
    <row r="779" spans="1:2">
      <c r="A779">
        <v>78652</v>
      </c>
      <c r="B779" t="s">
        <v>198</v>
      </c>
    </row>
    <row r="780" spans="1:2">
      <c r="A780">
        <v>78745</v>
      </c>
      <c r="B780" t="s">
        <v>198</v>
      </c>
    </row>
    <row r="781" spans="1:2">
      <c r="A781">
        <v>78748</v>
      </c>
      <c r="B781" t="s">
        <v>198</v>
      </c>
    </row>
    <row r="782" spans="1:2">
      <c r="A782">
        <v>78749</v>
      </c>
      <c r="B782" t="s">
        <v>198</v>
      </c>
    </row>
    <row r="783" spans="1:2">
      <c r="A783">
        <v>78653</v>
      </c>
      <c r="B783" t="s">
        <v>198</v>
      </c>
    </row>
    <row r="784" spans="1:2">
      <c r="A784">
        <v>78602</v>
      </c>
      <c r="B784" t="s">
        <v>198</v>
      </c>
    </row>
    <row r="785" spans="1:2">
      <c r="A785">
        <v>78621</v>
      </c>
      <c r="B785" t="s">
        <v>198</v>
      </c>
    </row>
    <row r="786" spans="1:2">
      <c r="A786">
        <v>76537</v>
      </c>
      <c r="B786" t="s">
        <v>198</v>
      </c>
    </row>
    <row r="787" spans="1:2">
      <c r="A787">
        <v>75011</v>
      </c>
      <c r="B787" t="s">
        <v>198</v>
      </c>
    </row>
    <row r="788" spans="1:2">
      <c r="A788">
        <v>75014</v>
      </c>
      <c r="B788" t="s">
        <v>198</v>
      </c>
    </row>
    <row r="789" spans="1:2">
      <c r="A789">
        <v>75015</v>
      </c>
      <c r="B789" t="s">
        <v>198</v>
      </c>
    </row>
    <row r="790" spans="1:2">
      <c r="A790">
        <v>75016</v>
      </c>
      <c r="B790" t="s">
        <v>198</v>
      </c>
    </row>
    <row r="791" spans="1:2">
      <c r="A791">
        <v>75017</v>
      </c>
      <c r="B791" t="s">
        <v>198</v>
      </c>
    </row>
    <row r="792" spans="1:2">
      <c r="A792">
        <v>75026</v>
      </c>
      <c r="B792" t="s">
        <v>198</v>
      </c>
    </row>
    <row r="793" spans="1:2">
      <c r="A793">
        <v>75027</v>
      </c>
      <c r="B793" t="s">
        <v>198</v>
      </c>
    </row>
    <row r="794" spans="1:2">
      <c r="A794">
        <v>75029</v>
      </c>
      <c r="B794" t="s">
        <v>198</v>
      </c>
    </row>
    <row r="795" spans="1:2">
      <c r="A795">
        <v>75030</v>
      </c>
      <c r="B795" t="s">
        <v>198</v>
      </c>
    </row>
    <row r="796" spans="1:2">
      <c r="A796">
        <v>75045</v>
      </c>
      <c r="B796" t="s">
        <v>198</v>
      </c>
    </row>
    <row r="797" spans="1:2">
      <c r="A797">
        <v>75046</v>
      </c>
      <c r="B797" t="s">
        <v>198</v>
      </c>
    </row>
    <row r="798" spans="1:2">
      <c r="A798">
        <v>75047</v>
      </c>
      <c r="B798" t="s">
        <v>198</v>
      </c>
    </row>
    <row r="799" spans="1:2">
      <c r="A799">
        <v>75049</v>
      </c>
      <c r="B799" t="s">
        <v>198</v>
      </c>
    </row>
    <row r="800" spans="1:2">
      <c r="A800">
        <v>75053</v>
      </c>
      <c r="B800" t="s">
        <v>198</v>
      </c>
    </row>
    <row r="801" spans="1:2">
      <c r="A801">
        <v>75083</v>
      </c>
      <c r="B801" t="s">
        <v>198</v>
      </c>
    </row>
    <row r="802" spans="1:2">
      <c r="A802">
        <v>75085</v>
      </c>
      <c r="B802" t="s">
        <v>198</v>
      </c>
    </row>
    <row r="803" spans="1:2">
      <c r="A803">
        <v>75086</v>
      </c>
      <c r="B803" t="s">
        <v>198</v>
      </c>
    </row>
    <row r="804" spans="1:2">
      <c r="A804">
        <v>75097</v>
      </c>
      <c r="B804" t="s">
        <v>198</v>
      </c>
    </row>
    <row r="805" spans="1:2">
      <c r="A805">
        <v>75099</v>
      </c>
      <c r="B805" t="s">
        <v>198</v>
      </c>
    </row>
    <row r="806" spans="1:2">
      <c r="A806">
        <v>75106</v>
      </c>
      <c r="B806" t="s">
        <v>198</v>
      </c>
    </row>
    <row r="807" spans="1:2">
      <c r="A807">
        <v>75123</v>
      </c>
      <c r="B807" t="s">
        <v>198</v>
      </c>
    </row>
    <row r="808" spans="1:2">
      <c r="A808">
        <v>75138</v>
      </c>
      <c r="B808" t="s">
        <v>198</v>
      </c>
    </row>
    <row r="809" spans="1:2">
      <c r="A809">
        <v>75146</v>
      </c>
      <c r="B809" t="s">
        <v>198</v>
      </c>
    </row>
    <row r="810" spans="1:2">
      <c r="A810">
        <v>75172</v>
      </c>
      <c r="B810" t="s">
        <v>198</v>
      </c>
    </row>
    <row r="811" spans="1:2">
      <c r="A811">
        <v>75185</v>
      </c>
      <c r="B811" t="s">
        <v>198</v>
      </c>
    </row>
    <row r="812" spans="1:2">
      <c r="A812">
        <v>75187</v>
      </c>
      <c r="B812" t="s">
        <v>198</v>
      </c>
    </row>
    <row r="813" spans="1:2">
      <c r="A813">
        <v>75221</v>
      </c>
      <c r="B813" t="s">
        <v>198</v>
      </c>
    </row>
    <row r="814" spans="1:2">
      <c r="A814">
        <v>75222</v>
      </c>
      <c r="B814" t="s">
        <v>198</v>
      </c>
    </row>
    <row r="815" spans="1:2">
      <c r="A815">
        <v>75242</v>
      </c>
      <c r="B815" t="s">
        <v>198</v>
      </c>
    </row>
    <row r="816" spans="1:2">
      <c r="A816">
        <v>75246</v>
      </c>
      <c r="B816" t="s">
        <v>198</v>
      </c>
    </row>
    <row r="817" spans="1:2">
      <c r="A817">
        <v>75250</v>
      </c>
      <c r="B817" t="s">
        <v>198</v>
      </c>
    </row>
    <row r="818" spans="1:2">
      <c r="A818">
        <v>75260</v>
      </c>
      <c r="B818" t="s">
        <v>198</v>
      </c>
    </row>
    <row r="819" spans="1:2">
      <c r="A819">
        <v>75261</v>
      </c>
      <c r="B819" t="s">
        <v>198</v>
      </c>
    </row>
    <row r="820" spans="1:2">
      <c r="A820">
        <v>75262</v>
      </c>
      <c r="B820" t="s">
        <v>198</v>
      </c>
    </row>
    <row r="821" spans="1:2">
      <c r="A821">
        <v>75263</v>
      </c>
      <c r="B821" t="s">
        <v>198</v>
      </c>
    </row>
    <row r="822" spans="1:2">
      <c r="A822">
        <v>75264</v>
      </c>
      <c r="B822" t="s">
        <v>198</v>
      </c>
    </row>
    <row r="823" spans="1:2">
      <c r="A823">
        <v>75265</v>
      </c>
      <c r="B823" t="s">
        <v>198</v>
      </c>
    </row>
    <row r="824" spans="1:2">
      <c r="A824">
        <v>75266</v>
      </c>
      <c r="B824" t="s">
        <v>198</v>
      </c>
    </row>
    <row r="825" spans="1:2">
      <c r="A825">
        <v>75267</v>
      </c>
      <c r="B825" t="s">
        <v>198</v>
      </c>
    </row>
    <row r="826" spans="1:2">
      <c r="A826">
        <v>75270</v>
      </c>
      <c r="B826" t="s">
        <v>198</v>
      </c>
    </row>
    <row r="827" spans="1:2">
      <c r="A827">
        <v>75275</v>
      </c>
      <c r="B827" t="s">
        <v>198</v>
      </c>
    </row>
    <row r="828" spans="1:2">
      <c r="A828">
        <v>75283</v>
      </c>
      <c r="B828" t="s">
        <v>198</v>
      </c>
    </row>
    <row r="829" spans="1:2">
      <c r="A829">
        <v>75284</v>
      </c>
      <c r="B829" t="s">
        <v>198</v>
      </c>
    </row>
    <row r="830" spans="1:2">
      <c r="A830">
        <v>75285</v>
      </c>
      <c r="B830" t="s">
        <v>198</v>
      </c>
    </row>
    <row r="831" spans="1:2">
      <c r="A831">
        <v>75301</v>
      </c>
      <c r="B831" t="s">
        <v>198</v>
      </c>
    </row>
    <row r="832" spans="1:2">
      <c r="A832">
        <v>75312</v>
      </c>
      <c r="B832" t="s">
        <v>198</v>
      </c>
    </row>
    <row r="833" spans="1:2">
      <c r="A833">
        <v>75313</v>
      </c>
      <c r="B833" t="s">
        <v>198</v>
      </c>
    </row>
    <row r="834" spans="1:2">
      <c r="A834">
        <v>75315</v>
      </c>
      <c r="B834" t="s">
        <v>198</v>
      </c>
    </row>
    <row r="835" spans="1:2">
      <c r="A835">
        <v>75320</v>
      </c>
      <c r="B835" t="s">
        <v>198</v>
      </c>
    </row>
    <row r="836" spans="1:2">
      <c r="A836">
        <v>75326</v>
      </c>
      <c r="B836" t="s">
        <v>198</v>
      </c>
    </row>
    <row r="837" spans="1:2">
      <c r="A837">
        <v>75336</v>
      </c>
      <c r="B837" t="s">
        <v>198</v>
      </c>
    </row>
    <row r="838" spans="1:2">
      <c r="A838">
        <v>75339</v>
      </c>
      <c r="B838" t="s">
        <v>198</v>
      </c>
    </row>
    <row r="839" spans="1:2">
      <c r="A839">
        <v>75342</v>
      </c>
      <c r="B839" t="s">
        <v>198</v>
      </c>
    </row>
    <row r="840" spans="1:2">
      <c r="A840">
        <v>75354</v>
      </c>
      <c r="B840" t="s">
        <v>198</v>
      </c>
    </row>
    <row r="841" spans="1:2">
      <c r="A841">
        <v>75355</v>
      </c>
      <c r="B841" t="s">
        <v>198</v>
      </c>
    </row>
    <row r="842" spans="1:2">
      <c r="A842">
        <v>75356</v>
      </c>
      <c r="B842" t="s">
        <v>198</v>
      </c>
    </row>
    <row r="843" spans="1:2">
      <c r="A843">
        <v>75357</v>
      </c>
      <c r="B843" t="s">
        <v>198</v>
      </c>
    </row>
    <row r="844" spans="1:2">
      <c r="A844">
        <v>75358</v>
      </c>
      <c r="B844" t="s">
        <v>198</v>
      </c>
    </row>
    <row r="845" spans="1:2">
      <c r="A845">
        <v>75359</v>
      </c>
      <c r="B845" t="s">
        <v>198</v>
      </c>
    </row>
    <row r="846" spans="1:2">
      <c r="A846">
        <v>75360</v>
      </c>
      <c r="B846" t="s">
        <v>198</v>
      </c>
    </row>
    <row r="847" spans="1:2">
      <c r="A847">
        <v>75367</v>
      </c>
      <c r="B847" t="s">
        <v>198</v>
      </c>
    </row>
    <row r="848" spans="1:2">
      <c r="A848">
        <v>75368</v>
      </c>
      <c r="B848" t="s">
        <v>198</v>
      </c>
    </row>
    <row r="849" spans="1:2">
      <c r="A849">
        <v>75370</v>
      </c>
      <c r="B849" t="s">
        <v>198</v>
      </c>
    </row>
    <row r="850" spans="1:2">
      <c r="A850">
        <v>75371</v>
      </c>
      <c r="B850" t="s">
        <v>198</v>
      </c>
    </row>
    <row r="851" spans="1:2">
      <c r="A851">
        <v>75372</v>
      </c>
      <c r="B851" t="s">
        <v>198</v>
      </c>
    </row>
    <row r="852" spans="1:2">
      <c r="A852">
        <v>75373</v>
      </c>
      <c r="B852" t="s">
        <v>198</v>
      </c>
    </row>
    <row r="853" spans="1:2">
      <c r="A853">
        <v>75374</v>
      </c>
      <c r="B853" t="s">
        <v>198</v>
      </c>
    </row>
    <row r="854" spans="1:2">
      <c r="A854">
        <v>75376</v>
      </c>
      <c r="B854" t="s">
        <v>198</v>
      </c>
    </row>
    <row r="855" spans="1:2">
      <c r="A855">
        <v>75378</v>
      </c>
      <c r="B855" t="s">
        <v>198</v>
      </c>
    </row>
    <row r="856" spans="1:2">
      <c r="A856">
        <v>75379</v>
      </c>
      <c r="B856" t="s">
        <v>198</v>
      </c>
    </row>
    <row r="857" spans="1:2">
      <c r="A857">
        <v>75380</v>
      </c>
      <c r="B857" t="s">
        <v>198</v>
      </c>
    </row>
    <row r="858" spans="1:2">
      <c r="A858">
        <v>75381</v>
      </c>
      <c r="B858" t="s">
        <v>198</v>
      </c>
    </row>
    <row r="859" spans="1:2">
      <c r="A859">
        <v>75382</v>
      </c>
      <c r="B859" t="s">
        <v>198</v>
      </c>
    </row>
    <row r="860" spans="1:2">
      <c r="A860">
        <v>75389</v>
      </c>
      <c r="B860" t="s">
        <v>198</v>
      </c>
    </row>
    <row r="861" spans="1:2">
      <c r="A861">
        <v>75390</v>
      </c>
      <c r="B861" t="s">
        <v>198</v>
      </c>
    </row>
    <row r="862" spans="1:2">
      <c r="A862">
        <v>75391</v>
      </c>
      <c r="B862" t="s">
        <v>198</v>
      </c>
    </row>
    <row r="863" spans="1:2">
      <c r="A863">
        <v>75392</v>
      </c>
      <c r="B863" t="s">
        <v>198</v>
      </c>
    </row>
    <row r="864" spans="1:2">
      <c r="A864">
        <v>75393</v>
      </c>
      <c r="B864" t="s">
        <v>198</v>
      </c>
    </row>
    <row r="865" spans="1:2">
      <c r="A865">
        <v>75394</v>
      </c>
      <c r="B865" t="s">
        <v>198</v>
      </c>
    </row>
    <row r="866" spans="1:2">
      <c r="A866">
        <v>75395</v>
      </c>
      <c r="B866" t="s">
        <v>198</v>
      </c>
    </row>
    <row r="867" spans="1:2">
      <c r="A867">
        <v>75397</v>
      </c>
      <c r="B867" t="s">
        <v>198</v>
      </c>
    </row>
    <row r="868" spans="1:2">
      <c r="A868">
        <v>75398</v>
      </c>
      <c r="B868" t="s">
        <v>198</v>
      </c>
    </row>
    <row r="869" spans="1:2">
      <c r="A869">
        <v>75454</v>
      </c>
      <c r="B869" t="s">
        <v>198</v>
      </c>
    </row>
    <row r="870" spans="1:2">
      <c r="A870">
        <v>76003</v>
      </c>
      <c r="B870" t="s">
        <v>198</v>
      </c>
    </row>
    <row r="871" spans="1:2">
      <c r="A871">
        <v>76004</v>
      </c>
      <c r="B871" t="s">
        <v>198</v>
      </c>
    </row>
    <row r="872" spans="1:2">
      <c r="A872">
        <v>76007</v>
      </c>
      <c r="B872" t="s">
        <v>198</v>
      </c>
    </row>
    <row r="873" spans="1:2">
      <c r="A873">
        <v>76009</v>
      </c>
      <c r="B873" t="s">
        <v>198</v>
      </c>
    </row>
    <row r="874" spans="1:2">
      <c r="A874">
        <v>76019</v>
      </c>
      <c r="B874" t="s">
        <v>198</v>
      </c>
    </row>
    <row r="875" spans="1:2">
      <c r="A875">
        <v>76028</v>
      </c>
      <c r="B875" t="s">
        <v>198</v>
      </c>
    </row>
    <row r="876" spans="1:2">
      <c r="A876">
        <v>76036</v>
      </c>
      <c r="B876" t="s">
        <v>198</v>
      </c>
    </row>
    <row r="877" spans="1:2">
      <c r="A877">
        <v>76061</v>
      </c>
      <c r="B877" t="s">
        <v>198</v>
      </c>
    </row>
    <row r="878" spans="1:2">
      <c r="A878">
        <v>76094</v>
      </c>
      <c r="B878" t="s">
        <v>198</v>
      </c>
    </row>
    <row r="879" spans="1:2">
      <c r="A879">
        <v>76095</v>
      </c>
      <c r="B879" t="s">
        <v>198</v>
      </c>
    </row>
    <row r="880" spans="1:2">
      <c r="A880">
        <v>76096</v>
      </c>
      <c r="B880" t="s">
        <v>198</v>
      </c>
    </row>
    <row r="881" spans="1:2">
      <c r="A881">
        <v>76097</v>
      </c>
      <c r="B881" t="s">
        <v>198</v>
      </c>
    </row>
    <row r="882" spans="1:2">
      <c r="A882">
        <v>76099</v>
      </c>
      <c r="B882" t="s">
        <v>198</v>
      </c>
    </row>
    <row r="883" spans="1:2">
      <c r="A883">
        <v>76101</v>
      </c>
      <c r="B883" t="s">
        <v>198</v>
      </c>
    </row>
    <row r="884" spans="1:2">
      <c r="A884">
        <v>76108</v>
      </c>
      <c r="B884" t="s">
        <v>198</v>
      </c>
    </row>
    <row r="885" spans="1:2">
      <c r="A885">
        <v>76113</v>
      </c>
      <c r="B885" t="s">
        <v>198</v>
      </c>
    </row>
    <row r="886" spans="1:2">
      <c r="A886">
        <v>76121</v>
      </c>
      <c r="B886" t="s">
        <v>198</v>
      </c>
    </row>
    <row r="887" spans="1:2">
      <c r="A887">
        <v>76122</v>
      </c>
      <c r="B887" t="s">
        <v>198</v>
      </c>
    </row>
    <row r="888" spans="1:2">
      <c r="A888">
        <v>76124</v>
      </c>
      <c r="B888" t="s">
        <v>198</v>
      </c>
    </row>
    <row r="889" spans="1:2">
      <c r="A889">
        <v>76126</v>
      </c>
      <c r="B889" t="s">
        <v>198</v>
      </c>
    </row>
    <row r="890" spans="1:2">
      <c r="A890">
        <v>76127</v>
      </c>
      <c r="B890" t="s">
        <v>198</v>
      </c>
    </row>
    <row r="891" spans="1:2">
      <c r="A891">
        <v>76129</v>
      </c>
      <c r="B891" t="s">
        <v>198</v>
      </c>
    </row>
    <row r="892" spans="1:2">
      <c r="A892">
        <v>76130</v>
      </c>
      <c r="B892" t="s">
        <v>198</v>
      </c>
    </row>
    <row r="893" spans="1:2">
      <c r="A893">
        <v>76135</v>
      </c>
      <c r="B893" t="s">
        <v>198</v>
      </c>
    </row>
    <row r="894" spans="1:2">
      <c r="A894">
        <v>76136</v>
      </c>
      <c r="B894" t="s">
        <v>198</v>
      </c>
    </row>
    <row r="895" spans="1:2">
      <c r="A895">
        <v>76147</v>
      </c>
      <c r="B895" t="s">
        <v>198</v>
      </c>
    </row>
    <row r="896" spans="1:2">
      <c r="A896">
        <v>76150</v>
      </c>
      <c r="B896" t="s">
        <v>198</v>
      </c>
    </row>
    <row r="897" spans="1:2">
      <c r="A897">
        <v>76161</v>
      </c>
      <c r="B897" t="s">
        <v>198</v>
      </c>
    </row>
    <row r="898" spans="1:2">
      <c r="A898">
        <v>76162</v>
      </c>
      <c r="B898" t="s">
        <v>198</v>
      </c>
    </row>
    <row r="899" spans="1:2">
      <c r="A899">
        <v>76163</v>
      </c>
      <c r="B899" t="s">
        <v>198</v>
      </c>
    </row>
    <row r="900" spans="1:2">
      <c r="A900">
        <v>76166</v>
      </c>
      <c r="B900" t="s">
        <v>198</v>
      </c>
    </row>
    <row r="901" spans="1:2">
      <c r="A901">
        <v>76181</v>
      </c>
      <c r="B901" t="s">
        <v>198</v>
      </c>
    </row>
    <row r="902" spans="1:2">
      <c r="A902">
        <v>76185</v>
      </c>
      <c r="B902" t="s">
        <v>198</v>
      </c>
    </row>
    <row r="903" spans="1:2">
      <c r="A903">
        <v>76190</v>
      </c>
      <c r="B903" t="s">
        <v>198</v>
      </c>
    </row>
    <row r="904" spans="1:2">
      <c r="A904">
        <v>76191</v>
      </c>
      <c r="B904" t="s">
        <v>198</v>
      </c>
    </row>
    <row r="905" spans="1:2">
      <c r="A905">
        <v>76192</v>
      </c>
      <c r="B905" t="s">
        <v>198</v>
      </c>
    </row>
    <row r="906" spans="1:2">
      <c r="A906">
        <v>76193</v>
      </c>
      <c r="B906" t="s">
        <v>198</v>
      </c>
    </row>
    <row r="907" spans="1:2">
      <c r="A907">
        <v>76195</v>
      </c>
      <c r="B907" t="s">
        <v>198</v>
      </c>
    </row>
    <row r="908" spans="1:2">
      <c r="A908">
        <v>76196</v>
      </c>
      <c r="B908" t="s">
        <v>198</v>
      </c>
    </row>
    <row r="909" spans="1:2">
      <c r="A909">
        <v>76197</v>
      </c>
      <c r="B909" t="s">
        <v>198</v>
      </c>
    </row>
    <row r="910" spans="1:2">
      <c r="A910">
        <v>76198</v>
      </c>
      <c r="B910" t="s">
        <v>198</v>
      </c>
    </row>
    <row r="911" spans="1:2">
      <c r="A911">
        <v>76199</v>
      </c>
      <c r="B911" t="s">
        <v>198</v>
      </c>
    </row>
    <row r="912" spans="1:2">
      <c r="A912">
        <v>75064</v>
      </c>
      <c r="B912" t="s">
        <v>198</v>
      </c>
    </row>
    <row r="913" spans="1:2">
      <c r="A913">
        <v>85006</v>
      </c>
      <c r="B913" t="s">
        <v>198</v>
      </c>
    </row>
    <row r="914" spans="1:2">
      <c r="A914">
        <v>85012</v>
      </c>
      <c r="B914" t="s">
        <v>198</v>
      </c>
    </row>
    <row r="915" spans="1:2">
      <c r="A915">
        <v>85013</v>
      </c>
      <c r="B915" t="s">
        <v>198</v>
      </c>
    </row>
    <row r="916" spans="1:2">
      <c r="A916">
        <v>85014</v>
      </c>
      <c r="B916" t="s">
        <v>198</v>
      </c>
    </row>
    <row r="917" spans="1:2">
      <c r="A917">
        <v>85008</v>
      </c>
      <c r="B917" t="s">
        <v>198</v>
      </c>
    </row>
    <row r="918" spans="1:2">
      <c r="A918">
        <v>85016</v>
      </c>
      <c r="B918" t="s">
        <v>198</v>
      </c>
    </row>
    <row r="919" spans="1:2">
      <c r="A919">
        <v>85018</v>
      </c>
      <c r="B919" t="s">
        <v>198</v>
      </c>
    </row>
    <row r="920" spans="1:2">
      <c r="A920">
        <v>85020</v>
      </c>
      <c r="B920" t="s">
        <v>198</v>
      </c>
    </row>
    <row r="921" spans="1:2">
      <c r="A921">
        <v>85022</v>
      </c>
      <c r="B921" t="s">
        <v>198</v>
      </c>
    </row>
    <row r="922" spans="1:2">
      <c r="A922">
        <v>85028</v>
      </c>
      <c r="B922" t="s">
        <v>198</v>
      </c>
    </row>
    <row r="923" spans="1:2">
      <c r="A923">
        <v>85032</v>
      </c>
      <c r="B923" t="s">
        <v>198</v>
      </c>
    </row>
    <row r="924" spans="1:2">
      <c r="A924">
        <v>85021</v>
      </c>
      <c r="B924" t="s">
        <v>198</v>
      </c>
    </row>
    <row r="925" spans="1:2">
      <c r="A925">
        <v>85029</v>
      </c>
      <c r="B925" t="s">
        <v>198</v>
      </c>
    </row>
    <row r="926" spans="1:2">
      <c r="A926">
        <v>85051</v>
      </c>
      <c r="B926" t="s">
        <v>198</v>
      </c>
    </row>
    <row r="927" spans="1:2">
      <c r="A927">
        <v>85023</v>
      </c>
      <c r="B927" t="s">
        <v>198</v>
      </c>
    </row>
    <row r="928" spans="1:2">
      <c r="A928">
        <v>85024</v>
      </c>
      <c r="B928" t="s">
        <v>198</v>
      </c>
    </row>
    <row r="929" spans="1:2">
      <c r="A929">
        <v>85027</v>
      </c>
      <c r="B929" t="s">
        <v>198</v>
      </c>
    </row>
    <row r="930" spans="1:2">
      <c r="A930">
        <v>85050</v>
      </c>
      <c r="B930" t="s">
        <v>198</v>
      </c>
    </row>
    <row r="931" spans="1:2">
      <c r="A931">
        <v>85053</v>
      </c>
      <c r="B931" t="s">
        <v>198</v>
      </c>
    </row>
    <row r="932" spans="1:2">
      <c r="A932">
        <v>85031</v>
      </c>
      <c r="B932" t="s">
        <v>198</v>
      </c>
    </row>
    <row r="933" spans="1:2">
      <c r="A933">
        <v>85015</v>
      </c>
      <c r="B933" t="s">
        <v>198</v>
      </c>
    </row>
    <row r="934" spans="1:2">
      <c r="A934">
        <v>85017</v>
      </c>
      <c r="B934" t="s">
        <v>198</v>
      </c>
    </row>
    <row r="935" spans="1:2">
      <c r="A935">
        <v>85019</v>
      </c>
      <c r="B935" t="s">
        <v>198</v>
      </c>
    </row>
    <row r="936" spans="1:2">
      <c r="A936">
        <v>85033</v>
      </c>
      <c r="B936" t="s">
        <v>198</v>
      </c>
    </row>
    <row r="937" spans="1:2">
      <c r="A937">
        <v>85301</v>
      </c>
      <c r="B937" t="s">
        <v>198</v>
      </c>
    </row>
    <row r="938" spans="1:2">
      <c r="A938">
        <v>85303</v>
      </c>
      <c r="B938" t="s">
        <v>198</v>
      </c>
    </row>
    <row r="939" spans="1:2">
      <c r="A939">
        <v>85305</v>
      </c>
      <c r="B939" t="s">
        <v>198</v>
      </c>
    </row>
    <row r="940" spans="1:2">
      <c r="A940">
        <v>85035</v>
      </c>
      <c r="B940" t="s">
        <v>198</v>
      </c>
    </row>
    <row r="941" spans="1:2">
      <c r="A941">
        <v>85043</v>
      </c>
      <c r="B941" t="s">
        <v>198</v>
      </c>
    </row>
    <row r="942" spans="1:2">
      <c r="A942">
        <v>85009</v>
      </c>
      <c r="B942" t="s">
        <v>198</v>
      </c>
    </row>
    <row r="943" spans="1:2">
      <c r="A943">
        <v>85037</v>
      </c>
      <c r="B943" t="s">
        <v>198</v>
      </c>
    </row>
    <row r="944" spans="1:2">
      <c r="A944">
        <v>85392</v>
      </c>
      <c r="B944" t="s">
        <v>198</v>
      </c>
    </row>
    <row r="945" spans="1:2">
      <c r="A945">
        <v>85054</v>
      </c>
      <c r="B945" t="s">
        <v>198</v>
      </c>
    </row>
    <row r="946" spans="1:2">
      <c r="A946">
        <v>85254</v>
      </c>
      <c r="B946" t="s">
        <v>198</v>
      </c>
    </row>
    <row r="947" spans="1:2">
      <c r="A947">
        <v>85260</v>
      </c>
      <c r="B947" t="s">
        <v>198</v>
      </c>
    </row>
    <row r="948" spans="1:2">
      <c r="A948">
        <v>85259</v>
      </c>
      <c r="B948" t="s">
        <v>198</v>
      </c>
    </row>
    <row r="949" spans="1:2">
      <c r="A949">
        <v>85310</v>
      </c>
      <c r="B949" t="s">
        <v>198</v>
      </c>
    </row>
    <row r="950" spans="1:2">
      <c r="A950">
        <v>85083</v>
      </c>
      <c r="B950" t="s">
        <v>198</v>
      </c>
    </row>
    <row r="951" spans="1:2">
      <c r="A951">
        <v>85085</v>
      </c>
      <c r="B951" t="s">
        <v>198</v>
      </c>
    </row>
    <row r="952" spans="1:2">
      <c r="A952">
        <v>85086</v>
      </c>
      <c r="B952" t="s">
        <v>198</v>
      </c>
    </row>
    <row r="953" spans="1:2">
      <c r="A953">
        <v>85250</v>
      </c>
      <c r="B953" t="s">
        <v>198</v>
      </c>
    </row>
    <row r="954" spans="1:2">
      <c r="A954">
        <v>85251</v>
      </c>
      <c r="B954" t="s">
        <v>198</v>
      </c>
    </row>
    <row r="955" spans="1:2">
      <c r="A955">
        <v>85253</v>
      </c>
      <c r="B955" t="s">
        <v>198</v>
      </c>
    </row>
    <row r="956" spans="1:2">
      <c r="A956">
        <v>85257</v>
      </c>
      <c r="B956" t="s">
        <v>198</v>
      </c>
    </row>
    <row r="957" spans="1:2">
      <c r="A957">
        <v>85258</v>
      </c>
      <c r="B957" t="s">
        <v>198</v>
      </c>
    </row>
    <row r="958" spans="1:2">
      <c r="A958">
        <v>85302</v>
      </c>
      <c r="B958" t="s">
        <v>198</v>
      </c>
    </row>
    <row r="959" spans="1:2">
      <c r="A959">
        <v>85304</v>
      </c>
      <c r="B959" t="s">
        <v>198</v>
      </c>
    </row>
    <row r="960" spans="1:2">
      <c r="A960">
        <v>85306</v>
      </c>
      <c r="B960" t="s">
        <v>198</v>
      </c>
    </row>
    <row r="961" spans="1:2">
      <c r="A961">
        <v>85345</v>
      </c>
      <c r="B961" t="s">
        <v>198</v>
      </c>
    </row>
    <row r="962" spans="1:2">
      <c r="A962">
        <v>85380</v>
      </c>
      <c r="B962" t="s">
        <v>198</v>
      </c>
    </row>
    <row r="963" spans="1:2">
      <c r="A963">
        <v>85381</v>
      </c>
      <c r="B963" t="s">
        <v>198</v>
      </c>
    </row>
    <row r="964" spans="1:2">
      <c r="A964">
        <v>85308</v>
      </c>
      <c r="B964" t="s">
        <v>198</v>
      </c>
    </row>
    <row r="965" spans="1:2">
      <c r="A965">
        <v>85373</v>
      </c>
      <c r="B965" t="s">
        <v>198</v>
      </c>
    </row>
    <row r="966" spans="1:2">
      <c r="A966">
        <v>85375</v>
      </c>
      <c r="B966" t="s">
        <v>198</v>
      </c>
    </row>
    <row r="967" spans="1:2">
      <c r="A967">
        <v>85378</v>
      </c>
      <c r="B967" t="s">
        <v>198</v>
      </c>
    </row>
    <row r="968" spans="1:2">
      <c r="A968">
        <v>85382</v>
      </c>
      <c r="B968" t="s">
        <v>198</v>
      </c>
    </row>
    <row r="969" spans="1:2">
      <c r="A969">
        <v>85323</v>
      </c>
      <c r="B969" t="s">
        <v>198</v>
      </c>
    </row>
    <row r="970" spans="1:2">
      <c r="A970">
        <v>85353</v>
      </c>
      <c r="B970" t="s">
        <v>198</v>
      </c>
    </row>
    <row r="971" spans="1:2">
      <c r="A971">
        <v>85335</v>
      </c>
      <c r="B971" t="s">
        <v>198</v>
      </c>
    </row>
    <row r="972" spans="1:2">
      <c r="A972">
        <v>85351</v>
      </c>
      <c r="B972" t="s">
        <v>198</v>
      </c>
    </row>
    <row r="973" spans="1:2">
      <c r="A973">
        <v>85363</v>
      </c>
      <c r="B973" t="s">
        <v>198</v>
      </c>
    </row>
    <row r="974" spans="1:2">
      <c r="A974">
        <v>85379</v>
      </c>
      <c r="B974" t="s">
        <v>198</v>
      </c>
    </row>
    <row r="975" spans="1:2">
      <c r="A975">
        <v>85340</v>
      </c>
      <c r="B975" t="s">
        <v>198</v>
      </c>
    </row>
    <row r="976" spans="1:2">
      <c r="A976">
        <v>85355</v>
      </c>
      <c r="B976" t="s">
        <v>198</v>
      </c>
    </row>
    <row r="977" spans="1:2">
      <c r="A977">
        <v>85395</v>
      </c>
      <c r="B977" t="s">
        <v>198</v>
      </c>
    </row>
    <row r="978" spans="1:2">
      <c r="A978">
        <v>85374</v>
      </c>
      <c r="B978" t="s">
        <v>198</v>
      </c>
    </row>
    <row r="979" spans="1:2">
      <c r="A979">
        <v>85387</v>
      </c>
      <c r="B979" t="s">
        <v>198</v>
      </c>
    </row>
    <row r="980" spans="1:2">
      <c r="A980">
        <v>85388</v>
      </c>
      <c r="B980" t="s">
        <v>198</v>
      </c>
    </row>
    <row r="981" spans="1:2">
      <c r="A981">
        <v>85383</v>
      </c>
      <c r="B981" t="s">
        <v>198</v>
      </c>
    </row>
    <row r="982" spans="1:2">
      <c r="A982">
        <v>85040</v>
      </c>
      <c r="B982" t="s">
        <v>198</v>
      </c>
    </row>
    <row r="983" spans="1:2">
      <c r="A983">
        <v>85041</v>
      </c>
      <c r="B983" t="s">
        <v>198</v>
      </c>
    </row>
    <row r="984" spans="1:2">
      <c r="A984">
        <v>85042</v>
      </c>
      <c r="B984" t="s">
        <v>198</v>
      </c>
    </row>
    <row r="985" spans="1:2">
      <c r="A985">
        <v>85044</v>
      </c>
      <c r="B985" t="s">
        <v>198</v>
      </c>
    </row>
    <row r="986" spans="1:2">
      <c r="A986">
        <v>85045</v>
      </c>
      <c r="B986" t="s">
        <v>198</v>
      </c>
    </row>
    <row r="987" spans="1:2">
      <c r="A987">
        <v>85048</v>
      </c>
      <c r="B987" t="s">
        <v>198</v>
      </c>
    </row>
    <row r="988" spans="1:2">
      <c r="A988">
        <v>85142</v>
      </c>
      <c r="B988" t="s">
        <v>198</v>
      </c>
    </row>
    <row r="989" spans="1:2">
      <c r="A989">
        <v>85297</v>
      </c>
      <c r="B989" t="s">
        <v>198</v>
      </c>
    </row>
    <row r="990" spans="1:2">
      <c r="A990">
        <v>85201</v>
      </c>
      <c r="B990" t="s">
        <v>198</v>
      </c>
    </row>
    <row r="991" spans="1:2">
      <c r="A991">
        <v>85203</v>
      </c>
      <c r="B991" t="s">
        <v>198</v>
      </c>
    </row>
    <row r="992" spans="1:2">
      <c r="A992">
        <v>85213</v>
      </c>
      <c r="B992" t="s">
        <v>198</v>
      </c>
    </row>
    <row r="993" spans="1:2">
      <c r="A993">
        <v>85202</v>
      </c>
      <c r="B993" t="s">
        <v>198</v>
      </c>
    </row>
    <row r="994" spans="1:2">
      <c r="A994">
        <v>85210</v>
      </c>
      <c r="B994" t="s">
        <v>198</v>
      </c>
    </row>
    <row r="995" spans="1:2">
      <c r="A995">
        <v>85233</v>
      </c>
      <c r="B995" t="s">
        <v>198</v>
      </c>
    </row>
    <row r="996" spans="1:2">
      <c r="A996">
        <v>85204</v>
      </c>
      <c r="B996" t="s">
        <v>198</v>
      </c>
    </row>
    <row r="997" spans="1:2">
      <c r="A997">
        <v>85206</v>
      </c>
      <c r="B997" t="s">
        <v>198</v>
      </c>
    </row>
    <row r="998" spans="1:2">
      <c r="A998">
        <v>85205</v>
      </c>
      <c r="B998" t="s">
        <v>198</v>
      </c>
    </row>
    <row r="999" spans="1:2">
      <c r="A999">
        <v>85207</v>
      </c>
      <c r="B999" t="s">
        <v>198</v>
      </c>
    </row>
    <row r="1000" spans="1:2">
      <c r="A1000">
        <v>85215</v>
      </c>
      <c r="B1000" t="s">
        <v>198</v>
      </c>
    </row>
    <row r="1001" spans="1:2">
      <c r="A1001">
        <v>85208</v>
      </c>
      <c r="B1001" t="s">
        <v>198</v>
      </c>
    </row>
    <row r="1002" spans="1:2">
      <c r="A1002">
        <v>85209</v>
      </c>
      <c r="B1002" t="s">
        <v>198</v>
      </c>
    </row>
    <row r="1003" spans="1:2">
      <c r="A1003">
        <v>85212</v>
      </c>
      <c r="B1003" t="s">
        <v>198</v>
      </c>
    </row>
    <row r="1004" spans="1:2">
      <c r="A1004">
        <v>85226</v>
      </c>
      <c r="B1004" t="s">
        <v>198</v>
      </c>
    </row>
    <row r="1005" spans="1:2">
      <c r="A1005">
        <v>85283</v>
      </c>
      <c r="B1005" t="s">
        <v>198</v>
      </c>
    </row>
    <row r="1006" spans="1:2">
      <c r="A1006">
        <v>85284</v>
      </c>
      <c r="B1006" t="s">
        <v>198</v>
      </c>
    </row>
    <row r="1007" spans="1:2">
      <c r="A1007">
        <v>85234</v>
      </c>
      <c r="B1007" t="s">
        <v>198</v>
      </c>
    </row>
    <row r="1008" spans="1:2">
      <c r="A1008">
        <v>85295</v>
      </c>
      <c r="B1008" t="s">
        <v>198</v>
      </c>
    </row>
    <row r="1009" spans="1:2">
      <c r="A1009">
        <v>85296</v>
      </c>
      <c r="B1009" t="s">
        <v>198</v>
      </c>
    </row>
    <row r="1010" spans="1:2">
      <c r="A1010">
        <v>85249</v>
      </c>
      <c r="B1010" t="s">
        <v>198</v>
      </c>
    </row>
    <row r="1011" spans="1:2">
      <c r="A1011">
        <v>85248</v>
      </c>
      <c r="B1011" t="s">
        <v>198</v>
      </c>
    </row>
    <row r="1012" spans="1:2">
      <c r="A1012">
        <v>85298</v>
      </c>
      <c r="B1012" t="s">
        <v>198</v>
      </c>
    </row>
    <row r="1013" spans="1:2">
      <c r="A1013">
        <v>85281</v>
      </c>
      <c r="B1013" t="s">
        <v>198</v>
      </c>
    </row>
    <row r="1014" spans="1:2">
      <c r="A1014">
        <v>85282</v>
      </c>
      <c r="B1014" t="s">
        <v>198</v>
      </c>
    </row>
    <row r="1015" spans="1:2">
      <c r="A1015">
        <v>85224</v>
      </c>
      <c r="B1015" t="s">
        <v>198</v>
      </c>
    </row>
    <row r="1016" spans="1:2">
      <c r="A1016">
        <v>85225</v>
      </c>
      <c r="B1016" t="s">
        <v>198</v>
      </c>
    </row>
    <row r="1017" spans="1:2">
      <c r="A1017">
        <v>85286</v>
      </c>
      <c r="B1017" t="s">
        <v>198</v>
      </c>
    </row>
    <row r="1018" spans="1:2">
      <c r="A1018">
        <v>85140</v>
      </c>
      <c r="B1018" t="s">
        <v>198</v>
      </c>
    </row>
    <row r="1019" spans="1:2">
      <c r="A1019">
        <v>85143</v>
      </c>
      <c r="B1019" t="s">
        <v>198</v>
      </c>
    </row>
    <row r="1020" spans="1:2">
      <c r="A1020">
        <v>85255</v>
      </c>
      <c r="B1020" t="s">
        <v>198</v>
      </c>
    </row>
    <row r="1021" spans="1:2">
      <c r="A1021">
        <v>85268</v>
      </c>
      <c r="B1021" t="s">
        <v>198</v>
      </c>
    </row>
    <row r="1022" spans="1:2">
      <c r="A1022">
        <v>85266</v>
      </c>
      <c r="B1022" t="s">
        <v>198</v>
      </c>
    </row>
    <row r="1023" spans="1:2">
      <c r="A1023">
        <v>85331</v>
      </c>
      <c r="B1023" t="s">
        <v>198</v>
      </c>
    </row>
    <row r="1024" spans="1:2">
      <c r="A1024">
        <v>85377</v>
      </c>
      <c r="B1024" t="s">
        <v>198</v>
      </c>
    </row>
    <row r="1025" spans="1:2">
      <c r="A1025">
        <v>94115</v>
      </c>
      <c r="B1025" t="s">
        <v>198</v>
      </c>
    </row>
    <row r="1026" spans="1:2">
      <c r="A1026">
        <v>94118</v>
      </c>
      <c r="B1026" t="s">
        <v>198</v>
      </c>
    </row>
    <row r="1027" spans="1:2">
      <c r="A1027">
        <v>94121</v>
      </c>
      <c r="B1027" t="s">
        <v>198</v>
      </c>
    </row>
    <row r="1028" spans="1:2">
      <c r="A1028">
        <v>94123</v>
      </c>
      <c r="B1028" t="s">
        <v>198</v>
      </c>
    </row>
    <row r="1029" spans="1:2">
      <c r="A1029">
        <v>94114</v>
      </c>
      <c r="B1029" t="s">
        <v>198</v>
      </c>
    </row>
    <row r="1030" spans="1:2">
      <c r="A1030">
        <v>94117</v>
      </c>
      <c r="B1030" t="s">
        <v>198</v>
      </c>
    </row>
    <row r="1031" spans="1:2">
      <c r="A1031">
        <v>94122</v>
      </c>
      <c r="B1031" t="s">
        <v>198</v>
      </c>
    </row>
    <row r="1032" spans="1:2">
      <c r="A1032">
        <v>94131</v>
      </c>
      <c r="B1032" t="s">
        <v>198</v>
      </c>
    </row>
    <row r="1033" spans="1:2">
      <c r="A1033">
        <v>94116</v>
      </c>
      <c r="B1033" t="s">
        <v>198</v>
      </c>
    </row>
    <row r="1034" spans="1:2">
      <c r="A1034">
        <v>94127</v>
      </c>
      <c r="B1034" t="s">
        <v>198</v>
      </c>
    </row>
    <row r="1035" spans="1:2">
      <c r="A1035">
        <v>94132</v>
      </c>
      <c r="B1035" t="s">
        <v>198</v>
      </c>
    </row>
    <row r="1036" spans="1:2">
      <c r="A1036">
        <v>94110</v>
      </c>
      <c r="B1036" t="s">
        <v>198</v>
      </c>
    </row>
    <row r="1037" spans="1:2">
      <c r="A1037">
        <v>94124</v>
      </c>
      <c r="B1037" t="s">
        <v>198</v>
      </c>
    </row>
    <row r="1038" spans="1:2">
      <c r="A1038">
        <v>94134</v>
      </c>
      <c r="B1038" t="s">
        <v>198</v>
      </c>
    </row>
    <row r="1039" spans="1:2">
      <c r="A1039">
        <v>94112</v>
      </c>
      <c r="B1039" t="s">
        <v>198</v>
      </c>
    </row>
    <row r="1040" spans="1:2">
      <c r="A1040">
        <v>94005</v>
      </c>
      <c r="B1040" t="s">
        <v>198</v>
      </c>
    </row>
    <row r="1041" spans="1:2">
      <c r="A1041">
        <v>94014</v>
      </c>
      <c r="B1041" t="s">
        <v>198</v>
      </c>
    </row>
    <row r="1042" spans="1:2">
      <c r="A1042">
        <v>94015</v>
      </c>
      <c r="B1042" t="s">
        <v>198</v>
      </c>
    </row>
    <row r="1043" spans="1:2">
      <c r="A1043">
        <v>94016</v>
      </c>
      <c r="B1043" t="s">
        <v>198</v>
      </c>
    </row>
    <row r="1044" spans="1:2">
      <c r="A1044">
        <v>94017</v>
      </c>
      <c r="B1044" t="s">
        <v>198</v>
      </c>
    </row>
    <row r="1045" spans="1:2">
      <c r="A1045">
        <v>94030</v>
      </c>
      <c r="B1045" t="s">
        <v>198</v>
      </c>
    </row>
    <row r="1046" spans="1:2">
      <c r="A1046">
        <v>94066</v>
      </c>
      <c r="B1046" t="s">
        <v>198</v>
      </c>
    </row>
    <row r="1047" spans="1:2">
      <c r="A1047">
        <v>94080</v>
      </c>
      <c r="B1047" t="s">
        <v>198</v>
      </c>
    </row>
    <row r="1048" spans="1:2">
      <c r="A1048">
        <v>94083</v>
      </c>
      <c r="B1048" t="s">
        <v>198</v>
      </c>
    </row>
    <row r="1049" spans="1:2">
      <c r="A1049">
        <v>94010</v>
      </c>
      <c r="B1049" t="s">
        <v>198</v>
      </c>
    </row>
    <row r="1050" spans="1:2">
      <c r="A1050">
        <v>94011</v>
      </c>
      <c r="B1050" t="s">
        <v>198</v>
      </c>
    </row>
    <row r="1051" spans="1:2">
      <c r="A1051">
        <v>94401</v>
      </c>
      <c r="B1051" t="s">
        <v>198</v>
      </c>
    </row>
    <row r="1052" spans="1:2">
      <c r="A1052">
        <v>94402</v>
      </c>
      <c r="B1052" t="s">
        <v>198</v>
      </c>
    </row>
    <row r="1053" spans="1:2">
      <c r="A1053">
        <v>94002</v>
      </c>
      <c r="B1053" t="s">
        <v>198</v>
      </c>
    </row>
    <row r="1054" spans="1:2">
      <c r="A1054">
        <v>94065</v>
      </c>
      <c r="B1054" t="s">
        <v>198</v>
      </c>
    </row>
    <row r="1055" spans="1:2">
      <c r="A1055">
        <v>94403</v>
      </c>
      <c r="B1055" t="s">
        <v>198</v>
      </c>
    </row>
    <row r="1056" spans="1:2">
      <c r="A1056">
        <v>94404</v>
      </c>
      <c r="B1056" t="s">
        <v>198</v>
      </c>
    </row>
    <row r="1057" spans="1:2">
      <c r="A1057">
        <v>94497</v>
      </c>
      <c r="B1057" t="s">
        <v>198</v>
      </c>
    </row>
    <row r="1058" spans="1:2">
      <c r="A1058">
        <v>94061</v>
      </c>
      <c r="B1058" t="s">
        <v>198</v>
      </c>
    </row>
    <row r="1059" spans="1:2">
      <c r="A1059">
        <v>94063</v>
      </c>
      <c r="B1059" t="s">
        <v>198</v>
      </c>
    </row>
    <row r="1060" spans="1:2">
      <c r="A1060">
        <v>94070</v>
      </c>
      <c r="B1060" t="s">
        <v>198</v>
      </c>
    </row>
    <row r="1061" spans="1:2">
      <c r="A1061">
        <v>94025</v>
      </c>
      <c r="B1061" t="s">
        <v>198</v>
      </c>
    </row>
    <row r="1062" spans="1:2">
      <c r="A1062">
        <v>94026</v>
      </c>
      <c r="B1062" t="s">
        <v>198</v>
      </c>
    </row>
    <row r="1063" spans="1:2">
      <c r="A1063">
        <v>94027</v>
      </c>
      <c r="B1063" t="s">
        <v>198</v>
      </c>
    </row>
    <row r="1064" spans="1:2">
      <c r="A1064">
        <v>94301</v>
      </c>
      <c r="B1064" t="s">
        <v>198</v>
      </c>
    </row>
    <row r="1065" spans="1:2">
      <c r="A1065">
        <v>94303</v>
      </c>
      <c r="B1065" t="s">
        <v>198</v>
      </c>
    </row>
    <row r="1066" spans="1:2">
      <c r="A1066">
        <v>94304</v>
      </c>
      <c r="B1066" t="s">
        <v>198</v>
      </c>
    </row>
    <row r="1067" spans="1:2">
      <c r="A1067">
        <v>94305</v>
      </c>
      <c r="B1067" t="s">
        <v>198</v>
      </c>
    </row>
    <row r="1068" spans="1:2">
      <c r="A1068">
        <v>94306</v>
      </c>
      <c r="B1068" t="s">
        <v>198</v>
      </c>
    </row>
    <row r="1069" spans="1:2">
      <c r="A1069">
        <v>94022</v>
      </c>
      <c r="B1069" t="s">
        <v>198</v>
      </c>
    </row>
    <row r="1070" spans="1:2">
      <c r="A1070">
        <v>94024</v>
      </c>
      <c r="B1070" t="s">
        <v>198</v>
      </c>
    </row>
    <row r="1071" spans="1:2">
      <c r="A1071">
        <v>94040</v>
      </c>
      <c r="B1071" t="s">
        <v>198</v>
      </c>
    </row>
    <row r="1072" spans="1:2">
      <c r="A1072">
        <v>94041</v>
      </c>
      <c r="B1072" t="s">
        <v>198</v>
      </c>
    </row>
    <row r="1073" spans="1:2">
      <c r="A1073">
        <v>94043</v>
      </c>
      <c r="B1073" t="s">
        <v>198</v>
      </c>
    </row>
    <row r="1074" spans="1:2">
      <c r="A1074">
        <v>95014</v>
      </c>
      <c r="B1074" t="s">
        <v>198</v>
      </c>
    </row>
    <row r="1075" spans="1:2">
      <c r="A1075">
        <v>95015</v>
      </c>
      <c r="B1075" t="s">
        <v>198</v>
      </c>
    </row>
    <row r="1076" spans="1:2">
      <c r="A1076">
        <v>95070</v>
      </c>
      <c r="B1076" t="s">
        <v>198</v>
      </c>
    </row>
    <row r="1077" spans="1:2">
      <c r="A1077">
        <v>95129</v>
      </c>
      <c r="B1077" t="s">
        <v>198</v>
      </c>
    </row>
    <row r="1078" spans="1:2">
      <c r="A1078">
        <v>94085</v>
      </c>
      <c r="B1078" t="s">
        <v>198</v>
      </c>
    </row>
    <row r="1079" spans="1:2">
      <c r="A1079">
        <v>94086</v>
      </c>
      <c r="B1079" t="s">
        <v>198</v>
      </c>
    </row>
    <row r="1080" spans="1:2">
      <c r="A1080">
        <v>94087</v>
      </c>
      <c r="B1080" t="s">
        <v>198</v>
      </c>
    </row>
    <row r="1081" spans="1:2">
      <c r="A1081">
        <v>95050</v>
      </c>
      <c r="B1081" t="s">
        <v>198</v>
      </c>
    </row>
    <row r="1082" spans="1:2">
      <c r="A1082">
        <v>95051</v>
      </c>
      <c r="B1082" t="s">
        <v>198</v>
      </c>
    </row>
    <row r="1083" spans="1:2">
      <c r="A1083">
        <v>95117</v>
      </c>
      <c r="B1083" t="s">
        <v>198</v>
      </c>
    </row>
    <row r="1084" spans="1:2">
      <c r="A1084">
        <v>95128</v>
      </c>
      <c r="B1084" t="s">
        <v>198</v>
      </c>
    </row>
    <row r="1085" spans="1:2">
      <c r="A1085">
        <v>95130</v>
      </c>
      <c r="B1085" t="s">
        <v>198</v>
      </c>
    </row>
    <row r="1086" spans="1:2">
      <c r="A1086">
        <v>95008</v>
      </c>
      <c r="B1086" t="s">
        <v>198</v>
      </c>
    </row>
    <row r="1087" spans="1:2">
      <c r="A1087">
        <v>95118</v>
      </c>
      <c r="B1087" t="s">
        <v>198</v>
      </c>
    </row>
    <row r="1088" spans="1:2">
      <c r="A1088">
        <v>95124</v>
      </c>
      <c r="B1088" t="s">
        <v>198</v>
      </c>
    </row>
    <row r="1089" spans="1:2">
      <c r="A1089">
        <v>95030</v>
      </c>
      <c r="B1089" t="s">
        <v>198</v>
      </c>
    </row>
    <row r="1090" spans="1:2">
      <c r="A1090">
        <v>95032</v>
      </c>
      <c r="B1090" t="s">
        <v>198</v>
      </c>
    </row>
    <row r="1091" spans="1:2">
      <c r="A1091">
        <v>95120</v>
      </c>
      <c r="B1091" t="s">
        <v>198</v>
      </c>
    </row>
    <row r="1092" spans="1:2">
      <c r="A1092">
        <v>95119</v>
      </c>
      <c r="B1092" t="s">
        <v>198</v>
      </c>
    </row>
    <row r="1093" spans="1:2">
      <c r="A1093">
        <v>95123</v>
      </c>
      <c r="B1093" t="s">
        <v>198</v>
      </c>
    </row>
    <row r="1094" spans="1:2">
      <c r="A1094">
        <v>95138</v>
      </c>
      <c r="B1094" t="s">
        <v>198</v>
      </c>
    </row>
    <row r="1095" spans="1:2">
      <c r="A1095">
        <v>95139</v>
      </c>
      <c r="B1095" t="s">
        <v>198</v>
      </c>
    </row>
    <row r="1096" spans="1:2">
      <c r="A1096">
        <v>95111</v>
      </c>
      <c r="B1096" t="s">
        <v>198</v>
      </c>
    </row>
    <row r="1097" spans="1:2">
      <c r="A1097">
        <v>95121</v>
      </c>
      <c r="B1097" t="s">
        <v>198</v>
      </c>
    </row>
    <row r="1098" spans="1:2">
      <c r="A1098">
        <v>95136</v>
      </c>
      <c r="B1098" t="s">
        <v>198</v>
      </c>
    </row>
    <row r="1099" spans="1:2">
      <c r="A1099">
        <v>95110</v>
      </c>
      <c r="B1099" t="s">
        <v>198</v>
      </c>
    </row>
    <row r="1100" spans="1:2">
      <c r="A1100">
        <v>95112</v>
      </c>
      <c r="B1100" t="s">
        <v>198</v>
      </c>
    </row>
    <row r="1101" spans="1:2">
      <c r="A1101">
        <v>95113</v>
      </c>
      <c r="B1101" t="s">
        <v>198</v>
      </c>
    </row>
    <row r="1102" spans="1:2">
      <c r="A1102">
        <v>95125</v>
      </c>
      <c r="B1102" t="s">
        <v>198</v>
      </c>
    </row>
    <row r="1103" spans="1:2">
      <c r="A1103">
        <v>95126</v>
      </c>
      <c r="B1103" t="s">
        <v>198</v>
      </c>
    </row>
    <row r="1104" spans="1:2">
      <c r="A1104">
        <v>95116</v>
      </c>
      <c r="B1104" t="s">
        <v>198</v>
      </c>
    </row>
    <row r="1105" spans="1:2">
      <c r="A1105">
        <v>95127</v>
      </c>
      <c r="B1105" t="s">
        <v>198</v>
      </c>
    </row>
    <row r="1106" spans="1:2">
      <c r="A1106">
        <v>95133</v>
      </c>
      <c r="B1106" t="s">
        <v>198</v>
      </c>
    </row>
    <row r="1107" spans="1:2">
      <c r="A1107">
        <v>95122</v>
      </c>
      <c r="B1107" t="s">
        <v>198</v>
      </c>
    </row>
    <row r="1108" spans="1:2">
      <c r="A1108">
        <v>95135</v>
      </c>
      <c r="B1108" t="s">
        <v>198</v>
      </c>
    </row>
    <row r="1109" spans="1:2">
      <c r="A1109">
        <v>95148</v>
      </c>
      <c r="B1109" t="s">
        <v>198</v>
      </c>
    </row>
    <row r="1110" spans="1:2">
      <c r="A1110">
        <v>95035</v>
      </c>
      <c r="B1110" t="s">
        <v>198</v>
      </c>
    </row>
    <row r="1111" spans="1:2">
      <c r="A1111">
        <v>95131</v>
      </c>
      <c r="B1111" t="s">
        <v>198</v>
      </c>
    </row>
    <row r="1112" spans="1:2">
      <c r="A1112">
        <v>95132</v>
      </c>
      <c r="B1112" t="s">
        <v>198</v>
      </c>
    </row>
    <row r="1113" spans="1:2">
      <c r="A1113">
        <v>94089</v>
      </c>
      <c r="B1113" t="s">
        <v>198</v>
      </c>
    </row>
    <row r="1114" spans="1:2">
      <c r="A1114">
        <v>95002</v>
      </c>
      <c r="B1114" t="s">
        <v>198</v>
      </c>
    </row>
    <row r="1115" spans="1:2">
      <c r="A1115">
        <v>95054</v>
      </c>
      <c r="B1115" t="s">
        <v>198</v>
      </c>
    </row>
    <row r="1116" spans="1:2">
      <c r="A1116">
        <v>95134</v>
      </c>
      <c r="B1116" t="s">
        <v>198</v>
      </c>
    </row>
    <row r="1117" spans="1:2">
      <c r="A1117">
        <v>94538</v>
      </c>
      <c r="B1117" t="s">
        <v>198</v>
      </c>
    </row>
    <row r="1118" spans="1:2">
      <c r="A1118">
        <v>94539</v>
      </c>
      <c r="B1118" t="s">
        <v>198</v>
      </c>
    </row>
    <row r="1119" spans="1:2">
      <c r="A1119">
        <v>94560</v>
      </c>
      <c r="B1119" t="s">
        <v>198</v>
      </c>
    </row>
    <row r="1120" spans="1:2">
      <c r="A1120">
        <v>94536</v>
      </c>
      <c r="B1120" t="s">
        <v>198</v>
      </c>
    </row>
    <row r="1121" spans="1:2">
      <c r="A1121">
        <v>94555</v>
      </c>
      <c r="B1121" t="s">
        <v>198</v>
      </c>
    </row>
    <row r="1122" spans="1:2">
      <c r="A1122">
        <v>94587</v>
      </c>
      <c r="B1122" t="s">
        <v>198</v>
      </c>
    </row>
    <row r="1123" spans="1:2">
      <c r="A1123">
        <v>94541</v>
      </c>
      <c r="B1123" t="s">
        <v>198</v>
      </c>
    </row>
    <row r="1124" spans="1:2">
      <c r="A1124">
        <v>94542</v>
      </c>
      <c r="B1124" t="s">
        <v>198</v>
      </c>
    </row>
    <row r="1125" spans="1:2">
      <c r="A1125">
        <v>94544</v>
      </c>
      <c r="B1125" t="s">
        <v>198</v>
      </c>
    </row>
    <row r="1126" spans="1:2">
      <c r="A1126">
        <v>94545</v>
      </c>
      <c r="B1126" t="s">
        <v>198</v>
      </c>
    </row>
    <row r="1127" spans="1:2">
      <c r="A1127">
        <v>94580</v>
      </c>
      <c r="B1127" t="s">
        <v>198</v>
      </c>
    </row>
    <row r="1128" spans="1:2">
      <c r="A1128">
        <v>94546</v>
      </c>
      <c r="B1128" t="s">
        <v>198</v>
      </c>
    </row>
    <row r="1129" spans="1:2">
      <c r="A1129">
        <v>94605</v>
      </c>
      <c r="B1129" t="s">
        <v>198</v>
      </c>
    </row>
    <row r="1130" spans="1:2">
      <c r="A1130">
        <v>94613</v>
      </c>
      <c r="B1130" t="s">
        <v>198</v>
      </c>
    </row>
    <row r="1131" spans="1:2">
      <c r="A1131">
        <v>94619</v>
      </c>
      <c r="B1131" t="s">
        <v>198</v>
      </c>
    </row>
    <row r="1132" spans="1:2">
      <c r="A1132">
        <v>94577</v>
      </c>
      <c r="B1132" t="s">
        <v>198</v>
      </c>
    </row>
    <row r="1133" spans="1:2">
      <c r="A1133">
        <v>94578</v>
      </c>
      <c r="B1133" t="s">
        <v>198</v>
      </c>
    </row>
    <row r="1134" spans="1:2">
      <c r="A1134">
        <v>94579</v>
      </c>
      <c r="B1134" t="s">
        <v>198</v>
      </c>
    </row>
    <row r="1135" spans="1:2">
      <c r="A1135">
        <v>94601</v>
      </c>
      <c r="B1135" t="s">
        <v>198</v>
      </c>
    </row>
    <row r="1136" spans="1:2">
      <c r="A1136">
        <v>94603</v>
      </c>
      <c r="B1136" t="s">
        <v>198</v>
      </c>
    </row>
    <row r="1137" spans="1:2">
      <c r="A1137">
        <v>94621</v>
      </c>
      <c r="B1137" t="s">
        <v>198</v>
      </c>
    </row>
    <row r="1138" spans="1:2">
      <c r="A1138">
        <v>94602</v>
      </c>
      <c r="B1138" t="s">
        <v>198</v>
      </c>
    </row>
    <row r="1139" spans="1:2">
      <c r="A1139">
        <v>94610</v>
      </c>
      <c r="B1139" t="s">
        <v>198</v>
      </c>
    </row>
    <row r="1140" spans="1:2">
      <c r="A1140">
        <v>94611</v>
      </c>
      <c r="B1140" t="s">
        <v>198</v>
      </c>
    </row>
    <row r="1141" spans="1:2">
      <c r="A1141">
        <v>94606</v>
      </c>
      <c r="B1141" t="s">
        <v>198</v>
      </c>
    </row>
    <row r="1142" spans="1:2">
      <c r="A1142">
        <v>94607</v>
      </c>
      <c r="B1142" t="s">
        <v>198</v>
      </c>
    </row>
    <row r="1143" spans="1:2">
      <c r="A1143">
        <v>94608</v>
      </c>
      <c r="B1143" t="s">
        <v>198</v>
      </c>
    </row>
    <row r="1144" spans="1:2">
      <c r="A1144">
        <v>94609</v>
      </c>
      <c r="B1144" t="s">
        <v>198</v>
      </c>
    </row>
    <row r="1145" spans="1:2">
      <c r="A1145">
        <v>94618</v>
      </c>
      <c r="B1145" t="s">
        <v>198</v>
      </c>
    </row>
    <row r="1146" spans="1:2">
      <c r="A1146">
        <v>94702</v>
      </c>
      <c r="B1146" t="s">
        <v>198</v>
      </c>
    </row>
    <row r="1147" spans="1:2">
      <c r="A1147">
        <v>94703</v>
      </c>
      <c r="B1147" t="s">
        <v>198</v>
      </c>
    </row>
    <row r="1148" spans="1:2">
      <c r="A1148">
        <v>94704</v>
      </c>
      <c r="B1148" t="s">
        <v>198</v>
      </c>
    </row>
    <row r="1149" spans="1:2">
      <c r="A1149">
        <v>94705</v>
      </c>
      <c r="B1149" t="s">
        <v>198</v>
      </c>
    </row>
    <row r="1150" spans="1:2">
      <c r="A1150">
        <v>94706</v>
      </c>
      <c r="B1150" t="s">
        <v>198</v>
      </c>
    </row>
    <row r="1151" spans="1:2">
      <c r="A1151">
        <v>94707</v>
      </c>
      <c r="B1151" t="s">
        <v>198</v>
      </c>
    </row>
    <row r="1152" spans="1:2">
      <c r="A1152">
        <v>94709</v>
      </c>
      <c r="B1152" t="s">
        <v>198</v>
      </c>
    </row>
    <row r="1153" spans="1:2">
      <c r="A1153">
        <v>94710</v>
      </c>
      <c r="B1153" t="s">
        <v>198</v>
      </c>
    </row>
    <row r="1154" spans="1:2">
      <c r="A1154">
        <v>94720</v>
      </c>
      <c r="B1154" t="s">
        <v>198</v>
      </c>
    </row>
    <row r="1155" spans="1:2">
      <c r="A1155">
        <v>94550</v>
      </c>
      <c r="B1155" t="s">
        <v>198</v>
      </c>
    </row>
    <row r="1156" spans="1:2">
      <c r="A1156">
        <v>94551</v>
      </c>
      <c r="B1156" t="s">
        <v>198</v>
      </c>
    </row>
    <row r="1157" spans="1:2">
      <c r="A1157">
        <v>94566</v>
      </c>
      <c r="B1157" t="s">
        <v>198</v>
      </c>
    </row>
    <row r="1158" spans="1:2">
      <c r="A1158">
        <v>94568</v>
      </c>
      <c r="B1158" t="s">
        <v>198</v>
      </c>
    </row>
    <row r="1159" spans="1:2">
      <c r="A1159">
        <v>94582</v>
      </c>
      <c r="B1159" t="s">
        <v>198</v>
      </c>
    </row>
    <row r="1160" spans="1:2">
      <c r="A1160">
        <v>94583</v>
      </c>
      <c r="B1160" t="s">
        <v>198</v>
      </c>
    </row>
    <row r="1161" spans="1:2">
      <c r="A1161">
        <v>94588</v>
      </c>
      <c r="B1161" t="s">
        <v>198</v>
      </c>
    </row>
    <row r="1162" spans="1:2">
      <c r="A1162">
        <v>92153</v>
      </c>
      <c r="B1162" t="s">
        <v>198</v>
      </c>
    </row>
    <row r="1163" spans="1:2">
      <c r="A1163">
        <v>92154</v>
      </c>
      <c r="B1163" t="s">
        <v>198</v>
      </c>
    </row>
    <row r="1164" spans="1:2">
      <c r="A1164">
        <v>91909</v>
      </c>
      <c r="B1164" t="s">
        <v>198</v>
      </c>
    </row>
    <row r="1165" spans="1:2">
      <c r="A1165">
        <v>91911</v>
      </c>
      <c r="B1165" t="s">
        <v>198</v>
      </c>
    </row>
    <row r="1166" spans="1:2">
      <c r="A1166">
        <v>91932</v>
      </c>
      <c r="B1166" t="s">
        <v>198</v>
      </c>
    </row>
    <row r="1167" spans="1:2">
      <c r="A1167">
        <v>91933</v>
      </c>
      <c r="B1167" t="s">
        <v>198</v>
      </c>
    </row>
    <row r="1168" spans="1:2">
      <c r="A1168">
        <v>91913</v>
      </c>
      <c r="B1168" t="s">
        <v>198</v>
      </c>
    </row>
    <row r="1169" spans="1:2">
      <c r="A1169">
        <v>91915</v>
      </c>
      <c r="B1169" t="s">
        <v>198</v>
      </c>
    </row>
    <row r="1170" spans="1:2">
      <c r="A1170">
        <v>91910</v>
      </c>
      <c r="B1170" t="s">
        <v>198</v>
      </c>
    </row>
    <row r="1171" spans="1:2">
      <c r="A1171">
        <v>91912</v>
      </c>
      <c r="B1171" t="s">
        <v>198</v>
      </c>
    </row>
    <row r="1172" spans="1:2">
      <c r="A1172">
        <v>91921</v>
      </c>
      <c r="B1172" t="s">
        <v>198</v>
      </c>
    </row>
    <row r="1173" spans="1:2">
      <c r="A1173">
        <v>91950</v>
      </c>
      <c r="B1173" t="s">
        <v>198</v>
      </c>
    </row>
    <row r="1174" spans="1:2">
      <c r="A1174">
        <v>91951</v>
      </c>
      <c r="B1174" t="s">
        <v>198</v>
      </c>
    </row>
    <row r="1175" spans="1:2">
      <c r="A1175">
        <v>92139</v>
      </c>
      <c r="B1175" t="s">
        <v>198</v>
      </c>
    </row>
    <row r="1176" spans="1:2">
      <c r="A1176">
        <v>91902</v>
      </c>
      <c r="B1176" t="s">
        <v>198</v>
      </c>
    </row>
    <row r="1177" spans="1:2">
      <c r="A1177">
        <v>91914</v>
      </c>
      <c r="B1177" t="s">
        <v>198</v>
      </c>
    </row>
    <row r="1178" spans="1:2">
      <c r="A1178">
        <v>91976</v>
      </c>
      <c r="B1178" t="s">
        <v>198</v>
      </c>
    </row>
    <row r="1179" spans="1:2">
      <c r="A1179">
        <v>91977</v>
      </c>
      <c r="B1179" t="s">
        <v>198</v>
      </c>
    </row>
    <row r="1180" spans="1:2">
      <c r="A1180">
        <v>91945</v>
      </c>
      <c r="B1180" t="s">
        <v>198</v>
      </c>
    </row>
    <row r="1181" spans="1:2">
      <c r="A1181">
        <v>91946</v>
      </c>
      <c r="B1181" t="s">
        <v>198</v>
      </c>
    </row>
    <row r="1182" spans="1:2">
      <c r="A1182">
        <v>92114</v>
      </c>
      <c r="B1182" t="s">
        <v>198</v>
      </c>
    </row>
    <row r="1183" spans="1:2">
      <c r="A1183">
        <v>92174</v>
      </c>
      <c r="B1183" t="s">
        <v>198</v>
      </c>
    </row>
    <row r="1184" spans="1:2">
      <c r="A1184">
        <v>92112</v>
      </c>
      <c r="B1184" t="s">
        <v>198</v>
      </c>
    </row>
    <row r="1185" spans="1:2">
      <c r="A1185">
        <v>92102</v>
      </c>
      <c r="B1185" t="s">
        <v>198</v>
      </c>
    </row>
    <row r="1186" spans="1:2">
      <c r="A1186">
        <v>92113</v>
      </c>
      <c r="B1186" t="s">
        <v>198</v>
      </c>
    </row>
    <row r="1187" spans="1:2">
      <c r="A1187">
        <v>92170</v>
      </c>
      <c r="B1187" t="s">
        <v>198</v>
      </c>
    </row>
    <row r="1188" spans="1:2">
      <c r="A1188">
        <v>91941</v>
      </c>
      <c r="B1188" t="s">
        <v>198</v>
      </c>
    </row>
    <row r="1189" spans="1:2">
      <c r="A1189">
        <v>92020</v>
      </c>
      <c r="B1189" t="s">
        <v>198</v>
      </c>
    </row>
    <row r="1190" spans="1:2">
      <c r="A1190">
        <v>92022</v>
      </c>
      <c r="B1190" t="s">
        <v>198</v>
      </c>
    </row>
    <row r="1191" spans="1:2">
      <c r="A1191">
        <v>91942</v>
      </c>
      <c r="B1191" t="s">
        <v>198</v>
      </c>
    </row>
    <row r="1192" spans="1:2">
      <c r="A1192">
        <v>92119</v>
      </c>
      <c r="B1192" t="s">
        <v>198</v>
      </c>
    </row>
    <row r="1193" spans="1:2">
      <c r="A1193">
        <v>92120</v>
      </c>
      <c r="B1193" t="s">
        <v>198</v>
      </c>
    </row>
    <row r="1194" spans="1:2">
      <c r="A1194">
        <v>92160</v>
      </c>
      <c r="B1194" t="s">
        <v>198</v>
      </c>
    </row>
    <row r="1195" spans="1:2">
      <c r="A1195">
        <v>92105</v>
      </c>
      <c r="B1195" t="s">
        <v>198</v>
      </c>
    </row>
    <row r="1196" spans="1:2">
      <c r="A1196">
        <v>92115</v>
      </c>
      <c r="B1196" t="s">
        <v>198</v>
      </c>
    </row>
    <row r="1197" spans="1:2">
      <c r="A1197">
        <v>92103</v>
      </c>
      <c r="B1197" t="s">
        <v>198</v>
      </c>
    </row>
    <row r="1198" spans="1:2">
      <c r="A1198">
        <v>92104</v>
      </c>
      <c r="B1198" t="s">
        <v>198</v>
      </c>
    </row>
    <row r="1199" spans="1:2">
      <c r="A1199">
        <v>92163</v>
      </c>
      <c r="B1199" t="s">
        <v>198</v>
      </c>
    </row>
    <row r="1200" spans="1:2">
      <c r="A1200">
        <v>92116</v>
      </c>
      <c r="B1200" t="s">
        <v>198</v>
      </c>
    </row>
    <row r="1201" spans="1:2">
      <c r="A1201">
        <v>92108</v>
      </c>
      <c r="B1201" t="s">
        <v>198</v>
      </c>
    </row>
    <row r="1202" spans="1:2">
      <c r="A1202">
        <v>92106</v>
      </c>
      <c r="B1202" t="s">
        <v>198</v>
      </c>
    </row>
    <row r="1203" spans="1:2">
      <c r="A1203">
        <v>92166</v>
      </c>
      <c r="B1203" t="s">
        <v>198</v>
      </c>
    </row>
    <row r="1204" spans="1:2">
      <c r="A1204">
        <v>92107</v>
      </c>
      <c r="B1204" t="s">
        <v>198</v>
      </c>
    </row>
    <row r="1205" spans="1:2">
      <c r="A1205">
        <v>92110</v>
      </c>
      <c r="B1205" t="s">
        <v>198</v>
      </c>
    </row>
    <row r="1206" spans="1:2">
      <c r="A1206">
        <v>92138</v>
      </c>
      <c r="B1206" t="s">
        <v>198</v>
      </c>
    </row>
    <row r="1207" spans="1:2">
      <c r="A1207">
        <v>92111</v>
      </c>
      <c r="B1207" t="s">
        <v>198</v>
      </c>
    </row>
    <row r="1208" spans="1:2">
      <c r="A1208">
        <v>92117</v>
      </c>
      <c r="B1208" t="s">
        <v>198</v>
      </c>
    </row>
    <row r="1209" spans="1:2">
      <c r="A1209">
        <v>92121</v>
      </c>
      <c r="B1209" t="s">
        <v>198</v>
      </c>
    </row>
    <row r="1210" spans="1:2">
      <c r="A1210">
        <v>92126</v>
      </c>
      <c r="B1210" t="s">
        <v>198</v>
      </c>
    </row>
    <row r="1211" spans="1:2">
      <c r="A1211">
        <v>92129</v>
      </c>
      <c r="B1211" t="s">
        <v>198</v>
      </c>
    </row>
    <row r="1212" spans="1:2">
      <c r="A1212">
        <v>92172</v>
      </c>
      <c r="B1212" t="s">
        <v>198</v>
      </c>
    </row>
    <row r="1213" spans="1:2">
      <c r="A1213">
        <v>92071</v>
      </c>
      <c r="B1213" t="s">
        <v>198</v>
      </c>
    </row>
    <row r="1214" spans="1:2">
      <c r="A1214">
        <v>92072</v>
      </c>
      <c r="B1214" t="s">
        <v>198</v>
      </c>
    </row>
    <row r="1215" spans="1:2">
      <c r="A1215">
        <v>92025</v>
      </c>
      <c r="B1215" t="s">
        <v>198</v>
      </c>
    </row>
    <row r="1216" spans="1:2">
      <c r="A1216">
        <v>92064</v>
      </c>
      <c r="B1216" t="s">
        <v>198</v>
      </c>
    </row>
    <row r="1217" spans="1:2">
      <c r="A1217">
        <v>92074</v>
      </c>
      <c r="B1217" t="s">
        <v>198</v>
      </c>
    </row>
    <row r="1218" spans="1:2">
      <c r="A1218">
        <v>92128</v>
      </c>
      <c r="B1218" t="s">
        <v>198</v>
      </c>
    </row>
    <row r="1219" spans="1:2">
      <c r="A1219">
        <v>92150</v>
      </c>
      <c r="B1219" t="s">
        <v>198</v>
      </c>
    </row>
    <row r="1220" spans="1:2">
      <c r="A1220">
        <v>92198</v>
      </c>
      <c r="B1220" t="s">
        <v>198</v>
      </c>
    </row>
    <row r="1221" spans="1:2">
      <c r="A1221">
        <v>92007</v>
      </c>
      <c r="B1221" t="s">
        <v>198</v>
      </c>
    </row>
    <row r="1222" spans="1:2">
      <c r="A1222">
        <v>92014</v>
      </c>
      <c r="B1222" t="s">
        <v>198</v>
      </c>
    </row>
    <row r="1223" spans="1:2">
      <c r="A1223">
        <v>92075</v>
      </c>
      <c r="B1223" t="s">
        <v>198</v>
      </c>
    </row>
    <row r="1224" spans="1:2">
      <c r="A1224">
        <v>92130</v>
      </c>
      <c r="B1224" t="s">
        <v>198</v>
      </c>
    </row>
    <row r="1225" spans="1:2">
      <c r="A1225">
        <v>92078</v>
      </c>
      <c r="B1225" t="s">
        <v>198</v>
      </c>
    </row>
    <row r="1226" spans="1:2">
      <c r="A1226">
        <v>92081</v>
      </c>
      <c r="B1226" t="s">
        <v>198</v>
      </c>
    </row>
    <row r="1227" spans="1:2">
      <c r="A1227">
        <v>92096</v>
      </c>
      <c r="B1227" t="s">
        <v>198</v>
      </c>
    </row>
    <row r="1228" spans="1:2">
      <c r="A1228">
        <v>92051</v>
      </c>
      <c r="B1228" t="s">
        <v>198</v>
      </c>
    </row>
    <row r="1229" spans="1:2">
      <c r="A1229">
        <v>92052</v>
      </c>
      <c r="B1229" t="s">
        <v>198</v>
      </c>
    </row>
    <row r="1230" spans="1:2">
      <c r="A1230">
        <v>92054</v>
      </c>
      <c r="B1230" t="s">
        <v>198</v>
      </c>
    </row>
    <row r="1231" spans="1:2">
      <c r="A1231">
        <v>92056</v>
      </c>
      <c r="B1231" t="s">
        <v>198</v>
      </c>
    </row>
    <row r="1232" spans="1:2">
      <c r="A1232">
        <v>92057</v>
      </c>
      <c r="B1232" t="s">
        <v>198</v>
      </c>
    </row>
    <row r="1233" spans="1:2">
      <c r="A1233">
        <v>78002</v>
      </c>
      <c r="B1233" t="s">
        <v>198</v>
      </c>
    </row>
    <row r="1234" spans="1:2">
      <c r="A1234">
        <v>78009</v>
      </c>
      <c r="B1234" t="s">
        <v>198</v>
      </c>
    </row>
    <row r="1235" spans="1:2">
      <c r="A1235">
        <v>78039</v>
      </c>
      <c r="B1235" t="s">
        <v>198</v>
      </c>
    </row>
    <row r="1236" spans="1:2">
      <c r="A1236">
        <v>78052</v>
      </c>
      <c r="B1236" t="s">
        <v>198</v>
      </c>
    </row>
    <row r="1237" spans="1:2">
      <c r="A1237">
        <v>78069</v>
      </c>
      <c r="B1237" t="s">
        <v>198</v>
      </c>
    </row>
    <row r="1238" spans="1:2">
      <c r="A1238">
        <v>78073</v>
      </c>
      <c r="B1238" t="s">
        <v>198</v>
      </c>
    </row>
    <row r="1239" spans="1:2">
      <c r="A1239">
        <v>78252</v>
      </c>
      <c r="B1239" t="s">
        <v>198</v>
      </c>
    </row>
    <row r="1240" spans="1:2">
      <c r="A1240">
        <v>78066</v>
      </c>
      <c r="B1240" t="s">
        <v>198</v>
      </c>
    </row>
    <row r="1241" spans="1:2">
      <c r="A1241">
        <v>78253</v>
      </c>
      <c r="B1241" t="s">
        <v>198</v>
      </c>
    </row>
    <row r="1242" spans="1:2">
      <c r="A1242">
        <v>78254</v>
      </c>
      <c r="B1242" t="s">
        <v>198</v>
      </c>
    </row>
    <row r="1243" spans="1:2">
      <c r="A1243">
        <v>78245</v>
      </c>
      <c r="B1243" t="s">
        <v>198</v>
      </c>
    </row>
    <row r="1244" spans="1:2">
      <c r="A1244">
        <v>78250</v>
      </c>
      <c r="B1244" t="s">
        <v>198</v>
      </c>
    </row>
    <row r="1245" spans="1:2">
      <c r="A1245">
        <v>78251</v>
      </c>
      <c r="B1245" t="s">
        <v>198</v>
      </c>
    </row>
    <row r="1246" spans="1:2">
      <c r="A1246">
        <v>78211</v>
      </c>
      <c r="B1246" t="s">
        <v>198</v>
      </c>
    </row>
    <row r="1247" spans="1:2">
      <c r="A1247">
        <v>78242</v>
      </c>
      <c r="B1247" t="s">
        <v>198</v>
      </c>
    </row>
    <row r="1248" spans="1:2">
      <c r="A1248">
        <v>78212</v>
      </c>
      <c r="B1248" t="s">
        <v>198</v>
      </c>
    </row>
    <row r="1249" spans="1:2">
      <c r="A1249">
        <v>78215</v>
      </c>
      <c r="B1249" t="s">
        <v>198</v>
      </c>
    </row>
    <row r="1250" spans="1:2">
      <c r="A1250">
        <v>78201</v>
      </c>
      <c r="B1250" t="s">
        <v>198</v>
      </c>
    </row>
    <row r="1251" spans="1:2">
      <c r="A1251">
        <v>78228</v>
      </c>
      <c r="B1251" t="s">
        <v>198</v>
      </c>
    </row>
    <row r="1252" spans="1:2">
      <c r="A1252">
        <v>78238</v>
      </c>
      <c r="B1252" t="s">
        <v>198</v>
      </c>
    </row>
    <row r="1253" spans="1:2">
      <c r="A1253">
        <v>78204</v>
      </c>
      <c r="B1253" t="s">
        <v>198</v>
      </c>
    </row>
    <row r="1254" spans="1:2">
      <c r="A1254">
        <v>78205</v>
      </c>
      <c r="B1254" t="s">
        <v>198</v>
      </c>
    </row>
    <row r="1255" spans="1:2">
      <c r="A1255">
        <v>78207</v>
      </c>
      <c r="B1255" t="s">
        <v>198</v>
      </c>
    </row>
    <row r="1256" spans="1:2">
      <c r="A1256">
        <v>78202</v>
      </c>
      <c r="B1256" t="s">
        <v>198</v>
      </c>
    </row>
    <row r="1257" spans="1:2">
      <c r="A1257">
        <v>78203</v>
      </c>
      <c r="B1257" t="s">
        <v>198</v>
      </c>
    </row>
    <row r="1258" spans="1:2">
      <c r="A1258">
        <v>78210</v>
      </c>
      <c r="B1258" t="s">
        <v>198</v>
      </c>
    </row>
    <row r="1259" spans="1:2">
      <c r="A1259">
        <v>78237</v>
      </c>
      <c r="B1259" t="s">
        <v>198</v>
      </c>
    </row>
    <row r="1260" spans="1:2">
      <c r="A1260">
        <v>78226</v>
      </c>
      <c r="B1260" t="s">
        <v>198</v>
      </c>
    </row>
    <row r="1261" spans="1:2">
      <c r="A1261">
        <v>78225</v>
      </c>
      <c r="B1261" t="s">
        <v>198</v>
      </c>
    </row>
    <row r="1262" spans="1:2">
      <c r="A1262">
        <v>78208</v>
      </c>
      <c r="B1262" t="s">
        <v>198</v>
      </c>
    </row>
    <row r="1263" spans="1:2">
      <c r="A1263">
        <v>78209</v>
      </c>
      <c r="B1263" t="s">
        <v>198</v>
      </c>
    </row>
    <row r="1264" spans="1:2">
      <c r="A1264">
        <v>78229</v>
      </c>
      <c r="B1264" t="s">
        <v>198</v>
      </c>
    </row>
    <row r="1265" spans="1:2">
      <c r="A1265">
        <v>78230</v>
      </c>
      <c r="B1265" t="s">
        <v>198</v>
      </c>
    </row>
    <row r="1266" spans="1:2">
      <c r="A1266">
        <v>78240</v>
      </c>
      <c r="B1266" t="s">
        <v>198</v>
      </c>
    </row>
    <row r="1267" spans="1:2">
      <c r="A1267">
        <v>78218</v>
      </c>
      <c r="B1267" t="s">
        <v>198</v>
      </c>
    </row>
    <row r="1268" spans="1:2">
      <c r="A1268">
        <v>78015</v>
      </c>
      <c r="B1268" t="s">
        <v>198</v>
      </c>
    </row>
    <row r="1269" spans="1:2">
      <c r="A1269">
        <v>78023</v>
      </c>
      <c r="B1269" t="s">
        <v>198</v>
      </c>
    </row>
    <row r="1270" spans="1:2">
      <c r="A1270">
        <v>78255</v>
      </c>
      <c r="B1270" t="s">
        <v>198</v>
      </c>
    </row>
    <row r="1271" spans="1:2">
      <c r="A1271">
        <v>78256</v>
      </c>
      <c r="B1271" t="s">
        <v>198</v>
      </c>
    </row>
    <row r="1272" spans="1:2">
      <c r="A1272">
        <v>78163</v>
      </c>
      <c r="B1272" t="s">
        <v>198</v>
      </c>
    </row>
    <row r="1273" spans="1:2">
      <c r="A1273">
        <v>78260</v>
      </c>
      <c r="B1273" t="s">
        <v>198</v>
      </c>
    </row>
    <row r="1274" spans="1:2">
      <c r="A1274">
        <v>78258</v>
      </c>
      <c r="B1274" t="s">
        <v>198</v>
      </c>
    </row>
    <row r="1275" spans="1:2">
      <c r="A1275">
        <v>78261</v>
      </c>
      <c r="B1275" t="s">
        <v>198</v>
      </c>
    </row>
    <row r="1276" spans="1:2">
      <c r="A1276">
        <v>78266</v>
      </c>
      <c r="B1276" t="s">
        <v>198</v>
      </c>
    </row>
    <row r="1277" spans="1:2">
      <c r="A1277">
        <v>78259</v>
      </c>
      <c r="B1277" t="s">
        <v>198</v>
      </c>
    </row>
    <row r="1278" spans="1:2">
      <c r="A1278">
        <v>78247</v>
      </c>
      <c r="B1278" t="s">
        <v>198</v>
      </c>
    </row>
    <row r="1279" spans="1:2">
      <c r="A1279">
        <v>78213</v>
      </c>
      <c r="B1279" t="s">
        <v>198</v>
      </c>
    </row>
    <row r="1280" spans="1:2">
      <c r="A1280">
        <v>78216</v>
      </c>
      <c r="B1280" t="s">
        <v>198</v>
      </c>
    </row>
    <row r="1281" spans="1:2">
      <c r="A1281">
        <v>78217</v>
      </c>
      <c r="B1281" t="s">
        <v>198</v>
      </c>
    </row>
    <row r="1282" spans="1:2">
      <c r="A1282">
        <v>78233</v>
      </c>
      <c r="B1282" t="s">
        <v>198</v>
      </c>
    </row>
    <row r="1283" spans="1:2">
      <c r="A1283">
        <v>78231</v>
      </c>
      <c r="B1283" t="s">
        <v>198</v>
      </c>
    </row>
    <row r="1284" spans="1:2">
      <c r="A1284">
        <v>78249</v>
      </c>
      <c r="B1284" t="s">
        <v>198</v>
      </c>
    </row>
    <row r="1285" spans="1:2">
      <c r="A1285">
        <v>78232</v>
      </c>
      <c r="B1285" t="s">
        <v>198</v>
      </c>
    </row>
    <row r="1286" spans="1:2">
      <c r="A1286">
        <v>78248</v>
      </c>
      <c r="B1286" t="s">
        <v>198</v>
      </c>
    </row>
    <row r="1287" spans="1:2">
      <c r="A1287">
        <v>78101</v>
      </c>
      <c r="B1287" t="s">
        <v>198</v>
      </c>
    </row>
    <row r="1288" spans="1:2">
      <c r="A1288">
        <v>78121</v>
      </c>
      <c r="B1288" t="s">
        <v>198</v>
      </c>
    </row>
    <row r="1289" spans="1:2">
      <c r="A1289">
        <v>78152</v>
      </c>
      <c r="B1289" t="s">
        <v>198</v>
      </c>
    </row>
    <row r="1290" spans="1:2">
      <c r="A1290">
        <v>78109</v>
      </c>
      <c r="B1290" t="s">
        <v>198</v>
      </c>
    </row>
    <row r="1291" spans="1:2">
      <c r="A1291">
        <v>78263</v>
      </c>
      <c r="B1291" t="s">
        <v>198</v>
      </c>
    </row>
    <row r="1292" spans="1:2">
      <c r="A1292">
        <v>78222</v>
      </c>
      <c r="B1292" t="s">
        <v>198</v>
      </c>
    </row>
    <row r="1293" spans="1:2">
      <c r="A1293">
        <v>78239</v>
      </c>
      <c r="B1293" t="s">
        <v>198</v>
      </c>
    </row>
    <row r="1294" spans="1:2">
      <c r="A1294">
        <v>78244</v>
      </c>
      <c r="B1294" t="s">
        <v>198</v>
      </c>
    </row>
    <row r="1295" spans="1:2">
      <c r="A1295">
        <v>78220</v>
      </c>
      <c r="B1295" t="s">
        <v>198</v>
      </c>
    </row>
    <row r="1296" spans="1:2">
      <c r="A1296">
        <v>78219</v>
      </c>
      <c r="B1296" t="s">
        <v>198</v>
      </c>
    </row>
    <row r="1297" spans="1:2">
      <c r="A1297">
        <v>78148</v>
      </c>
      <c r="B1297" t="s">
        <v>198</v>
      </c>
    </row>
    <row r="1298" spans="1:2">
      <c r="A1298">
        <v>78154</v>
      </c>
      <c r="B1298" t="s">
        <v>198</v>
      </c>
    </row>
    <row r="1299" spans="1:2">
      <c r="A1299">
        <v>78108</v>
      </c>
      <c r="B1299" t="s">
        <v>198</v>
      </c>
    </row>
    <row r="1300" spans="1:2">
      <c r="A1300">
        <v>78124</v>
      </c>
      <c r="B1300" t="s">
        <v>198</v>
      </c>
    </row>
    <row r="1301" spans="1:2">
      <c r="A1301">
        <v>78133</v>
      </c>
      <c r="B1301" t="s">
        <v>198</v>
      </c>
    </row>
    <row r="1302" spans="1:2">
      <c r="A1302">
        <v>78130</v>
      </c>
      <c r="B1302" t="s">
        <v>198</v>
      </c>
    </row>
    <row r="1303" spans="1:2">
      <c r="A1303">
        <v>78132</v>
      </c>
      <c r="B1303" t="s">
        <v>198</v>
      </c>
    </row>
    <row r="1304" spans="1:2">
      <c r="A1304">
        <v>78112</v>
      </c>
      <c r="B1304" t="s">
        <v>198</v>
      </c>
    </row>
    <row r="1305" spans="1:2">
      <c r="A1305">
        <v>78264</v>
      </c>
      <c r="B1305" t="s">
        <v>198</v>
      </c>
    </row>
    <row r="1306" spans="1:2">
      <c r="A1306">
        <v>78223</v>
      </c>
      <c r="B1306" t="s">
        <v>198</v>
      </c>
    </row>
    <row r="1307" spans="1:2">
      <c r="A1307">
        <v>78235</v>
      </c>
      <c r="B1307" t="s">
        <v>198</v>
      </c>
    </row>
    <row r="1308" spans="1:2">
      <c r="A1308">
        <v>78221</v>
      </c>
      <c r="B1308" t="s">
        <v>198</v>
      </c>
    </row>
    <row r="1309" spans="1:2">
      <c r="A1309">
        <v>78224</v>
      </c>
      <c r="B1309" t="s">
        <v>198</v>
      </c>
    </row>
    <row r="1310" spans="1:2">
      <c r="A1310">
        <v>78214</v>
      </c>
      <c r="B1310" t="s">
        <v>198</v>
      </c>
    </row>
    <row r="1311" spans="1:2">
      <c r="A1311">
        <v>90036</v>
      </c>
      <c r="B1311" t="s">
        <v>198</v>
      </c>
    </row>
    <row r="1312" spans="1:2">
      <c r="A1312">
        <v>90094</v>
      </c>
      <c r="B1312" t="s">
        <v>198</v>
      </c>
    </row>
    <row r="1313" spans="1:2">
      <c r="A1313">
        <v>90802</v>
      </c>
      <c r="B1313" t="s">
        <v>198</v>
      </c>
    </row>
    <row r="1314" spans="1:2">
      <c r="A1314">
        <v>91008</v>
      </c>
      <c r="B1314" t="s">
        <v>198</v>
      </c>
    </row>
    <row r="1315" spans="1:2">
      <c r="A1315">
        <v>91020</v>
      </c>
      <c r="B1315" t="s">
        <v>198</v>
      </c>
    </row>
    <row r="1316" spans="1:2">
      <c r="A1316">
        <v>91024</v>
      </c>
      <c r="B1316" t="s">
        <v>198</v>
      </c>
    </row>
    <row r="1317" spans="1:2">
      <c r="A1317">
        <v>91101</v>
      </c>
      <c r="B1317" t="s">
        <v>198</v>
      </c>
    </row>
    <row r="1318" spans="1:2">
      <c r="A1318">
        <v>91104</v>
      </c>
      <c r="B1318" t="s">
        <v>198</v>
      </c>
    </row>
    <row r="1319" spans="1:2">
      <c r="A1319">
        <v>91105</v>
      </c>
      <c r="B1319" t="s">
        <v>198</v>
      </c>
    </row>
    <row r="1320" spans="1:2">
      <c r="A1320">
        <v>91207</v>
      </c>
      <c r="B1320" t="s">
        <v>198</v>
      </c>
    </row>
    <row r="1321" spans="1:2">
      <c r="A1321">
        <v>91208</v>
      </c>
      <c r="B1321" t="s">
        <v>198</v>
      </c>
    </row>
    <row r="1322" spans="1:2">
      <c r="A1322">
        <v>91214</v>
      </c>
      <c r="B1322" t="s">
        <v>198</v>
      </c>
    </row>
    <row r="1323" spans="1:2">
      <c r="A1323">
        <v>91501</v>
      </c>
      <c r="B1323" t="s">
        <v>198</v>
      </c>
    </row>
    <row r="1324" spans="1:2">
      <c r="A1324">
        <v>91711</v>
      </c>
      <c r="B1324" t="s">
        <v>198</v>
      </c>
    </row>
    <row r="1325" spans="1:2">
      <c r="A1325">
        <v>91750</v>
      </c>
      <c r="B1325" t="s">
        <v>198</v>
      </c>
    </row>
    <row r="1326" spans="1:2">
      <c r="A1326">
        <v>92407</v>
      </c>
      <c r="B1326" t="s">
        <v>198</v>
      </c>
    </row>
    <row r="1327" spans="1:2">
      <c r="A1327">
        <v>92614</v>
      </c>
      <c r="B1327" t="s">
        <v>198</v>
      </c>
    </row>
    <row r="1328" spans="1:2">
      <c r="A1328">
        <v>92629</v>
      </c>
      <c r="B1328" t="s">
        <v>198</v>
      </c>
    </row>
    <row r="1329" spans="1:2">
      <c r="A1329">
        <v>92661</v>
      </c>
      <c r="B1329" t="s">
        <v>198</v>
      </c>
    </row>
    <row r="1330" spans="1:2">
      <c r="A1330">
        <v>94501</v>
      </c>
      <c r="B1330" t="s">
        <v>198</v>
      </c>
    </row>
    <row r="1331" spans="1:2">
      <c r="A1331">
        <v>94506</v>
      </c>
      <c r="B1331" t="s">
        <v>198</v>
      </c>
    </row>
    <row r="1332" spans="1:2">
      <c r="A1332">
        <v>94507</v>
      </c>
      <c r="B1332" t="s">
        <v>198</v>
      </c>
    </row>
    <row r="1333" spans="1:2">
      <c r="A1333">
        <v>94523</v>
      </c>
      <c r="B1333" t="s">
        <v>198</v>
      </c>
    </row>
    <row r="1334" spans="1:2">
      <c r="A1334">
        <v>94596</v>
      </c>
      <c r="B1334" t="s">
        <v>198</v>
      </c>
    </row>
    <row r="1335" spans="1:2">
      <c r="A1335">
        <v>94597</v>
      </c>
      <c r="B1335" t="s">
        <v>198</v>
      </c>
    </row>
    <row r="1336" spans="1:2">
      <c r="A1336">
        <v>94530</v>
      </c>
      <c r="B1336" t="s">
        <v>198</v>
      </c>
    </row>
    <row r="1337" spans="1:2">
      <c r="A1337">
        <v>94803</v>
      </c>
      <c r="B1337" t="s">
        <v>198</v>
      </c>
    </row>
    <row r="1338" spans="1:2">
      <c r="A1338">
        <v>94804</v>
      </c>
      <c r="B1338" t="s">
        <v>198</v>
      </c>
    </row>
    <row r="1339" spans="1:2">
      <c r="A1339">
        <v>94805</v>
      </c>
      <c r="B1339" t="s">
        <v>198</v>
      </c>
    </row>
    <row r="1340" spans="1:2">
      <c r="A1340">
        <v>94806</v>
      </c>
      <c r="B1340" t="s">
        <v>198</v>
      </c>
    </row>
    <row r="1341" spans="1:2">
      <c r="A1341">
        <v>89120</v>
      </c>
      <c r="B1341" t="s">
        <v>198</v>
      </c>
    </row>
    <row r="1342" spans="1:2">
      <c r="A1342">
        <v>89121</v>
      </c>
      <c r="B1342" t="s">
        <v>198</v>
      </c>
    </row>
    <row r="1343" spans="1:2">
      <c r="A1343">
        <v>89110</v>
      </c>
      <c r="B1343" t="s">
        <v>198</v>
      </c>
    </row>
    <row r="1344" spans="1:2">
      <c r="A1344">
        <v>89156</v>
      </c>
      <c r="B1344" t="s">
        <v>198</v>
      </c>
    </row>
    <row r="1345" spans="1:2">
      <c r="A1345">
        <v>89122</v>
      </c>
      <c r="B1345" t="s">
        <v>198</v>
      </c>
    </row>
    <row r="1346" spans="1:2">
      <c r="A1346">
        <v>89142</v>
      </c>
      <c r="B1346" t="s">
        <v>198</v>
      </c>
    </row>
    <row r="1347" spans="1:2">
      <c r="A1347">
        <v>89011</v>
      </c>
      <c r="B1347" t="s">
        <v>198</v>
      </c>
    </row>
    <row r="1348" spans="1:2">
      <c r="A1348">
        <v>89014</v>
      </c>
      <c r="B1348" t="s">
        <v>198</v>
      </c>
    </row>
    <row r="1349" spans="1:2">
      <c r="A1349">
        <v>89002</v>
      </c>
      <c r="B1349" t="s">
        <v>198</v>
      </c>
    </row>
    <row r="1350" spans="1:2">
      <c r="A1350">
        <v>89015</v>
      </c>
      <c r="B1350" t="s">
        <v>198</v>
      </c>
    </row>
    <row r="1351" spans="1:2">
      <c r="A1351">
        <v>89012</v>
      </c>
      <c r="B1351" t="s">
        <v>198</v>
      </c>
    </row>
    <row r="1352" spans="1:2">
      <c r="A1352">
        <v>89052</v>
      </c>
      <c r="B1352" t="s">
        <v>198</v>
      </c>
    </row>
    <row r="1353" spans="1:2">
      <c r="A1353">
        <v>89074</v>
      </c>
      <c r="B1353" t="s">
        <v>198</v>
      </c>
    </row>
    <row r="1354" spans="1:2">
      <c r="A1354">
        <v>89123</v>
      </c>
      <c r="B1354" t="s">
        <v>198</v>
      </c>
    </row>
    <row r="1355" spans="1:2">
      <c r="A1355">
        <v>89183</v>
      </c>
      <c r="B1355" t="s">
        <v>198</v>
      </c>
    </row>
    <row r="1356" spans="1:2">
      <c r="A1356">
        <v>89139</v>
      </c>
      <c r="B1356" t="s">
        <v>198</v>
      </c>
    </row>
    <row r="1357" spans="1:2">
      <c r="A1357">
        <v>89141</v>
      </c>
      <c r="B1357" t="s">
        <v>198</v>
      </c>
    </row>
    <row r="1358" spans="1:2">
      <c r="A1358">
        <v>89178</v>
      </c>
      <c r="B1358" t="s">
        <v>198</v>
      </c>
    </row>
    <row r="1359" spans="1:2">
      <c r="A1359">
        <v>89179</v>
      </c>
      <c r="B1359" t="s">
        <v>198</v>
      </c>
    </row>
    <row r="1360" spans="1:2">
      <c r="A1360">
        <v>89135</v>
      </c>
      <c r="B1360" t="s">
        <v>198</v>
      </c>
    </row>
    <row r="1361" spans="1:2">
      <c r="A1361">
        <v>89148</v>
      </c>
      <c r="B1361" t="s">
        <v>198</v>
      </c>
    </row>
    <row r="1362" spans="1:2">
      <c r="A1362">
        <v>89113</v>
      </c>
      <c r="B1362" t="s">
        <v>198</v>
      </c>
    </row>
    <row r="1363" spans="1:2">
      <c r="A1363">
        <v>89118</v>
      </c>
      <c r="B1363" t="s">
        <v>198</v>
      </c>
    </row>
    <row r="1364" spans="1:2">
      <c r="A1364">
        <v>89103</v>
      </c>
      <c r="B1364" t="s">
        <v>198</v>
      </c>
    </row>
    <row r="1365" spans="1:2">
      <c r="A1365">
        <v>89147</v>
      </c>
      <c r="B1365" t="s">
        <v>198</v>
      </c>
    </row>
    <row r="1366" spans="1:2">
      <c r="A1366">
        <v>89117</v>
      </c>
      <c r="B1366" t="s">
        <v>198</v>
      </c>
    </row>
    <row r="1367" spans="1:2">
      <c r="A1367">
        <v>89102</v>
      </c>
      <c r="B1367" t="s">
        <v>198</v>
      </c>
    </row>
    <row r="1368" spans="1:2">
      <c r="A1368">
        <v>89107</v>
      </c>
      <c r="B1368" t="s">
        <v>198</v>
      </c>
    </row>
    <row r="1369" spans="1:2">
      <c r="A1369">
        <v>89146</v>
      </c>
      <c r="B1369" t="s">
        <v>198</v>
      </c>
    </row>
    <row r="1370" spans="1:2">
      <c r="A1370">
        <v>89128</v>
      </c>
      <c r="B1370" t="s">
        <v>198</v>
      </c>
    </row>
    <row r="1371" spans="1:2">
      <c r="A1371">
        <v>89144</v>
      </c>
      <c r="B1371" t="s">
        <v>198</v>
      </c>
    </row>
    <row r="1372" spans="1:2">
      <c r="A1372">
        <v>89145</v>
      </c>
      <c r="B1372" t="s">
        <v>198</v>
      </c>
    </row>
    <row r="1373" spans="1:2">
      <c r="A1373">
        <v>89134</v>
      </c>
      <c r="B1373" t="s">
        <v>198</v>
      </c>
    </row>
    <row r="1374" spans="1:2">
      <c r="A1374">
        <v>89138</v>
      </c>
      <c r="B1374" t="s">
        <v>198</v>
      </c>
    </row>
    <row r="1375" spans="1:2">
      <c r="A1375">
        <v>89129</v>
      </c>
      <c r="B1375" t="s">
        <v>198</v>
      </c>
    </row>
    <row r="1376" spans="1:2">
      <c r="A1376">
        <v>89143</v>
      </c>
      <c r="B1376" t="s">
        <v>198</v>
      </c>
    </row>
    <row r="1377" spans="1:2">
      <c r="A1377">
        <v>89149</v>
      </c>
      <c r="B1377" t="s">
        <v>198</v>
      </c>
    </row>
    <row r="1378" spans="1:2">
      <c r="A1378">
        <v>89108</v>
      </c>
      <c r="B1378" t="s">
        <v>198</v>
      </c>
    </row>
    <row r="1379" spans="1:2">
      <c r="A1379">
        <v>89130</v>
      </c>
      <c r="B1379" t="s">
        <v>198</v>
      </c>
    </row>
    <row r="1380" spans="1:2">
      <c r="A1380">
        <v>89084</v>
      </c>
      <c r="B1380" t="s">
        <v>198</v>
      </c>
    </row>
    <row r="1381" spans="1:2">
      <c r="A1381">
        <v>89085</v>
      </c>
      <c r="B1381" t="s">
        <v>198</v>
      </c>
    </row>
    <row r="1382" spans="1:2">
      <c r="A1382">
        <v>89086</v>
      </c>
      <c r="B1382" t="s">
        <v>198</v>
      </c>
    </row>
    <row r="1383" spans="1:2">
      <c r="A1383">
        <v>89031</v>
      </c>
      <c r="B1383" t="s">
        <v>198</v>
      </c>
    </row>
    <row r="1384" spans="1:2">
      <c r="A1384">
        <v>89032</v>
      </c>
      <c r="B1384" t="s">
        <v>198</v>
      </c>
    </row>
    <row r="1385" spans="1:2">
      <c r="A1385">
        <v>89030</v>
      </c>
      <c r="B1385" t="s">
        <v>198</v>
      </c>
    </row>
    <row r="1386" spans="1:2">
      <c r="A1386">
        <v>89081</v>
      </c>
      <c r="B1386" t="s">
        <v>198</v>
      </c>
    </row>
    <row r="1387" spans="1:2">
      <c r="A1387">
        <v>89101</v>
      </c>
      <c r="B1387" t="s">
        <v>198</v>
      </c>
    </row>
    <row r="1388" spans="1:2">
      <c r="A1388">
        <v>89104</v>
      </c>
      <c r="B1388" t="s">
        <v>198</v>
      </c>
    </row>
    <row r="1389" spans="1:2">
      <c r="A1389">
        <v>89106</v>
      </c>
      <c r="B1389" t="s">
        <v>198</v>
      </c>
    </row>
    <row r="1390" spans="1:2">
      <c r="A1390">
        <v>60501</v>
      </c>
      <c r="B1390" t="s">
        <v>198</v>
      </c>
    </row>
    <row r="1391" spans="1:2">
      <c r="A1391">
        <v>60502</v>
      </c>
      <c r="B1391" t="s">
        <v>198</v>
      </c>
    </row>
    <row r="1392" spans="1:2">
      <c r="A1392">
        <v>60503</v>
      </c>
      <c r="B1392" t="s">
        <v>198</v>
      </c>
    </row>
    <row r="1393" spans="1:2">
      <c r="A1393">
        <v>60504</v>
      </c>
      <c r="B1393" t="s">
        <v>198</v>
      </c>
    </row>
    <row r="1394" spans="1:2">
      <c r="A1394">
        <v>60505</v>
      </c>
      <c r="B1394" t="s">
        <v>198</v>
      </c>
    </row>
    <row r="1395" spans="1:2">
      <c r="A1395">
        <v>60506</v>
      </c>
      <c r="B1395" t="s">
        <v>198</v>
      </c>
    </row>
    <row r="1396" spans="1:2">
      <c r="A1396">
        <v>60510</v>
      </c>
      <c r="B1396" t="s">
        <v>198</v>
      </c>
    </row>
    <row r="1397" spans="1:2">
      <c r="A1397">
        <v>60513</v>
      </c>
      <c r="B1397" t="s">
        <v>198</v>
      </c>
    </row>
    <row r="1398" spans="1:2">
      <c r="A1398">
        <v>60514</v>
      </c>
      <c r="B1398" t="s">
        <v>198</v>
      </c>
    </row>
    <row r="1399" spans="1:2">
      <c r="A1399">
        <v>60515</v>
      </c>
      <c r="B1399" t="s">
        <v>198</v>
      </c>
    </row>
    <row r="1400" spans="1:2">
      <c r="A1400">
        <v>60516</v>
      </c>
      <c r="B1400" t="s">
        <v>198</v>
      </c>
    </row>
    <row r="1401" spans="1:2">
      <c r="A1401">
        <v>60517</v>
      </c>
      <c r="B1401" t="s">
        <v>198</v>
      </c>
    </row>
    <row r="1402" spans="1:2">
      <c r="A1402">
        <v>60519</v>
      </c>
      <c r="B1402" t="s">
        <v>198</v>
      </c>
    </row>
    <row r="1403" spans="1:2">
      <c r="A1403">
        <v>60521</v>
      </c>
      <c r="B1403" t="s">
        <v>198</v>
      </c>
    </row>
    <row r="1404" spans="1:2">
      <c r="A1404">
        <v>60523</v>
      </c>
      <c r="B1404" t="s">
        <v>198</v>
      </c>
    </row>
    <row r="1405" spans="1:2">
      <c r="A1405">
        <v>60525</v>
      </c>
      <c r="B1405" t="s">
        <v>198</v>
      </c>
    </row>
    <row r="1406" spans="1:2">
      <c r="A1406">
        <v>60526</v>
      </c>
      <c r="B1406" t="s">
        <v>198</v>
      </c>
    </row>
    <row r="1407" spans="1:2">
      <c r="A1407">
        <v>60527</v>
      </c>
      <c r="B1407" t="s">
        <v>198</v>
      </c>
    </row>
    <row r="1408" spans="1:2">
      <c r="A1408">
        <v>60532</v>
      </c>
      <c r="B1408" t="s">
        <v>198</v>
      </c>
    </row>
    <row r="1409" spans="1:2">
      <c r="A1409">
        <v>60534</v>
      </c>
      <c r="B1409" t="s">
        <v>198</v>
      </c>
    </row>
    <row r="1410" spans="1:2">
      <c r="A1410">
        <v>60538</v>
      </c>
      <c r="B1410" t="s">
        <v>198</v>
      </c>
    </row>
    <row r="1411" spans="1:2">
      <c r="A1411">
        <v>60539</v>
      </c>
      <c r="B1411" t="s">
        <v>198</v>
      </c>
    </row>
    <row r="1412" spans="1:2">
      <c r="A1412">
        <v>60540</v>
      </c>
      <c r="B1412" t="s">
        <v>198</v>
      </c>
    </row>
    <row r="1413" spans="1:2">
      <c r="A1413">
        <v>60542</v>
      </c>
      <c r="B1413" t="s">
        <v>198</v>
      </c>
    </row>
    <row r="1414" spans="1:2">
      <c r="A1414">
        <v>60543</v>
      </c>
      <c r="B1414" t="s">
        <v>198</v>
      </c>
    </row>
    <row r="1415" spans="1:2">
      <c r="A1415">
        <v>60544</v>
      </c>
      <c r="B1415" t="s">
        <v>198</v>
      </c>
    </row>
    <row r="1416" spans="1:2">
      <c r="A1416">
        <v>60546</v>
      </c>
      <c r="B1416" t="s">
        <v>198</v>
      </c>
    </row>
    <row r="1417" spans="1:2">
      <c r="A1417">
        <v>60555</v>
      </c>
      <c r="B1417" t="s">
        <v>198</v>
      </c>
    </row>
    <row r="1418" spans="1:2">
      <c r="A1418">
        <v>60558</v>
      </c>
      <c r="B1418" t="s">
        <v>198</v>
      </c>
    </row>
    <row r="1419" spans="1:2">
      <c r="A1419">
        <v>60559</v>
      </c>
      <c r="B1419" t="s">
        <v>198</v>
      </c>
    </row>
    <row r="1420" spans="1:2">
      <c r="A1420">
        <v>60561</v>
      </c>
      <c r="B1420" t="s">
        <v>198</v>
      </c>
    </row>
    <row r="1421" spans="1:2">
      <c r="A1421">
        <v>60563</v>
      </c>
      <c r="B1421" t="s">
        <v>198</v>
      </c>
    </row>
    <row r="1422" spans="1:2">
      <c r="A1422">
        <v>60564</v>
      </c>
      <c r="B1422" t="s">
        <v>198</v>
      </c>
    </row>
    <row r="1423" spans="1:2">
      <c r="A1423">
        <v>60565</v>
      </c>
      <c r="B1423" t="s">
        <v>198</v>
      </c>
    </row>
    <row r="1424" spans="1:2">
      <c r="A1424">
        <v>60585</v>
      </c>
      <c r="B1424" t="s">
        <v>198</v>
      </c>
    </row>
    <row r="1425" spans="1:2">
      <c r="A1425">
        <v>60586</v>
      </c>
      <c r="B1425" t="s">
        <v>198</v>
      </c>
    </row>
    <row r="1426" spans="1:2">
      <c r="A1426">
        <v>60101</v>
      </c>
      <c r="B1426" t="s">
        <v>198</v>
      </c>
    </row>
    <row r="1427" spans="1:2">
      <c r="A1427">
        <v>60102</v>
      </c>
      <c r="B1427" t="s">
        <v>198</v>
      </c>
    </row>
    <row r="1428" spans="1:2">
      <c r="A1428">
        <v>60103</v>
      </c>
      <c r="B1428" t="s">
        <v>198</v>
      </c>
    </row>
    <row r="1429" spans="1:2">
      <c r="A1429">
        <v>60104</v>
      </c>
      <c r="B1429" t="s">
        <v>198</v>
      </c>
    </row>
    <row r="1430" spans="1:2">
      <c r="A1430">
        <v>60106</v>
      </c>
      <c r="B1430" t="s">
        <v>198</v>
      </c>
    </row>
    <row r="1431" spans="1:2">
      <c r="A1431">
        <v>60107</v>
      </c>
      <c r="B1431" t="s">
        <v>198</v>
      </c>
    </row>
    <row r="1432" spans="1:2">
      <c r="A1432">
        <v>60108</v>
      </c>
      <c r="B1432" t="s">
        <v>198</v>
      </c>
    </row>
    <row r="1433" spans="1:2">
      <c r="A1433">
        <v>60110</v>
      </c>
      <c r="B1433" t="s">
        <v>198</v>
      </c>
    </row>
    <row r="1434" spans="1:2">
      <c r="A1434">
        <v>60118</v>
      </c>
      <c r="B1434" t="s">
        <v>198</v>
      </c>
    </row>
    <row r="1435" spans="1:2">
      <c r="A1435">
        <v>60120</v>
      </c>
      <c r="B1435" t="s">
        <v>198</v>
      </c>
    </row>
    <row r="1436" spans="1:2">
      <c r="A1436">
        <v>60123</v>
      </c>
      <c r="B1436" t="s">
        <v>198</v>
      </c>
    </row>
    <row r="1437" spans="1:2">
      <c r="A1437">
        <v>60124</v>
      </c>
      <c r="B1437" t="s">
        <v>198</v>
      </c>
    </row>
    <row r="1438" spans="1:2">
      <c r="A1438">
        <v>60126</v>
      </c>
      <c r="B1438" t="s">
        <v>198</v>
      </c>
    </row>
    <row r="1439" spans="1:2">
      <c r="A1439">
        <v>60130</v>
      </c>
      <c r="B1439" t="s">
        <v>198</v>
      </c>
    </row>
    <row r="1440" spans="1:2">
      <c r="A1440">
        <v>60131</v>
      </c>
      <c r="B1440" t="s">
        <v>198</v>
      </c>
    </row>
    <row r="1441" spans="1:2">
      <c r="A1441">
        <v>60133</v>
      </c>
      <c r="B1441" t="s">
        <v>198</v>
      </c>
    </row>
    <row r="1442" spans="1:2">
      <c r="A1442">
        <v>60134</v>
      </c>
      <c r="B1442" t="s">
        <v>198</v>
      </c>
    </row>
    <row r="1443" spans="1:2">
      <c r="A1443">
        <v>60137</v>
      </c>
      <c r="B1443" t="s">
        <v>198</v>
      </c>
    </row>
    <row r="1444" spans="1:2">
      <c r="A1444">
        <v>60139</v>
      </c>
      <c r="B1444" t="s">
        <v>198</v>
      </c>
    </row>
    <row r="1445" spans="1:2">
      <c r="A1445">
        <v>60141</v>
      </c>
      <c r="B1445" t="s">
        <v>198</v>
      </c>
    </row>
    <row r="1446" spans="1:2">
      <c r="A1446">
        <v>60142</v>
      </c>
      <c r="B1446" t="s">
        <v>198</v>
      </c>
    </row>
    <row r="1447" spans="1:2">
      <c r="A1447">
        <v>60143</v>
      </c>
      <c r="B1447" t="s">
        <v>198</v>
      </c>
    </row>
    <row r="1448" spans="1:2">
      <c r="A1448">
        <v>60148</v>
      </c>
      <c r="B1448" t="s">
        <v>198</v>
      </c>
    </row>
    <row r="1449" spans="1:2">
      <c r="A1449">
        <v>60153</v>
      </c>
      <c r="B1449" t="s">
        <v>198</v>
      </c>
    </row>
    <row r="1450" spans="1:2">
      <c r="A1450">
        <v>60154</v>
      </c>
      <c r="B1450" t="s">
        <v>198</v>
      </c>
    </row>
    <row r="1451" spans="1:2">
      <c r="A1451">
        <v>60155</v>
      </c>
      <c r="B1451" t="s">
        <v>198</v>
      </c>
    </row>
    <row r="1452" spans="1:2">
      <c r="A1452">
        <v>60156</v>
      </c>
      <c r="B1452" t="s">
        <v>198</v>
      </c>
    </row>
    <row r="1453" spans="1:2">
      <c r="A1453">
        <v>60157</v>
      </c>
      <c r="B1453" t="s">
        <v>198</v>
      </c>
    </row>
    <row r="1454" spans="1:2">
      <c r="A1454">
        <v>60160</v>
      </c>
      <c r="B1454" t="s">
        <v>198</v>
      </c>
    </row>
    <row r="1455" spans="1:2">
      <c r="A1455">
        <v>60162</v>
      </c>
      <c r="B1455" t="s">
        <v>198</v>
      </c>
    </row>
    <row r="1456" spans="1:2">
      <c r="A1456">
        <v>60163</v>
      </c>
      <c r="B1456" t="s">
        <v>198</v>
      </c>
    </row>
    <row r="1457" spans="1:2">
      <c r="A1457">
        <v>60164</v>
      </c>
      <c r="B1457" t="s">
        <v>198</v>
      </c>
    </row>
    <row r="1458" spans="1:2">
      <c r="A1458">
        <v>60169</v>
      </c>
      <c r="B1458" t="s">
        <v>198</v>
      </c>
    </row>
    <row r="1459" spans="1:2">
      <c r="A1459">
        <v>60171</v>
      </c>
      <c r="B1459" t="s">
        <v>198</v>
      </c>
    </row>
    <row r="1460" spans="1:2">
      <c r="A1460">
        <v>60172</v>
      </c>
      <c r="B1460" t="s">
        <v>198</v>
      </c>
    </row>
    <row r="1461" spans="1:2">
      <c r="A1461">
        <v>60173</v>
      </c>
      <c r="B1461" t="s">
        <v>198</v>
      </c>
    </row>
    <row r="1462" spans="1:2">
      <c r="A1462">
        <v>60174</v>
      </c>
      <c r="B1462" t="s">
        <v>198</v>
      </c>
    </row>
    <row r="1463" spans="1:2">
      <c r="A1463">
        <v>60176</v>
      </c>
      <c r="B1463" t="s">
        <v>198</v>
      </c>
    </row>
    <row r="1464" spans="1:2">
      <c r="A1464">
        <v>60177</v>
      </c>
      <c r="B1464" t="s">
        <v>198</v>
      </c>
    </row>
    <row r="1465" spans="1:2">
      <c r="A1465">
        <v>60181</v>
      </c>
      <c r="B1465" t="s">
        <v>198</v>
      </c>
    </row>
    <row r="1466" spans="1:2">
      <c r="A1466">
        <v>60184</v>
      </c>
      <c r="B1466" t="s">
        <v>198</v>
      </c>
    </row>
    <row r="1467" spans="1:2">
      <c r="A1467">
        <v>60185</v>
      </c>
      <c r="B1467" t="s">
        <v>198</v>
      </c>
    </row>
    <row r="1468" spans="1:2">
      <c r="A1468">
        <v>60187</v>
      </c>
      <c r="B1468" t="s">
        <v>198</v>
      </c>
    </row>
    <row r="1469" spans="1:2">
      <c r="A1469">
        <v>60188</v>
      </c>
      <c r="B1469" t="s">
        <v>198</v>
      </c>
    </row>
    <row r="1470" spans="1:2">
      <c r="A1470">
        <v>60189</v>
      </c>
      <c r="B1470" t="s">
        <v>198</v>
      </c>
    </row>
    <row r="1471" spans="1:2">
      <c r="A1471">
        <v>60190</v>
      </c>
      <c r="B1471" t="s">
        <v>198</v>
      </c>
    </row>
    <row r="1472" spans="1:2">
      <c r="A1472">
        <v>60191</v>
      </c>
      <c r="B1472" t="s">
        <v>198</v>
      </c>
    </row>
    <row r="1473" spans="1:2">
      <c r="A1473">
        <v>60193</v>
      </c>
      <c r="B1473" t="s">
        <v>198</v>
      </c>
    </row>
    <row r="1474" spans="1:2">
      <c r="A1474">
        <v>60194</v>
      </c>
      <c r="B1474" t="s">
        <v>198</v>
      </c>
    </row>
    <row r="1475" spans="1:2">
      <c r="A1475">
        <v>60195</v>
      </c>
      <c r="B1475" t="s">
        <v>198</v>
      </c>
    </row>
    <row r="1476" spans="1:2">
      <c r="A1476">
        <v>60201</v>
      </c>
      <c r="B1476" t="s">
        <v>198</v>
      </c>
    </row>
    <row r="1477" spans="1:2">
      <c r="A1477">
        <v>60202</v>
      </c>
      <c r="B1477" t="s">
        <v>198</v>
      </c>
    </row>
    <row r="1478" spans="1:2">
      <c r="A1478">
        <v>60203</v>
      </c>
      <c r="B1478" t="s">
        <v>198</v>
      </c>
    </row>
    <row r="1479" spans="1:2">
      <c r="A1479">
        <v>60302</v>
      </c>
      <c r="B1479" t="s">
        <v>198</v>
      </c>
    </row>
    <row r="1480" spans="1:2">
      <c r="A1480">
        <v>60304</v>
      </c>
      <c r="B1480" t="s">
        <v>198</v>
      </c>
    </row>
    <row r="1481" spans="1:2">
      <c r="A1481">
        <v>60402</v>
      </c>
      <c r="B1481" t="s">
        <v>198</v>
      </c>
    </row>
    <row r="1482" spans="1:2">
      <c r="A1482">
        <v>60403</v>
      </c>
      <c r="B1482" t="s">
        <v>198</v>
      </c>
    </row>
    <row r="1483" spans="1:2">
      <c r="A1483">
        <v>60406</v>
      </c>
      <c r="B1483" t="s">
        <v>198</v>
      </c>
    </row>
    <row r="1484" spans="1:2">
      <c r="A1484">
        <v>60409</v>
      </c>
      <c r="B1484" t="s">
        <v>198</v>
      </c>
    </row>
    <row r="1485" spans="1:2">
      <c r="A1485">
        <v>60411</v>
      </c>
      <c r="B1485" t="s">
        <v>198</v>
      </c>
    </row>
    <row r="1486" spans="1:2">
      <c r="A1486">
        <v>60415</v>
      </c>
      <c r="B1486" t="s">
        <v>198</v>
      </c>
    </row>
    <row r="1487" spans="1:2">
      <c r="A1487">
        <v>60419</v>
      </c>
      <c r="B1487" t="s">
        <v>198</v>
      </c>
    </row>
    <row r="1488" spans="1:2">
      <c r="A1488">
        <v>60423</v>
      </c>
      <c r="B1488" t="s">
        <v>198</v>
      </c>
    </row>
    <row r="1489" spans="1:2">
      <c r="A1489">
        <v>60425</v>
      </c>
      <c r="B1489" t="s">
        <v>198</v>
      </c>
    </row>
    <row r="1490" spans="1:2">
      <c r="A1490">
        <v>60426</v>
      </c>
      <c r="B1490" t="s">
        <v>198</v>
      </c>
    </row>
    <row r="1491" spans="1:2">
      <c r="A1491">
        <v>60428</v>
      </c>
      <c r="B1491" t="s">
        <v>198</v>
      </c>
    </row>
    <row r="1492" spans="1:2">
      <c r="A1492">
        <v>60429</v>
      </c>
      <c r="B1492" t="s">
        <v>198</v>
      </c>
    </row>
    <row r="1493" spans="1:2">
      <c r="A1493">
        <v>60430</v>
      </c>
      <c r="B1493" t="s">
        <v>198</v>
      </c>
    </row>
    <row r="1494" spans="1:2">
      <c r="A1494">
        <v>60431</v>
      </c>
      <c r="B1494" t="s">
        <v>198</v>
      </c>
    </row>
    <row r="1495" spans="1:2">
      <c r="A1495">
        <v>60432</v>
      </c>
      <c r="B1495" t="s">
        <v>198</v>
      </c>
    </row>
    <row r="1496" spans="1:2">
      <c r="A1496">
        <v>60433</v>
      </c>
      <c r="B1496" t="s">
        <v>198</v>
      </c>
    </row>
    <row r="1497" spans="1:2">
      <c r="A1497">
        <v>60435</v>
      </c>
      <c r="B1497" t="s">
        <v>198</v>
      </c>
    </row>
    <row r="1498" spans="1:2">
      <c r="A1498">
        <v>60438</v>
      </c>
      <c r="B1498" t="s">
        <v>198</v>
      </c>
    </row>
    <row r="1499" spans="1:2">
      <c r="A1499">
        <v>60439</v>
      </c>
      <c r="B1499" t="s">
        <v>198</v>
      </c>
    </row>
    <row r="1500" spans="1:2">
      <c r="A1500">
        <v>60440</v>
      </c>
      <c r="B1500" t="s">
        <v>198</v>
      </c>
    </row>
    <row r="1501" spans="1:2">
      <c r="A1501">
        <v>60441</v>
      </c>
      <c r="B1501" t="s">
        <v>198</v>
      </c>
    </row>
    <row r="1502" spans="1:2">
      <c r="A1502">
        <v>60443</v>
      </c>
      <c r="B1502" t="s">
        <v>198</v>
      </c>
    </row>
    <row r="1503" spans="1:2">
      <c r="A1503">
        <v>60445</v>
      </c>
      <c r="B1503" t="s">
        <v>198</v>
      </c>
    </row>
    <row r="1504" spans="1:2">
      <c r="A1504">
        <v>60446</v>
      </c>
      <c r="B1504" t="s">
        <v>198</v>
      </c>
    </row>
    <row r="1505" spans="1:2">
      <c r="A1505">
        <v>60448</v>
      </c>
      <c r="B1505" t="s">
        <v>198</v>
      </c>
    </row>
    <row r="1506" spans="1:2">
      <c r="A1506">
        <v>60451</v>
      </c>
      <c r="B1506" t="s">
        <v>198</v>
      </c>
    </row>
    <row r="1507" spans="1:2">
      <c r="A1507">
        <v>60452</v>
      </c>
      <c r="B1507" t="s">
        <v>198</v>
      </c>
    </row>
    <row r="1508" spans="1:2">
      <c r="A1508">
        <v>60453</v>
      </c>
      <c r="B1508" t="s">
        <v>198</v>
      </c>
    </row>
    <row r="1509" spans="1:2">
      <c r="A1509">
        <v>60455</v>
      </c>
      <c r="B1509" t="s">
        <v>198</v>
      </c>
    </row>
    <row r="1510" spans="1:2">
      <c r="A1510">
        <v>60456</v>
      </c>
      <c r="B1510" t="s">
        <v>198</v>
      </c>
    </row>
    <row r="1511" spans="1:2">
      <c r="A1511">
        <v>60457</v>
      </c>
      <c r="B1511" t="s">
        <v>198</v>
      </c>
    </row>
    <row r="1512" spans="1:2">
      <c r="A1512">
        <v>60458</v>
      </c>
      <c r="B1512" t="s">
        <v>198</v>
      </c>
    </row>
    <row r="1513" spans="1:2">
      <c r="A1513">
        <v>60459</v>
      </c>
      <c r="B1513" t="s">
        <v>198</v>
      </c>
    </row>
    <row r="1514" spans="1:2">
      <c r="A1514">
        <v>60462</v>
      </c>
      <c r="B1514" t="s">
        <v>198</v>
      </c>
    </row>
    <row r="1515" spans="1:2">
      <c r="A1515">
        <v>60463</v>
      </c>
      <c r="B1515" t="s">
        <v>198</v>
      </c>
    </row>
    <row r="1516" spans="1:2">
      <c r="A1516">
        <v>60464</v>
      </c>
      <c r="B1516" t="s">
        <v>198</v>
      </c>
    </row>
    <row r="1517" spans="1:2">
      <c r="A1517">
        <v>60465</v>
      </c>
      <c r="B1517" t="s">
        <v>198</v>
      </c>
    </row>
    <row r="1518" spans="1:2">
      <c r="A1518">
        <v>60466</v>
      </c>
      <c r="B1518" t="s">
        <v>198</v>
      </c>
    </row>
    <row r="1519" spans="1:2">
      <c r="A1519">
        <v>60467</v>
      </c>
      <c r="B1519" t="s">
        <v>198</v>
      </c>
    </row>
    <row r="1520" spans="1:2">
      <c r="A1520">
        <v>60469</v>
      </c>
      <c r="B1520" t="s">
        <v>198</v>
      </c>
    </row>
    <row r="1521" spans="1:2">
      <c r="A1521">
        <v>60471</v>
      </c>
      <c r="B1521" t="s">
        <v>198</v>
      </c>
    </row>
    <row r="1522" spans="1:2">
      <c r="A1522">
        <v>60472</v>
      </c>
      <c r="B1522" t="s">
        <v>198</v>
      </c>
    </row>
    <row r="1523" spans="1:2">
      <c r="A1523">
        <v>60473</v>
      </c>
      <c r="B1523" t="s">
        <v>198</v>
      </c>
    </row>
    <row r="1524" spans="1:2">
      <c r="A1524">
        <v>60475</v>
      </c>
      <c r="B1524" t="s">
        <v>198</v>
      </c>
    </row>
    <row r="1525" spans="1:2">
      <c r="A1525">
        <v>60477</v>
      </c>
      <c r="B1525" t="s">
        <v>198</v>
      </c>
    </row>
    <row r="1526" spans="1:2">
      <c r="A1526">
        <v>60478</v>
      </c>
      <c r="B1526" t="s">
        <v>198</v>
      </c>
    </row>
    <row r="1527" spans="1:2">
      <c r="A1527">
        <v>60480</v>
      </c>
      <c r="B1527" t="s">
        <v>198</v>
      </c>
    </row>
    <row r="1528" spans="1:2">
      <c r="A1528">
        <v>60482</v>
      </c>
      <c r="B1528" t="s">
        <v>198</v>
      </c>
    </row>
    <row r="1529" spans="1:2">
      <c r="A1529">
        <v>60487</v>
      </c>
      <c r="B1529" t="s">
        <v>198</v>
      </c>
    </row>
    <row r="1530" spans="1:2">
      <c r="A1530">
        <v>60490</v>
      </c>
      <c r="B1530" t="s">
        <v>198</v>
      </c>
    </row>
    <row r="1531" spans="1:2">
      <c r="A1531">
        <v>60491</v>
      </c>
      <c r="B1531" t="s">
        <v>198</v>
      </c>
    </row>
    <row r="1532" spans="1:2">
      <c r="A1532">
        <v>60004</v>
      </c>
      <c r="B1532" t="s">
        <v>198</v>
      </c>
    </row>
    <row r="1533" spans="1:2">
      <c r="A1533">
        <v>60005</v>
      </c>
      <c r="B1533" t="s">
        <v>198</v>
      </c>
    </row>
    <row r="1534" spans="1:2">
      <c r="A1534">
        <v>60007</v>
      </c>
      <c r="B1534" t="s">
        <v>198</v>
      </c>
    </row>
    <row r="1535" spans="1:2">
      <c r="A1535">
        <v>60008</v>
      </c>
      <c r="B1535" t="s">
        <v>198</v>
      </c>
    </row>
    <row r="1536" spans="1:2">
      <c r="A1536">
        <v>60013</v>
      </c>
      <c r="B1536" t="s">
        <v>198</v>
      </c>
    </row>
    <row r="1537" spans="1:2">
      <c r="A1537">
        <v>60014</v>
      </c>
      <c r="B1537" t="s">
        <v>198</v>
      </c>
    </row>
    <row r="1538" spans="1:2">
      <c r="A1538">
        <v>60015</v>
      </c>
      <c r="B1538" t="s">
        <v>198</v>
      </c>
    </row>
    <row r="1539" spans="1:2">
      <c r="A1539">
        <v>60016</v>
      </c>
      <c r="B1539" t="s">
        <v>198</v>
      </c>
    </row>
    <row r="1540" spans="1:2">
      <c r="A1540">
        <v>60018</v>
      </c>
      <c r="B1540" t="s">
        <v>198</v>
      </c>
    </row>
    <row r="1541" spans="1:2">
      <c r="A1541">
        <v>60022</v>
      </c>
      <c r="B1541" t="s">
        <v>198</v>
      </c>
    </row>
    <row r="1542" spans="1:2">
      <c r="A1542">
        <v>60025</v>
      </c>
      <c r="B1542" t="s">
        <v>198</v>
      </c>
    </row>
    <row r="1543" spans="1:2">
      <c r="A1543">
        <v>60026</v>
      </c>
      <c r="B1543" t="s">
        <v>198</v>
      </c>
    </row>
    <row r="1544" spans="1:2">
      <c r="A1544">
        <v>60029</v>
      </c>
      <c r="B1544" t="s">
        <v>198</v>
      </c>
    </row>
    <row r="1545" spans="1:2">
      <c r="A1545">
        <v>60035</v>
      </c>
      <c r="B1545" t="s">
        <v>198</v>
      </c>
    </row>
    <row r="1546" spans="1:2">
      <c r="A1546">
        <v>60040</v>
      </c>
      <c r="B1546" t="s">
        <v>198</v>
      </c>
    </row>
    <row r="1547" spans="1:2">
      <c r="A1547">
        <v>60043</v>
      </c>
      <c r="B1547" t="s">
        <v>198</v>
      </c>
    </row>
    <row r="1548" spans="1:2">
      <c r="A1548">
        <v>60044</v>
      </c>
      <c r="B1548" t="s">
        <v>198</v>
      </c>
    </row>
    <row r="1549" spans="1:2">
      <c r="A1549">
        <v>60045</v>
      </c>
      <c r="B1549" t="s">
        <v>198</v>
      </c>
    </row>
    <row r="1550" spans="1:2">
      <c r="A1550">
        <v>60047</v>
      </c>
      <c r="B1550" t="s">
        <v>198</v>
      </c>
    </row>
    <row r="1551" spans="1:2">
      <c r="A1551">
        <v>60048</v>
      </c>
      <c r="B1551" t="s">
        <v>198</v>
      </c>
    </row>
    <row r="1552" spans="1:2">
      <c r="A1552">
        <v>60053</v>
      </c>
      <c r="B1552" t="s">
        <v>198</v>
      </c>
    </row>
    <row r="1553" spans="1:2">
      <c r="A1553">
        <v>60056</v>
      </c>
      <c r="B1553" t="s">
        <v>198</v>
      </c>
    </row>
    <row r="1554" spans="1:2">
      <c r="A1554">
        <v>60060</v>
      </c>
      <c r="B1554" t="s">
        <v>198</v>
      </c>
    </row>
    <row r="1555" spans="1:2">
      <c r="A1555">
        <v>60061</v>
      </c>
      <c r="B1555" t="s">
        <v>198</v>
      </c>
    </row>
    <row r="1556" spans="1:2">
      <c r="A1556">
        <v>60062</v>
      </c>
      <c r="B1556" t="s">
        <v>198</v>
      </c>
    </row>
    <row r="1557" spans="1:2">
      <c r="A1557">
        <v>60067</v>
      </c>
      <c r="B1557" t="s">
        <v>198</v>
      </c>
    </row>
    <row r="1558" spans="1:2">
      <c r="A1558">
        <v>60068</v>
      </c>
      <c r="B1558" t="s">
        <v>198</v>
      </c>
    </row>
    <row r="1559" spans="1:2">
      <c r="A1559">
        <v>60069</v>
      </c>
      <c r="B1559" t="s">
        <v>198</v>
      </c>
    </row>
    <row r="1560" spans="1:2">
      <c r="A1560">
        <v>60070</v>
      </c>
      <c r="B1560" t="s">
        <v>198</v>
      </c>
    </row>
    <row r="1561" spans="1:2">
      <c r="A1561">
        <v>60074</v>
      </c>
      <c r="B1561" t="s">
        <v>198</v>
      </c>
    </row>
    <row r="1562" spans="1:2">
      <c r="A1562">
        <v>60076</v>
      </c>
      <c r="B1562" t="s">
        <v>198</v>
      </c>
    </row>
    <row r="1563" spans="1:2">
      <c r="A1563">
        <v>60077</v>
      </c>
      <c r="B1563" t="s">
        <v>198</v>
      </c>
    </row>
    <row r="1564" spans="1:2">
      <c r="A1564">
        <v>60089</v>
      </c>
      <c r="B1564" t="s">
        <v>198</v>
      </c>
    </row>
    <row r="1565" spans="1:2">
      <c r="A1565">
        <v>60090</v>
      </c>
      <c r="B1565" t="s">
        <v>198</v>
      </c>
    </row>
    <row r="1566" spans="1:2">
      <c r="A1566">
        <v>60091</v>
      </c>
      <c r="B1566" t="s">
        <v>198</v>
      </c>
    </row>
    <row r="1567" spans="1:2">
      <c r="A1567">
        <v>60093</v>
      </c>
      <c r="B1567" t="s">
        <v>198</v>
      </c>
    </row>
    <row r="1568" spans="1:2">
      <c r="A1568">
        <v>60608</v>
      </c>
      <c r="B1568" t="s">
        <v>198</v>
      </c>
    </row>
    <row r="1569" spans="1:2">
      <c r="A1569">
        <v>60609</v>
      </c>
      <c r="B1569" t="s">
        <v>198</v>
      </c>
    </row>
    <row r="1570" spans="1:2">
      <c r="A1570">
        <v>60612</v>
      </c>
      <c r="B1570" t="s">
        <v>198</v>
      </c>
    </row>
    <row r="1571" spans="1:2">
      <c r="A1571">
        <v>60613</v>
      </c>
      <c r="B1571" t="s">
        <v>198</v>
      </c>
    </row>
    <row r="1572" spans="1:2">
      <c r="A1572">
        <v>60614</v>
      </c>
      <c r="B1572" t="s">
        <v>198</v>
      </c>
    </row>
    <row r="1573" spans="1:2">
      <c r="A1573">
        <v>60615</v>
      </c>
      <c r="B1573" t="s">
        <v>198</v>
      </c>
    </row>
    <row r="1574" spans="1:2">
      <c r="A1574">
        <v>60616</v>
      </c>
      <c r="B1574" t="s">
        <v>198</v>
      </c>
    </row>
    <row r="1575" spans="1:2">
      <c r="A1575">
        <v>60617</v>
      </c>
      <c r="B1575" t="s">
        <v>198</v>
      </c>
    </row>
    <row r="1576" spans="1:2">
      <c r="A1576">
        <v>60618</v>
      </c>
      <c r="B1576" t="s">
        <v>198</v>
      </c>
    </row>
    <row r="1577" spans="1:2">
      <c r="A1577">
        <v>60619</v>
      </c>
      <c r="B1577" t="s">
        <v>198</v>
      </c>
    </row>
    <row r="1578" spans="1:2">
      <c r="A1578">
        <v>60620</v>
      </c>
      <c r="B1578" t="s">
        <v>198</v>
      </c>
    </row>
    <row r="1579" spans="1:2">
      <c r="A1579">
        <v>60621</v>
      </c>
      <c r="B1579" t="s">
        <v>198</v>
      </c>
    </row>
    <row r="1580" spans="1:2">
      <c r="A1580">
        <v>60622</v>
      </c>
      <c r="B1580" t="s">
        <v>198</v>
      </c>
    </row>
    <row r="1581" spans="1:2">
      <c r="A1581">
        <v>60623</v>
      </c>
      <c r="B1581" t="s">
        <v>198</v>
      </c>
    </row>
    <row r="1582" spans="1:2">
      <c r="A1582">
        <v>60625</v>
      </c>
      <c r="B1582" t="s">
        <v>198</v>
      </c>
    </row>
    <row r="1583" spans="1:2">
      <c r="A1583">
        <v>60626</v>
      </c>
      <c r="B1583" t="s">
        <v>198</v>
      </c>
    </row>
    <row r="1584" spans="1:2">
      <c r="A1584">
        <v>60628</v>
      </c>
      <c r="B1584" t="s">
        <v>198</v>
      </c>
    </row>
    <row r="1585" spans="1:2">
      <c r="A1585">
        <v>60629</v>
      </c>
      <c r="B1585" t="s">
        <v>198</v>
      </c>
    </row>
    <row r="1586" spans="1:2">
      <c r="A1586">
        <v>60630</v>
      </c>
      <c r="B1586" t="s">
        <v>198</v>
      </c>
    </row>
    <row r="1587" spans="1:2">
      <c r="A1587">
        <v>60631</v>
      </c>
      <c r="B1587" t="s">
        <v>198</v>
      </c>
    </row>
    <row r="1588" spans="1:2">
      <c r="A1588">
        <v>60632</v>
      </c>
      <c r="B1588" t="s">
        <v>198</v>
      </c>
    </row>
    <row r="1589" spans="1:2">
      <c r="A1589">
        <v>60633</v>
      </c>
      <c r="B1589" t="s">
        <v>198</v>
      </c>
    </row>
    <row r="1590" spans="1:2">
      <c r="A1590">
        <v>60634</v>
      </c>
      <c r="B1590" t="s">
        <v>198</v>
      </c>
    </row>
    <row r="1591" spans="1:2">
      <c r="A1591">
        <v>60636</v>
      </c>
      <c r="B1591" t="s">
        <v>198</v>
      </c>
    </row>
    <row r="1592" spans="1:2">
      <c r="A1592">
        <v>60637</v>
      </c>
      <c r="B1592" t="s">
        <v>198</v>
      </c>
    </row>
    <row r="1593" spans="1:2">
      <c r="A1593">
        <v>60638</v>
      </c>
      <c r="B1593" t="s">
        <v>198</v>
      </c>
    </row>
    <row r="1594" spans="1:2">
      <c r="A1594">
        <v>60639</v>
      </c>
      <c r="B1594" t="s">
        <v>198</v>
      </c>
    </row>
    <row r="1595" spans="1:2">
      <c r="A1595">
        <v>60640</v>
      </c>
      <c r="B1595" t="s">
        <v>198</v>
      </c>
    </row>
    <row r="1596" spans="1:2">
      <c r="A1596">
        <v>60641</v>
      </c>
      <c r="B1596" t="s">
        <v>198</v>
      </c>
    </row>
    <row r="1597" spans="1:2">
      <c r="A1597">
        <v>60643</v>
      </c>
      <c r="B1597" t="s">
        <v>198</v>
      </c>
    </row>
    <row r="1598" spans="1:2">
      <c r="A1598">
        <v>60644</v>
      </c>
      <c r="B1598" t="s">
        <v>198</v>
      </c>
    </row>
    <row r="1599" spans="1:2">
      <c r="A1599">
        <v>60645</v>
      </c>
      <c r="B1599" t="s">
        <v>198</v>
      </c>
    </row>
    <row r="1600" spans="1:2">
      <c r="A1600">
        <v>60646</v>
      </c>
      <c r="B1600" t="s">
        <v>198</v>
      </c>
    </row>
    <row r="1601" spans="1:2">
      <c r="A1601">
        <v>60647</v>
      </c>
      <c r="B1601" t="s">
        <v>198</v>
      </c>
    </row>
    <row r="1602" spans="1:2">
      <c r="A1602">
        <v>60649</v>
      </c>
      <c r="B1602" t="s">
        <v>198</v>
      </c>
    </row>
    <row r="1603" spans="1:2">
      <c r="A1603">
        <v>60651</v>
      </c>
      <c r="B1603" t="s">
        <v>198</v>
      </c>
    </row>
    <row r="1604" spans="1:2">
      <c r="A1604">
        <v>60652</v>
      </c>
      <c r="B1604" t="s">
        <v>198</v>
      </c>
    </row>
    <row r="1605" spans="1:2">
      <c r="A1605">
        <v>60653</v>
      </c>
      <c r="B1605" t="s">
        <v>198</v>
      </c>
    </row>
    <row r="1606" spans="1:2">
      <c r="A1606">
        <v>60655</v>
      </c>
      <c r="B1606" t="s">
        <v>198</v>
      </c>
    </row>
    <row r="1607" spans="1:2">
      <c r="A1607">
        <v>60656</v>
      </c>
      <c r="B1607" t="s">
        <v>198</v>
      </c>
    </row>
    <row r="1608" spans="1:2">
      <c r="A1608">
        <v>60657</v>
      </c>
      <c r="B1608" t="s">
        <v>198</v>
      </c>
    </row>
    <row r="1609" spans="1:2">
      <c r="A1609">
        <v>60659</v>
      </c>
      <c r="B1609" t="s">
        <v>198</v>
      </c>
    </row>
    <row r="1610" spans="1:2">
      <c r="A1610">
        <v>60660</v>
      </c>
      <c r="B1610" t="s">
        <v>198</v>
      </c>
    </row>
    <row r="1611" spans="1:2">
      <c r="A1611">
        <v>60706</v>
      </c>
      <c r="B1611" t="s">
        <v>198</v>
      </c>
    </row>
    <row r="1612" spans="1:2">
      <c r="A1612">
        <v>60707</v>
      </c>
      <c r="B1612" t="s">
        <v>198</v>
      </c>
    </row>
    <row r="1613" spans="1:2">
      <c r="A1613">
        <v>60712</v>
      </c>
      <c r="B1613" t="s">
        <v>198</v>
      </c>
    </row>
    <row r="1614" spans="1:2">
      <c r="A1614">
        <v>60714</v>
      </c>
      <c r="B1614" t="s">
        <v>198</v>
      </c>
    </row>
    <row r="1615" spans="1:2">
      <c r="A1615">
        <v>60803</v>
      </c>
      <c r="B1615" t="s">
        <v>198</v>
      </c>
    </row>
    <row r="1616" spans="1:2">
      <c r="A1616">
        <v>60804</v>
      </c>
      <c r="B1616" t="s">
        <v>198</v>
      </c>
    </row>
    <row r="1617" spans="1:2">
      <c r="A1617">
        <v>60805</v>
      </c>
      <c r="B1617" t="s">
        <v>198</v>
      </c>
    </row>
    <row r="1618" spans="1:2">
      <c r="A1618">
        <v>60827</v>
      </c>
      <c r="B1618" t="s">
        <v>198</v>
      </c>
    </row>
    <row r="1619" spans="1:2">
      <c r="A1619">
        <v>60002</v>
      </c>
      <c r="B1619" t="s">
        <v>198</v>
      </c>
    </row>
    <row r="1620" spans="1:2">
      <c r="A1620">
        <v>60030</v>
      </c>
      <c r="B1620" t="s">
        <v>198</v>
      </c>
    </row>
    <row r="1621" spans="1:2">
      <c r="A1621">
        <v>60031</v>
      </c>
      <c r="B1621" t="s">
        <v>198</v>
      </c>
    </row>
    <row r="1622" spans="1:2">
      <c r="A1622">
        <v>60046</v>
      </c>
      <c r="B1622" t="s">
        <v>198</v>
      </c>
    </row>
    <row r="1623" spans="1:2">
      <c r="A1623">
        <v>60050</v>
      </c>
      <c r="B1623" t="s">
        <v>198</v>
      </c>
    </row>
    <row r="1624" spans="1:2">
      <c r="A1624">
        <v>60051</v>
      </c>
      <c r="B1624" t="s">
        <v>198</v>
      </c>
    </row>
    <row r="1625" spans="1:2">
      <c r="A1625">
        <v>60064</v>
      </c>
      <c r="B1625" t="s">
        <v>198</v>
      </c>
    </row>
    <row r="1626" spans="1:2">
      <c r="A1626">
        <v>60073</v>
      </c>
      <c r="B1626" t="s">
        <v>198</v>
      </c>
    </row>
    <row r="1627" spans="1:2">
      <c r="A1627">
        <v>60083</v>
      </c>
      <c r="B1627" t="s">
        <v>198</v>
      </c>
    </row>
    <row r="1628" spans="1:2">
      <c r="A1628">
        <v>60085</v>
      </c>
      <c r="B1628" t="s">
        <v>198</v>
      </c>
    </row>
    <row r="1629" spans="1:2">
      <c r="A1629">
        <v>60087</v>
      </c>
      <c r="B1629" t="s">
        <v>198</v>
      </c>
    </row>
    <row r="1630" spans="1:2">
      <c r="A1630">
        <v>60096</v>
      </c>
      <c r="B1630" t="s">
        <v>198</v>
      </c>
    </row>
    <row r="1631" spans="1:2">
      <c r="A1631">
        <v>60098</v>
      </c>
      <c r="B1631" t="s">
        <v>198</v>
      </c>
    </row>
    <row r="1632" spans="1:2">
      <c r="A1632">
        <v>60099</v>
      </c>
      <c r="B1632" t="s">
        <v>198</v>
      </c>
    </row>
    <row r="1633" spans="1:2">
      <c r="A1633">
        <v>60075</v>
      </c>
      <c r="B1633" t="s">
        <v>198</v>
      </c>
    </row>
    <row r="1634" spans="1:2">
      <c r="A1634">
        <v>60079</v>
      </c>
      <c r="B1634" t="s">
        <v>198</v>
      </c>
    </row>
    <row r="1635" spans="1:2">
      <c r="A1635">
        <v>46311</v>
      </c>
      <c r="B1635" t="s">
        <v>198</v>
      </c>
    </row>
    <row r="1636" spans="1:2">
      <c r="A1636">
        <v>46312</v>
      </c>
      <c r="B1636" t="s">
        <v>198</v>
      </c>
    </row>
    <row r="1637" spans="1:2">
      <c r="A1637">
        <v>46319</v>
      </c>
      <c r="B1637" t="s">
        <v>198</v>
      </c>
    </row>
    <row r="1638" spans="1:2">
      <c r="A1638">
        <v>46320</v>
      </c>
      <c r="B1638" t="s">
        <v>198</v>
      </c>
    </row>
    <row r="1639" spans="1:2">
      <c r="A1639">
        <v>46321</v>
      </c>
      <c r="B1639" t="s">
        <v>198</v>
      </c>
    </row>
    <row r="1640" spans="1:2">
      <c r="A1640">
        <v>46322</v>
      </c>
      <c r="B1640" t="s">
        <v>198</v>
      </c>
    </row>
    <row r="1641" spans="1:2">
      <c r="A1641">
        <v>46323</v>
      </c>
      <c r="B1641" t="s">
        <v>198</v>
      </c>
    </row>
    <row r="1642" spans="1:2">
      <c r="A1642">
        <v>46324</v>
      </c>
      <c r="B1642" t="s">
        <v>198</v>
      </c>
    </row>
    <row r="1643" spans="1:2">
      <c r="A1643">
        <v>46327</v>
      </c>
      <c r="B1643" t="s">
        <v>198</v>
      </c>
    </row>
    <row r="1644" spans="1:2">
      <c r="A1644">
        <v>46342</v>
      </c>
      <c r="B1644" t="s">
        <v>198</v>
      </c>
    </row>
    <row r="1645" spans="1:2">
      <c r="A1645">
        <v>46368</v>
      </c>
      <c r="B1645" t="s">
        <v>198</v>
      </c>
    </row>
    <row r="1646" spans="1:2">
      <c r="A1646">
        <v>46373</v>
      </c>
      <c r="B1646" t="s">
        <v>198</v>
      </c>
    </row>
    <row r="1647" spans="1:2">
      <c r="A1647">
        <v>46375</v>
      </c>
      <c r="B1647" t="s">
        <v>198</v>
      </c>
    </row>
    <row r="1648" spans="1:2">
      <c r="A1648">
        <v>46394</v>
      </c>
      <c r="B1648" t="s">
        <v>198</v>
      </c>
    </row>
    <row r="1649" spans="1:2">
      <c r="A1649">
        <v>46403</v>
      </c>
      <c r="B1649" t="s">
        <v>198</v>
      </c>
    </row>
    <row r="1650" spans="1:2">
      <c r="A1650">
        <v>46404</v>
      </c>
      <c r="B1650" t="s">
        <v>198</v>
      </c>
    </row>
    <row r="1651" spans="1:2">
      <c r="A1651">
        <v>46405</v>
      </c>
      <c r="B1651" t="s">
        <v>198</v>
      </c>
    </row>
    <row r="1652" spans="1:2">
      <c r="A1652">
        <v>46406</v>
      </c>
      <c r="B1652" t="s">
        <v>198</v>
      </c>
    </row>
    <row r="1653" spans="1:2">
      <c r="A1653">
        <v>46407</v>
      </c>
      <c r="B1653" t="s">
        <v>198</v>
      </c>
    </row>
    <row r="1654" spans="1:2">
      <c r="A1654">
        <v>46408</v>
      </c>
      <c r="B1654" t="s">
        <v>198</v>
      </c>
    </row>
    <row r="1655" spans="1:2">
      <c r="A1655">
        <v>46409</v>
      </c>
      <c r="B1655" t="s">
        <v>198</v>
      </c>
    </row>
    <row r="1656" spans="1:2">
      <c r="A1656">
        <v>46410</v>
      </c>
      <c r="B1656" t="s">
        <v>198</v>
      </c>
    </row>
    <row r="1657" spans="1:2">
      <c r="A1657">
        <v>60607</v>
      </c>
      <c r="B1657" t="s">
        <v>198</v>
      </c>
    </row>
    <row r="1658" spans="1:2">
      <c r="A1658">
        <v>60610</v>
      </c>
      <c r="B1658" t="s">
        <v>198</v>
      </c>
    </row>
    <row r="1659" spans="1:2">
      <c r="A1659">
        <v>60611</v>
      </c>
      <c r="B1659" t="s">
        <v>198</v>
      </c>
    </row>
    <row r="1660" spans="1:2">
      <c r="A1660">
        <v>60654</v>
      </c>
      <c r="B1660" t="s">
        <v>198</v>
      </c>
    </row>
    <row r="1661" spans="1:2">
      <c r="A1661">
        <v>60661</v>
      </c>
      <c r="B1661" t="s">
        <v>198</v>
      </c>
    </row>
    <row r="1662" spans="1:2">
      <c r="A1662">
        <v>60116</v>
      </c>
      <c r="B1662" t="s">
        <v>198</v>
      </c>
    </row>
    <row r="1663" spans="1:2">
      <c r="A1663">
        <v>60117</v>
      </c>
      <c r="B1663" t="s">
        <v>198</v>
      </c>
    </row>
    <row r="1664" spans="1:2">
      <c r="A1664">
        <v>60119</v>
      </c>
      <c r="B1664" t="s">
        <v>198</v>
      </c>
    </row>
    <row r="1665" spans="1:2">
      <c r="A1665">
        <v>60121</v>
      </c>
      <c r="B1665" t="s">
        <v>198</v>
      </c>
    </row>
    <row r="1666" spans="1:2">
      <c r="A1666">
        <v>60122</v>
      </c>
      <c r="B1666" t="s">
        <v>198</v>
      </c>
    </row>
    <row r="1667" spans="1:2">
      <c r="A1667">
        <v>60128</v>
      </c>
      <c r="B1667" t="s">
        <v>198</v>
      </c>
    </row>
    <row r="1668" spans="1:2">
      <c r="A1668">
        <v>60132</v>
      </c>
      <c r="B1668" t="s">
        <v>198</v>
      </c>
    </row>
    <row r="1669" spans="1:2">
      <c r="A1669">
        <v>60136</v>
      </c>
      <c r="B1669" t="s">
        <v>198</v>
      </c>
    </row>
    <row r="1670" spans="1:2">
      <c r="A1670">
        <v>60138</v>
      </c>
      <c r="B1670" t="s">
        <v>198</v>
      </c>
    </row>
    <row r="1671" spans="1:2">
      <c r="A1671">
        <v>60186</v>
      </c>
      <c r="B1671" t="s">
        <v>198</v>
      </c>
    </row>
    <row r="1672" spans="1:2">
      <c r="A1672">
        <v>60197</v>
      </c>
      <c r="B1672" t="s">
        <v>198</v>
      </c>
    </row>
    <row r="1673" spans="1:2">
      <c r="A1673">
        <v>60199</v>
      </c>
      <c r="B1673" t="s">
        <v>198</v>
      </c>
    </row>
    <row r="1674" spans="1:2">
      <c r="A1674">
        <v>60404</v>
      </c>
      <c r="B1674" t="s">
        <v>198</v>
      </c>
    </row>
    <row r="1675" spans="1:2">
      <c r="A1675">
        <v>60421</v>
      </c>
      <c r="B1675" t="s">
        <v>198</v>
      </c>
    </row>
    <row r="1676" spans="1:2">
      <c r="A1676">
        <v>60434</v>
      </c>
      <c r="B1676" t="s">
        <v>198</v>
      </c>
    </row>
    <row r="1677" spans="1:2">
      <c r="A1677">
        <v>60436</v>
      </c>
      <c r="B1677" t="s">
        <v>198</v>
      </c>
    </row>
    <row r="1678" spans="1:2">
      <c r="A1678">
        <v>60447</v>
      </c>
      <c r="B1678" t="s">
        <v>198</v>
      </c>
    </row>
    <row r="1679" spans="1:2">
      <c r="A1679">
        <v>60507</v>
      </c>
      <c r="B1679" t="s">
        <v>198</v>
      </c>
    </row>
    <row r="1680" spans="1:2">
      <c r="A1680">
        <v>60512</v>
      </c>
      <c r="B1680" t="s">
        <v>198</v>
      </c>
    </row>
    <row r="1681" spans="1:2">
      <c r="A1681">
        <v>60522</v>
      </c>
      <c r="B1681" t="s">
        <v>198</v>
      </c>
    </row>
    <row r="1682" spans="1:2">
      <c r="A1682">
        <v>60545</v>
      </c>
      <c r="B1682" t="s">
        <v>198</v>
      </c>
    </row>
    <row r="1683" spans="1:2">
      <c r="A1683">
        <v>60554</v>
      </c>
      <c r="B1683" t="s">
        <v>198</v>
      </c>
    </row>
    <row r="1684" spans="1:2">
      <c r="A1684">
        <v>60560</v>
      </c>
      <c r="B1684" t="s">
        <v>198</v>
      </c>
    </row>
    <row r="1685" spans="1:2">
      <c r="A1685">
        <v>60566</v>
      </c>
      <c r="B1685" t="s">
        <v>198</v>
      </c>
    </row>
    <row r="1686" spans="1:2">
      <c r="A1686">
        <v>60567</v>
      </c>
      <c r="B1686" t="s">
        <v>198</v>
      </c>
    </row>
    <row r="1687" spans="1:2">
      <c r="A1687">
        <v>60568</v>
      </c>
      <c r="B1687" t="s">
        <v>198</v>
      </c>
    </row>
    <row r="1688" spans="1:2">
      <c r="A1688">
        <v>60569</v>
      </c>
      <c r="B1688" t="s">
        <v>198</v>
      </c>
    </row>
    <row r="1689" spans="1:2">
      <c r="A1689">
        <v>60572</v>
      </c>
      <c r="B1689" t="s">
        <v>198</v>
      </c>
    </row>
    <row r="1690" spans="1:2">
      <c r="A1690">
        <v>60598</v>
      </c>
      <c r="B1690" t="s">
        <v>198</v>
      </c>
    </row>
    <row r="1691" spans="1:2">
      <c r="A1691">
        <v>60599</v>
      </c>
      <c r="B1691" t="s">
        <v>198</v>
      </c>
    </row>
    <row r="1692" spans="1:2">
      <c r="A1692">
        <v>60006</v>
      </c>
      <c r="B1692" t="s">
        <v>198</v>
      </c>
    </row>
    <row r="1693" spans="1:2">
      <c r="A1693">
        <v>60009</v>
      </c>
      <c r="B1693" t="s">
        <v>198</v>
      </c>
    </row>
    <row r="1694" spans="1:2">
      <c r="A1694">
        <v>60017</v>
      </c>
      <c r="B1694" t="s">
        <v>198</v>
      </c>
    </row>
    <row r="1695" spans="1:2">
      <c r="A1695">
        <v>60019</v>
      </c>
      <c r="B1695" t="s">
        <v>198</v>
      </c>
    </row>
    <row r="1696" spans="1:2">
      <c r="A1696">
        <v>60037</v>
      </c>
      <c r="B1696" t="s">
        <v>198</v>
      </c>
    </row>
    <row r="1697" spans="1:2">
      <c r="A1697">
        <v>60038</v>
      </c>
      <c r="B1697" t="s">
        <v>198</v>
      </c>
    </row>
    <row r="1698" spans="1:2">
      <c r="A1698">
        <v>60055</v>
      </c>
      <c r="B1698" t="s">
        <v>198</v>
      </c>
    </row>
    <row r="1699" spans="1:2">
      <c r="A1699">
        <v>60065</v>
      </c>
      <c r="B1699" t="s">
        <v>198</v>
      </c>
    </row>
    <row r="1700" spans="1:2">
      <c r="A1700">
        <v>60078</v>
      </c>
      <c r="B1700" t="s">
        <v>198</v>
      </c>
    </row>
    <row r="1701" spans="1:2">
      <c r="A1701">
        <v>60082</v>
      </c>
      <c r="B1701" t="s">
        <v>198</v>
      </c>
    </row>
    <row r="1702" spans="1:2">
      <c r="A1702">
        <v>60094</v>
      </c>
      <c r="B1702" t="s">
        <v>198</v>
      </c>
    </row>
    <row r="1703" spans="1:2">
      <c r="A1703">
        <v>60095</v>
      </c>
      <c r="B1703" t="s">
        <v>198</v>
      </c>
    </row>
    <row r="1704" spans="1:2">
      <c r="A1704">
        <v>60105</v>
      </c>
      <c r="B1704" t="s">
        <v>198</v>
      </c>
    </row>
    <row r="1705" spans="1:2">
      <c r="A1705">
        <v>60159</v>
      </c>
      <c r="B1705" t="s">
        <v>198</v>
      </c>
    </row>
    <row r="1706" spans="1:2">
      <c r="A1706">
        <v>60168</v>
      </c>
      <c r="B1706" t="s">
        <v>198</v>
      </c>
    </row>
    <row r="1707" spans="1:2">
      <c r="A1707">
        <v>60179</v>
      </c>
      <c r="B1707" t="s">
        <v>198</v>
      </c>
    </row>
    <row r="1708" spans="1:2">
      <c r="A1708">
        <v>60196</v>
      </c>
      <c r="B1708" t="s">
        <v>198</v>
      </c>
    </row>
    <row r="1709" spans="1:2">
      <c r="A1709">
        <v>60204</v>
      </c>
      <c r="B1709" t="s">
        <v>198</v>
      </c>
    </row>
    <row r="1710" spans="1:2">
      <c r="A1710">
        <v>60208</v>
      </c>
      <c r="B1710" t="s">
        <v>198</v>
      </c>
    </row>
    <row r="1711" spans="1:2">
      <c r="A1711">
        <v>60399</v>
      </c>
      <c r="B1711" t="s">
        <v>198</v>
      </c>
    </row>
    <row r="1712" spans="1:2">
      <c r="A1712">
        <v>60666</v>
      </c>
      <c r="B1712" t="s">
        <v>198</v>
      </c>
    </row>
    <row r="1713" spans="1:2">
      <c r="A1713">
        <v>60688</v>
      </c>
      <c r="B1713" t="s">
        <v>198</v>
      </c>
    </row>
    <row r="1714" spans="1:2">
      <c r="A1714">
        <v>60701</v>
      </c>
      <c r="B1714" t="s">
        <v>198</v>
      </c>
    </row>
    <row r="1715" spans="1:2">
      <c r="A1715">
        <v>60161</v>
      </c>
      <c r="B1715" t="s">
        <v>198</v>
      </c>
    </row>
    <row r="1716" spans="1:2">
      <c r="A1716">
        <v>60165</v>
      </c>
      <c r="B1716" t="s">
        <v>198</v>
      </c>
    </row>
    <row r="1717" spans="1:2">
      <c r="A1717">
        <v>60301</v>
      </c>
      <c r="B1717" t="s">
        <v>198</v>
      </c>
    </row>
    <row r="1718" spans="1:2">
      <c r="A1718">
        <v>60303</v>
      </c>
      <c r="B1718" t="s">
        <v>198</v>
      </c>
    </row>
    <row r="1719" spans="1:2">
      <c r="A1719">
        <v>60305</v>
      </c>
      <c r="B1719" t="s">
        <v>198</v>
      </c>
    </row>
    <row r="1720" spans="1:2">
      <c r="A1720">
        <v>60454</v>
      </c>
      <c r="B1720" t="s">
        <v>198</v>
      </c>
    </row>
    <row r="1721" spans="1:2">
      <c r="A1721">
        <v>60499</v>
      </c>
      <c r="B1721" t="s">
        <v>198</v>
      </c>
    </row>
    <row r="1722" spans="1:2">
      <c r="A1722">
        <v>60624</v>
      </c>
      <c r="B1722" t="s">
        <v>198</v>
      </c>
    </row>
    <row r="1723" spans="1:2">
      <c r="A1723">
        <v>60682</v>
      </c>
      <c r="B1723" t="s">
        <v>198</v>
      </c>
    </row>
    <row r="1724" spans="1:2">
      <c r="A1724">
        <v>60412</v>
      </c>
      <c r="B1724" t="s">
        <v>198</v>
      </c>
    </row>
    <row r="1725" spans="1:2">
      <c r="A1725">
        <v>60418</v>
      </c>
      <c r="B1725" t="s">
        <v>198</v>
      </c>
    </row>
    <row r="1726" spans="1:2">
      <c r="A1726">
        <v>60422</v>
      </c>
      <c r="B1726" t="s">
        <v>198</v>
      </c>
    </row>
    <row r="1727" spans="1:2">
      <c r="A1727">
        <v>60461</v>
      </c>
      <c r="B1727" t="s">
        <v>198</v>
      </c>
    </row>
    <row r="1728" spans="1:2">
      <c r="A1728">
        <v>60476</v>
      </c>
      <c r="B1728" t="s">
        <v>198</v>
      </c>
    </row>
    <row r="1729" spans="1:2">
      <c r="A1729">
        <v>60021</v>
      </c>
      <c r="B1729" t="s">
        <v>198</v>
      </c>
    </row>
    <row r="1730" spans="1:2">
      <c r="A1730">
        <v>60175</v>
      </c>
      <c r="B1730" t="s">
        <v>198</v>
      </c>
    </row>
    <row r="1731" spans="1:2">
      <c r="A1731">
        <v>60642</v>
      </c>
      <c r="B1731" t="s">
        <v>198</v>
      </c>
    </row>
    <row r="1732" spans="1:2">
      <c r="A1732">
        <v>60178</v>
      </c>
      <c r="B1732" t="s">
        <v>198</v>
      </c>
    </row>
    <row r="1733" spans="1:2">
      <c r="A1733">
        <v>60115</v>
      </c>
      <c r="B1733" t="s">
        <v>198</v>
      </c>
    </row>
    <row r="1734" spans="1:2">
      <c r="A1734">
        <v>60140</v>
      </c>
      <c r="B1734" t="s">
        <v>198</v>
      </c>
    </row>
    <row r="1735" spans="1:2">
      <c r="A1735">
        <v>60152</v>
      </c>
      <c r="B1735" t="s">
        <v>198</v>
      </c>
    </row>
    <row r="1736" spans="1:2">
      <c r="A1736">
        <v>60135</v>
      </c>
      <c r="B1736" t="s">
        <v>198</v>
      </c>
    </row>
    <row r="1737" spans="1:2">
      <c r="A1737">
        <v>46303</v>
      </c>
      <c r="B1737" t="s">
        <v>198</v>
      </c>
    </row>
    <row r="1738" spans="1:2">
      <c r="A1738">
        <v>46304</v>
      </c>
      <c r="B1738" t="s">
        <v>198</v>
      </c>
    </row>
    <row r="1739" spans="1:2">
      <c r="A1739">
        <v>46307</v>
      </c>
      <c r="B1739" t="s">
        <v>198</v>
      </c>
    </row>
    <row r="1740" spans="1:2">
      <c r="A1740">
        <v>46356</v>
      </c>
      <c r="B1740" t="s">
        <v>198</v>
      </c>
    </row>
    <row r="1741" spans="1:2">
      <c r="A1741">
        <v>61130</v>
      </c>
      <c r="B1741" t="s">
        <v>198</v>
      </c>
    </row>
    <row r="1742" spans="1:2">
      <c r="A1742">
        <v>61126</v>
      </c>
      <c r="B1742" t="s">
        <v>198</v>
      </c>
    </row>
    <row r="1743" spans="1:2">
      <c r="A1743">
        <v>61125</v>
      </c>
      <c r="B1743" t="s">
        <v>198</v>
      </c>
    </row>
    <row r="1744" spans="1:2">
      <c r="A1744">
        <v>61115</v>
      </c>
      <c r="B1744" t="s">
        <v>198</v>
      </c>
    </row>
    <row r="1745" spans="1:2">
      <c r="A1745">
        <v>61114</v>
      </c>
      <c r="B1745" t="s">
        <v>198</v>
      </c>
    </row>
    <row r="1746" spans="1:2">
      <c r="A1746">
        <v>61112</v>
      </c>
      <c r="B1746" t="s">
        <v>198</v>
      </c>
    </row>
    <row r="1747" spans="1:2">
      <c r="A1747">
        <v>61111</v>
      </c>
      <c r="B1747" t="s">
        <v>198</v>
      </c>
    </row>
    <row r="1748" spans="1:2">
      <c r="A1748">
        <v>61110</v>
      </c>
      <c r="B1748" t="s">
        <v>198</v>
      </c>
    </row>
    <row r="1749" spans="1:2">
      <c r="A1749">
        <v>61109</v>
      </c>
      <c r="B1749" t="s">
        <v>198</v>
      </c>
    </row>
    <row r="1750" spans="1:2">
      <c r="A1750">
        <v>61108</v>
      </c>
      <c r="B1750" t="s">
        <v>198</v>
      </c>
    </row>
    <row r="1751" spans="1:2">
      <c r="A1751">
        <v>61107</v>
      </c>
      <c r="B1751" t="s">
        <v>198</v>
      </c>
    </row>
    <row r="1752" spans="1:2">
      <c r="A1752">
        <v>61106</v>
      </c>
      <c r="B1752" t="s">
        <v>198</v>
      </c>
    </row>
    <row r="1753" spans="1:2">
      <c r="A1753">
        <v>61105</v>
      </c>
      <c r="B1753" t="s">
        <v>198</v>
      </c>
    </row>
    <row r="1754" spans="1:2">
      <c r="A1754">
        <v>61104</v>
      </c>
      <c r="B1754" t="s">
        <v>198</v>
      </c>
    </row>
    <row r="1755" spans="1:2">
      <c r="A1755">
        <v>61103</v>
      </c>
      <c r="B1755" t="s">
        <v>198</v>
      </c>
    </row>
    <row r="1756" spans="1:2">
      <c r="A1756">
        <v>61102</v>
      </c>
      <c r="B1756" t="s">
        <v>198</v>
      </c>
    </row>
    <row r="1757" spans="1:2">
      <c r="A1757">
        <v>61101</v>
      </c>
      <c r="B1757" t="s">
        <v>198</v>
      </c>
    </row>
    <row r="1758" spans="1:2">
      <c r="A1758">
        <v>61016</v>
      </c>
      <c r="B1758" t="s">
        <v>198</v>
      </c>
    </row>
    <row r="1759" spans="1:2">
      <c r="A1759">
        <v>61011</v>
      </c>
      <c r="B1759" t="s">
        <v>198</v>
      </c>
    </row>
    <row r="1760" spans="1:2">
      <c r="A1760">
        <v>61008</v>
      </c>
      <c r="B1760" t="s">
        <v>198</v>
      </c>
    </row>
    <row r="1761" spans="1:2">
      <c r="A1761">
        <v>61132</v>
      </c>
      <c r="B1761" t="s">
        <v>198</v>
      </c>
    </row>
    <row r="1762" spans="1:2">
      <c r="A1762">
        <v>61131</v>
      </c>
      <c r="B1762" t="s">
        <v>198</v>
      </c>
    </row>
    <row r="1763" spans="1:2">
      <c r="A1763">
        <v>61080</v>
      </c>
      <c r="B1763" t="s">
        <v>198</v>
      </c>
    </row>
    <row r="1764" spans="1:2">
      <c r="A1764">
        <v>61073</v>
      </c>
      <c r="B1764" t="s">
        <v>198</v>
      </c>
    </row>
    <row r="1765" spans="1:2">
      <c r="A1765">
        <v>53005</v>
      </c>
      <c r="B1765" t="s">
        <v>198</v>
      </c>
    </row>
    <row r="1766" spans="1:2">
      <c r="A1766">
        <v>53007</v>
      </c>
      <c r="B1766" t="s">
        <v>198</v>
      </c>
    </row>
    <row r="1767" spans="1:2">
      <c r="A1767">
        <v>53012</v>
      </c>
      <c r="B1767" t="s">
        <v>198</v>
      </c>
    </row>
    <row r="1768" spans="1:2">
      <c r="A1768">
        <v>53051</v>
      </c>
      <c r="B1768" t="s">
        <v>198</v>
      </c>
    </row>
    <row r="1769" spans="1:2">
      <c r="A1769">
        <v>53092</v>
      </c>
      <c r="B1769" t="s">
        <v>198</v>
      </c>
    </row>
    <row r="1770" spans="1:2">
      <c r="A1770">
        <v>53097</v>
      </c>
      <c r="B1770" t="s">
        <v>198</v>
      </c>
    </row>
    <row r="1771" spans="1:2">
      <c r="A1771">
        <v>53108</v>
      </c>
      <c r="B1771" t="s">
        <v>198</v>
      </c>
    </row>
    <row r="1772" spans="1:2">
      <c r="A1772">
        <v>53110</v>
      </c>
      <c r="B1772" t="s">
        <v>198</v>
      </c>
    </row>
    <row r="1773" spans="1:2">
      <c r="A1773">
        <v>53122</v>
      </c>
      <c r="B1773" t="s">
        <v>198</v>
      </c>
    </row>
    <row r="1774" spans="1:2">
      <c r="A1774">
        <v>53126</v>
      </c>
      <c r="B1774" t="s">
        <v>198</v>
      </c>
    </row>
    <row r="1775" spans="1:2">
      <c r="A1775">
        <v>53129</v>
      </c>
      <c r="B1775" t="s">
        <v>198</v>
      </c>
    </row>
    <row r="1776" spans="1:2">
      <c r="A1776">
        <v>53130</v>
      </c>
      <c r="B1776" t="s">
        <v>198</v>
      </c>
    </row>
    <row r="1777" spans="1:2">
      <c r="A1777">
        <v>53132</v>
      </c>
      <c r="B1777" t="s">
        <v>198</v>
      </c>
    </row>
    <row r="1778" spans="1:2">
      <c r="A1778">
        <v>53140</v>
      </c>
      <c r="B1778" t="s">
        <v>198</v>
      </c>
    </row>
    <row r="1779" spans="1:2">
      <c r="A1779">
        <v>53142</v>
      </c>
      <c r="B1779" t="s">
        <v>198</v>
      </c>
    </row>
    <row r="1780" spans="1:2">
      <c r="A1780">
        <v>53144</v>
      </c>
      <c r="B1780" t="s">
        <v>198</v>
      </c>
    </row>
    <row r="1781" spans="1:2">
      <c r="A1781">
        <v>53146</v>
      </c>
      <c r="B1781" t="s">
        <v>198</v>
      </c>
    </row>
    <row r="1782" spans="1:2">
      <c r="A1782">
        <v>53150</v>
      </c>
      <c r="B1782" t="s">
        <v>198</v>
      </c>
    </row>
    <row r="1783" spans="1:2">
      <c r="A1783">
        <v>53151</v>
      </c>
      <c r="B1783" t="s">
        <v>198</v>
      </c>
    </row>
    <row r="1784" spans="1:2">
      <c r="A1784">
        <v>53154</v>
      </c>
      <c r="B1784" t="s">
        <v>198</v>
      </c>
    </row>
    <row r="1785" spans="1:2">
      <c r="A1785">
        <v>53158</v>
      </c>
      <c r="B1785" t="s">
        <v>198</v>
      </c>
    </row>
    <row r="1786" spans="1:2">
      <c r="A1786">
        <v>53172</v>
      </c>
      <c r="B1786" t="s">
        <v>198</v>
      </c>
    </row>
    <row r="1787" spans="1:2">
      <c r="A1787">
        <v>53182</v>
      </c>
      <c r="B1787" t="s">
        <v>198</v>
      </c>
    </row>
    <row r="1788" spans="1:2">
      <c r="A1788">
        <v>53186</v>
      </c>
      <c r="B1788" t="s">
        <v>198</v>
      </c>
    </row>
    <row r="1789" spans="1:2">
      <c r="A1789">
        <v>53202</v>
      </c>
      <c r="B1789" t="s">
        <v>198</v>
      </c>
    </row>
    <row r="1790" spans="1:2">
      <c r="A1790">
        <v>53204</v>
      </c>
      <c r="B1790" t="s">
        <v>198</v>
      </c>
    </row>
    <row r="1791" spans="1:2">
      <c r="A1791">
        <v>53206</v>
      </c>
      <c r="B1791" t="s">
        <v>198</v>
      </c>
    </row>
    <row r="1792" spans="1:2">
      <c r="A1792">
        <v>53207</v>
      </c>
      <c r="B1792" t="s">
        <v>198</v>
      </c>
    </row>
    <row r="1793" spans="1:2">
      <c r="A1793">
        <v>53208</v>
      </c>
      <c r="B1793" t="s">
        <v>198</v>
      </c>
    </row>
    <row r="1794" spans="1:2">
      <c r="A1794">
        <v>53209</v>
      </c>
      <c r="B1794" t="s">
        <v>198</v>
      </c>
    </row>
    <row r="1795" spans="1:2">
      <c r="A1795">
        <v>53210</v>
      </c>
      <c r="B1795" t="s">
        <v>198</v>
      </c>
    </row>
    <row r="1796" spans="1:2">
      <c r="A1796">
        <v>53211</v>
      </c>
      <c r="B1796" t="s">
        <v>198</v>
      </c>
    </row>
    <row r="1797" spans="1:2">
      <c r="A1797">
        <v>53212</v>
      </c>
      <c r="B1797" t="s">
        <v>198</v>
      </c>
    </row>
    <row r="1798" spans="1:2">
      <c r="A1798">
        <v>53213</v>
      </c>
      <c r="B1798" t="s">
        <v>198</v>
      </c>
    </row>
    <row r="1799" spans="1:2">
      <c r="A1799">
        <v>53214</v>
      </c>
      <c r="B1799" t="s">
        <v>198</v>
      </c>
    </row>
    <row r="1800" spans="1:2">
      <c r="A1800">
        <v>53215</v>
      </c>
      <c r="B1800" t="s">
        <v>198</v>
      </c>
    </row>
    <row r="1801" spans="1:2">
      <c r="A1801">
        <v>53216</v>
      </c>
      <c r="B1801" t="s">
        <v>198</v>
      </c>
    </row>
    <row r="1802" spans="1:2">
      <c r="A1802">
        <v>53217</v>
      </c>
      <c r="B1802" t="s">
        <v>198</v>
      </c>
    </row>
    <row r="1803" spans="1:2">
      <c r="A1803">
        <v>53218</v>
      </c>
      <c r="B1803" t="s">
        <v>198</v>
      </c>
    </row>
    <row r="1804" spans="1:2">
      <c r="A1804">
        <v>53219</v>
      </c>
      <c r="B1804" t="s">
        <v>198</v>
      </c>
    </row>
    <row r="1805" spans="1:2">
      <c r="A1805">
        <v>53220</v>
      </c>
      <c r="B1805" t="s">
        <v>198</v>
      </c>
    </row>
    <row r="1806" spans="1:2">
      <c r="A1806">
        <v>53221</v>
      </c>
      <c r="B1806" t="s">
        <v>198</v>
      </c>
    </row>
    <row r="1807" spans="1:2">
      <c r="A1807">
        <v>53222</v>
      </c>
      <c r="B1807" t="s">
        <v>198</v>
      </c>
    </row>
    <row r="1808" spans="1:2">
      <c r="A1808">
        <v>53223</v>
      </c>
      <c r="B1808" t="s">
        <v>198</v>
      </c>
    </row>
    <row r="1809" spans="1:2">
      <c r="A1809">
        <v>53224</v>
      </c>
      <c r="B1809" t="s">
        <v>198</v>
      </c>
    </row>
    <row r="1810" spans="1:2">
      <c r="A1810">
        <v>53225</v>
      </c>
      <c r="B1810" t="s">
        <v>198</v>
      </c>
    </row>
    <row r="1811" spans="1:2">
      <c r="A1811">
        <v>53226</v>
      </c>
      <c r="B1811" t="s">
        <v>198</v>
      </c>
    </row>
    <row r="1812" spans="1:2">
      <c r="A1812">
        <v>53227</v>
      </c>
      <c r="B1812" t="s">
        <v>198</v>
      </c>
    </row>
    <row r="1813" spans="1:2">
      <c r="A1813">
        <v>53228</v>
      </c>
      <c r="B1813" t="s">
        <v>198</v>
      </c>
    </row>
    <row r="1814" spans="1:2">
      <c r="A1814">
        <v>53233</v>
      </c>
      <c r="B1814" t="s">
        <v>198</v>
      </c>
    </row>
    <row r="1815" spans="1:2">
      <c r="A1815">
        <v>53234</v>
      </c>
      <c r="B1815" t="s">
        <v>198</v>
      </c>
    </row>
    <row r="1816" spans="1:2">
      <c r="A1816">
        <v>53235</v>
      </c>
      <c r="B1816" t="s">
        <v>198</v>
      </c>
    </row>
    <row r="1817" spans="1:2">
      <c r="A1817">
        <v>53402</v>
      </c>
      <c r="B1817" t="s">
        <v>198</v>
      </c>
    </row>
    <row r="1818" spans="1:2">
      <c r="A1818">
        <v>53403</v>
      </c>
      <c r="B1818" t="s">
        <v>198</v>
      </c>
    </row>
    <row r="1819" spans="1:2">
      <c r="A1819">
        <v>53404</v>
      </c>
      <c r="B1819" t="s">
        <v>198</v>
      </c>
    </row>
    <row r="1820" spans="1:2">
      <c r="A1820">
        <v>53405</v>
      </c>
      <c r="B1820" t="s">
        <v>198</v>
      </c>
    </row>
    <row r="1821" spans="1:2">
      <c r="A1821">
        <v>53406</v>
      </c>
      <c r="B1821" t="s">
        <v>198</v>
      </c>
    </row>
    <row r="1822" spans="1:2">
      <c r="A1822">
        <v>46122</v>
      </c>
      <c r="B1822" t="s">
        <v>198</v>
      </c>
    </row>
    <row r="1823" spans="1:2">
      <c r="A1823">
        <v>46123</v>
      </c>
      <c r="B1823" t="s">
        <v>198</v>
      </c>
    </row>
    <row r="1824" spans="1:2">
      <c r="A1824">
        <v>46168</v>
      </c>
      <c r="B1824" t="s">
        <v>198</v>
      </c>
    </row>
    <row r="1825" spans="1:2">
      <c r="A1825">
        <v>46142</v>
      </c>
      <c r="B1825" t="s">
        <v>198</v>
      </c>
    </row>
    <row r="1826" spans="1:2">
      <c r="A1826">
        <v>46143</v>
      </c>
      <c r="B1826" t="s">
        <v>198</v>
      </c>
    </row>
    <row r="1827" spans="1:2">
      <c r="A1827">
        <v>46217</v>
      </c>
      <c r="B1827" t="s">
        <v>198</v>
      </c>
    </row>
    <row r="1828" spans="1:2">
      <c r="A1828">
        <v>46221</v>
      </c>
      <c r="B1828" t="s">
        <v>198</v>
      </c>
    </row>
    <row r="1829" spans="1:2">
      <c r="A1829">
        <v>46241</v>
      </c>
      <c r="B1829" t="s">
        <v>198</v>
      </c>
    </row>
    <row r="1830" spans="1:2">
      <c r="A1830">
        <v>46227</v>
      </c>
      <c r="B1830" t="s">
        <v>198</v>
      </c>
    </row>
    <row r="1831" spans="1:2">
      <c r="A1831">
        <v>46237</v>
      </c>
      <c r="B1831" t="s">
        <v>198</v>
      </c>
    </row>
    <row r="1832" spans="1:2">
      <c r="A1832">
        <v>46214</v>
      </c>
      <c r="B1832" t="s">
        <v>198</v>
      </c>
    </row>
    <row r="1833" spans="1:2">
      <c r="A1833">
        <v>46222</v>
      </c>
      <c r="B1833" t="s">
        <v>198</v>
      </c>
    </row>
    <row r="1834" spans="1:2">
      <c r="A1834">
        <v>46224</v>
      </c>
      <c r="B1834" t="s">
        <v>198</v>
      </c>
    </row>
    <row r="1835" spans="1:2">
      <c r="A1835">
        <v>46112</v>
      </c>
      <c r="B1835" t="s">
        <v>198</v>
      </c>
    </row>
    <row r="1836" spans="1:2">
      <c r="A1836">
        <v>46234</v>
      </c>
      <c r="B1836" t="s">
        <v>198</v>
      </c>
    </row>
    <row r="1837" spans="1:2">
      <c r="A1837">
        <v>46254</v>
      </c>
      <c r="B1837" t="s">
        <v>198</v>
      </c>
    </row>
    <row r="1838" spans="1:2">
      <c r="A1838">
        <v>46260</v>
      </c>
      <c r="B1838" t="s">
        <v>198</v>
      </c>
    </row>
    <row r="1839" spans="1:2">
      <c r="A1839">
        <v>46268</v>
      </c>
      <c r="B1839" t="s">
        <v>198</v>
      </c>
    </row>
    <row r="1840" spans="1:2">
      <c r="A1840">
        <v>46074</v>
      </c>
      <c r="B1840" t="s">
        <v>198</v>
      </c>
    </row>
    <row r="1841" spans="1:2">
      <c r="A1841">
        <v>46077</v>
      </c>
      <c r="B1841" t="s">
        <v>198</v>
      </c>
    </row>
    <row r="1842" spans="1:2">
      <c r="A1842">
        <v>46201</v>
      </c>
      <c r="B1842" t="s">
        <v>198</v>
      </c>
    </row>
    <row r="1843" spans="1:2">
      <c r="A1843">
        <v>46203</v>
      </c>
      <c r="B1843" t="s">
        <v>198</v>
      </c>
    </row>
    <row r="1844" spans="1:2">
      <c r="A1844">
        <v>46205</v>
      </c>
      <c r="B1844" t="s">
        <v>198</v>
      </c>
    </row>
    <row r="1845" spans="1:2">
      <c r="A1845">
        <v>46218</v>
      </c>
      <c r="B1845" t="s">
        <v>198</v>
      </c>
    </row>
    <row r="1846" spans="1:2">
      <c r="A1846">
        <v>46219</v>
      </c>
      <c r="B1846" t="s">
        <v>198</v>
      </c>
    </row>
    <row r="1847" spans="1:2">
      <c r="A1847">
        <v>46229</v>
      </c>
      <c r="B1847" t="s">
        <v>198</v>
      </c>
    </row>
    <row r="1848" spans="1:2">
      <c r="A1848">
        <v>46235</v>
      </c>
      <c r="B1848" t="s">
        <v>198</v>
      </c>
    </row>
    <row r="1849" spans="1:2">
      <c r="A1849">
        <v>46033</v>
      </c>
      <c r="B1849" t="s">
        <v>198</v>
      </c>
    </row>
    <row r="1850" spans="1:2">
      <c r="A1850">
        <v>46038</v>
      </c>
      <c r="B1850" t="s">
        <v>198</v>
      </c>
    </row>
    <row r="1851" spans="1:2">
      <c r="A1851">
        <v>46062</v>
      </c>
      <c r="B1851" t="s">
        <v>198</v>
      </c>
    </row>
    <row r="1852" spans="1:2">
      <c r="A1852">
        <v>46220</v>
      </c>
      <c r="B1852" t="s">
        <v>198</v>
      </c>
    </row>
    <row r="1853" spans="1:2">
      <c r="A1853">
        <v>46226</v>
      </c>
      <c r="B1853" t="s">
        <v>198</v>
      </c>
    </row>
    <row r="1854" spans="1:2">
      <c r="A1854">
        <v>46240</v>
      </c>
      <c r="B1854" t="s">
        <v>198</v>
      </c>
    </row>
    <row r="1855" spans="1:2">
      <c r="A1855">
        <v>46250</v>
      </c>
      <c r="B1855" t="s">
        <v>198</v>
      </c>
    </row>
    <row r="1856" spans="1:2">
      <c r="A1856">
        <v>46037</v>
      </c>
      <c r="B1856" t="s">
        <v>198</v>
      </c>
    </row>
    <row r="1857" spans="1:2">
      <c r="A1857">
        <v>46055</v>
      </c>
      <c r="B1857" t="s">
        <v>198</v>
      </c>
    </row>
    <row r="1858" spans="1:2">
      <c r="A1858">
        <v>46236</v>
      </c>
      <c r="B1858" t="s">
        <v>198</v>
      </c>
    </row>
    <row r="1859" spans="1:2">
      <c r="A1859">
        <v>46256</v>
      </c>
      <c r="B1859" t="s">
        <v>198</v>
      </c>
    </row>
    <row r="1860" spans="1:2">
      <c r="A1860">
        <v>46239</v>
      </c>
      <c r="B1860" t="s">
        <v>198</v>
      </c>
    </row>
    <row r="1861" spans="1:2">
      <c r="A1861">
        <v>46259</v>
      </c>
      <c r="B1861" t="s">
        <v>198</v>
      </c>
    </row>
    <row r="1862" spans="1:2">
      <c r="A1862">
        <v>46202</v>
      </c>
      <c r="B1862" t="s">
        <v>198</v>
      </c>
    </row>
    <row r="1863" spans="1:2">
      <c r="A1863">
        <v>46208</v>
      </c>
      <c r="B1863" t="s">
        <v>198</v>
      </c>
    </row>
    <row r="1864" spans="1:2">
      <c r="A1864">
        <v>46140</v>
      </c>
      <c r="B1864" t="s">
        <v>198</v>
      </c>
    </row>
    <row r="1865" spans="1:2">
      <c r="A1865">
        <v>46060</v>
      </c>
      <c r="B1865" t="s">
        <v>198</v>
      </c>
    </row>
    <row r="1866" spans="1:2">
      <c r="A1866">
        <v>46131</v>
      </c>
      <c r="B1866" t="s">
        <v>198</v>
      </c>
    </row>
    <row r="1867" spans="1:2">
      <c r="A1867">
        <v>46151</v>
      </c>
      <c r="B1867" t="s">
        <v>198</v>
      </c>
    </row>
    <row r="1868" spans="1:2">
      <c r="A1868">
        <v>46176</v>
      </c>
      <c r="B1868" t="s">
        <v>198</v>
      </c>
    </row>
    <row r="1869" spans="1:2">
      <c r="A1869">
        <v>46158</v>
      </c>
      <c r="B1869" t="s">
        <v>198</v>
      </c>
    </row>
    <row r="1870" spans="1:2">
      <c r="A1870">
        <v>46052</v>
      </c>
      <c r="B1870" t="s">
        <v>198</v>
      </c>
    </row>
    <row r="1871" spans="1:2">
      <c r="A1871">
        <v>46013</v>
      </c>
      <c r="B1871" t="s">
        <v>198</v>
      </c>
    </row>
    <row r="1872" spans="1:2">
      <c r="A1872">
        <v>46040</v>
      </c>
      <c r="B1872" t="s">
        <v>198</v>
      </c>
    </row>
    <row r="1873" spans="1:2">
      <c r="A1873">
        <v>46113</v>
      </c>
      <c r="B1873" t="s">
        <v>198</v>
      </c>
    </row>
    <row r="1874" spans="1:2">
      <c r="A1874">
        <v>46011</v>
      </c>
      <c r="B1874" t="s">
        <v>198</v>
      </c>
    </row>
    <row r="1875" spans="1:2">
      <c r="A1875">
        <v>46064</v>
      </c>
      <c r="B1875" t="s">
        <v>198</v>
      </c>
    </row>
    <row r="1876" spans="1:2">
      <c r="A1876">
        <v>46075</v>
      </c>
      <c r="B1876" t="s">
        <v>198</v>
      </c>
    </row>
    <row r="1877" spans="1:2">
      <c r="A1877">
        <v>46163</v>
      </c>
      <c r="B1877" t="s">
        <v>198</v>
      </c>
    </row>
    <row r="1878" spans="1:2">
      <c r="A1878">
        <v>46391</v>
      </c>
      <c r="B1878" t="s">
        <v>198</v>
      </c>
    </row>
    <row r="1879" spans="1:2">
      <c r="A1879">
        <v>46350</v>
      </c>
      <c r="B1879" t="s">
        <v>198</v>
      </c>
    </row>
    <row r="1880" spans="1:2">
      <c r="A1880">
        <v>46360</v>
      </c>
      <c r="B1880" t="s">
        <v>198</v>
      </c>
    </row>
    <row r="1881" spans="1:2">
      <c r="A1881">
        <v>46371</v>
      </c>
      <c r="B1881" t="s">
        <v>198</v>
      </c>
    </row>
    <row r="1882" spans="1:2">
      <c r="A1882">
        <v>46534</v>
      </c>
      <c r="B1882" t="s">
        <v>198</v>
      </c>
    </row>
    <row r="1883" spans="1:2">
      <c r="A1883">
        <v>46574</v>
      </c>
      <c r="B1883" t="s">
        <v>198</v>
      </c>
    </row>
    <row r="1884" spans="1:2">
      <c r="A1884">
        <v>47901</v>
      </c>
      <c r="B1884" t="s">
        <v>198</v>
      </c>
    </row>
    <row r="1885" spans="1:2">
      <c r="A1885">
        <v>47902</v>
      </c>
      <c r="B1885" t="s">
        <v>198</v>
      </c>
    </row>
    <row r="1886" spans="1:2">
      <c r="A1886">
        <v>47903</v>
      </c>
      <c r="B1886" t="s">
        <v>198</v>
      </c>
    </row>
    <row r="1887" spans="1:2">
      <c r="A1887">
        <v>47904</v>
      </c>
      <c r="B1887" t="s">
        <v>198</v>
      </c>
    </row>
    <row r="1888" spans="1:2">
      <c r="A1888">
        <v>47905</v>
      </c>
      <c r="B1888" t="s">
        <v>198</v>
      </c>
    </row>
    <row r="1889" spans="1:2">
      <c r="A1889">
        <v>47909</v>
      </c>
      <c r="B1889" t="s">
        <v>198</v>
      </c>
    </row>
    <row r="1890" spans="1:2">
      <c r="A1890">
        <v>47941</v>
      </c>
      <c r="B1890" t="s">
        <v>198</v>
      </c>
    </row>
    <row r="1891" spans="1:2">
      <c r="A1891">
        <v>47401</v>
      </c>
      <c r="B1891" t="s">
        <v>198</v>
      </c>
    </row>
    <row r="1892" spans="1:2">
      <c r="A1892">
        <v>47403</v>
      </c>
      <c r="B1892" t="s">
        <v>198</v>
      </c>
    </row>
    <row r="1893" spans="1:2">
      <c r="A1893">
        <v>47404</v>
      </c>
      <c r="B1893" t="s">
        <v>198</v>
      </c>
    </row>
    <row r="1894" spans="1:2">
      <c r="A1894">
        <v>47405</v>
      </c>
      <c r="B1894" t="s">
        <v>198</v>
      </c>
    </row>
    <row r="1895" spans="1:2">
      <c r="A1895">
        <v>47406</v>
      </c>
      <c r="B1895" t="s">
        <v>198</v>
      </c>
    </row>
    <row r="1896" spans="1:2">
      <c r="A1896">
        <v>47408</v>
      </c>
      <c r="B1896" t="s">
        <v>198</v>
      </c>
    </row>
    <row r="1897" spans="1:2">
      <c r="A1897">
        <v>45069</v>
      </c>
      <c r="B1897" t="s">
        <v>198</v>
      </c>
    </row>
    <row r="1898" spans="1:2">
      <c r="A1898">
        <v>41017</v>
      </c>
      <c r="B1898" t="s">
        <v>198</v>
      </c>
    </row>
    <row r="1899" spans="1:2">
      <c r="A1899">
        <v>45036</v>
      </c>
      <c r="B1899" t="s">
        <v>198</v>
      </c>
    </row>
    <row r="1900" spans="1:2">
      <c r="A1900">
        <v>41042</v>
      </c>
      <c r="B1900" t="s">
        <v>198</v>
      </c>
    </row>
    <row r="1901" spans="1:2">
      <c r="A1901">
        <v>45238</v>
      </c>
      <c r="B1901" t="s">
        <v>198</v>
      </c>
    </row>
    <row r="1902" spans="1:2">
      <c r="A1902">
        <v>45039</v>
      </c>
      <c r="B1902" t="s">
        <v>198</v>
      </c>
    </row>
    <row r="1903" spans="1:2">
      <c r="A1903">
        <v>45342</v>
      </c>
      <c r="B1903" t="s">
        <v>198</v>
      </c>
    </row>
    <row r="1904" spans="1:2">
      <c r="A1904">
        <v>45066</v>
      </c>
      <c r="B1904" t="s">
        <v>198</v>
      </c>
    </row>
    <row r="1905" spans="1:2">
      <c r="A1905">
        <v>45244</v>
      </c>
      <c r="B1905" t="s">
        <v>198</v>
      </c>
    </row>
    <row r="1906" spans="1:2">
      <c r="A1906">
        <v>45005</v>
      </c>
      <c r="B1906" t="s">
        <v>198</v>
      </c>
    </row>
    <row r="1907" spans="1:2">
      <c r="A1907">
        <v>41051</v>
      </c>
      <c r="B1907" t="s">
        <v>198</v>
      </c>
    </row>
    <row r="1908" spans="1:2">
      <c r="A1908">
        <v>45150</v>
      </c>
      <c r="B1908" t="s">
        <v>198</v>
      </c>
    </row>
    <row r="1909" spans="1:2">
      <c r="A1909">
        <v>45103</v>
      </c>
      <c r="B1909" t="s">
        <v>198</v>
      </c>
    </row>
    <row r="1910" spans="1:2">
      <c r="A1910">
        <v>45248</v>
      </c>
      <c r="B1910" t="s">
        <v>198</v>
      </c>
    </row>
    <row r="1911" spans="1:2">
      <c r="A1911">
        <v>41001</v>
      </c>
      <c r="B1911" t="s">
        <v>198</v>
      </c>
    </row>
    <row r="1912" spans="1:2">
      <c r="A1912">
        <v>45042</v>
      </c>
      <c r="B1912" t="s">
        <v>198</v>
      </c>
    </row>
    <row r="1913" spans="1:2">
      <c r="A1913">
        <v>45239</v>
      </c>
      <c r="B1913" t="s">
        <v>198</v>
      </c>
    </row>
    <row r="1914" spans="1:2">
      <c r="A1914">
        <v>45245</v>
      </c>
      <c r="B1914" t="s">
        <v>198</v>
      </c>
    </row>
    <row r="1915" spans="1:2">
      <c r="A1915">
        <v>45344</v>
      </c>
      <c r="B1915" t="s">
        <v>198</v>
      </c>
    </row>
    <row r="1916" spans="1:2">
      <c r="A1916">
        <v>45356</v>
      </c>
      <c r="B1916" t="s">
        <v>198</v>
      </c>
    </row>
    <row r="1917" spans="1:2">
      <c r="A1917">
        <v>45371</v>
      </c>
      <c r="B1917" t="s">
        <v>198</v>
      </c>
    </row>
    <row r="1918" spans="1:2">
      <c r="A1918">
        <v>45373</v>
      </c>
      <c r="B1918" t="s">
        <v>198</v>
      </c>
    </row>
    <row r="1919" spans="1:2">
      <c r="A1919">
        <v>45385</v>
      </c>
      <c r="B1919" t="s">
        <v>198</v>
      </c>
    </row>
    <row r="1920" spans="1:2">
      <c r="A1920">
        <v>45236</v>
      </c>
      <c r="B1920" t="s">
        <v>198</v>
      </c>
    </row>
    <row r="1921" spans="1:2">
      <c r="A1921">
        <v>45324</v>
      </c>
      <c r="B1921" t="s">
        <v>198</v>
      </c>
    </row>
    <row r="1922" spans="1:2">
      <c r="A1922">
        <v>45431</v>
      </c>
      <c r="B1922" t="s">
        <v>198</v>
      </c>
    </row>
    <row r="1923" spans="1:2">
      <c r="A1923">
        <v>41018</v>
      </c>
      <c r="B1923" t="s">
        <v>198</v>
      </c>
    </row>
    <row r="1924" spans="1:2">
      <c r="A1924">
        <v>45014</v>
      </c>
      <c r="B1924" t="s">
        <v>198</v>
      </c>
    </row>
    <row r="1925" spans="1:2">
      <c r="A1925">
        <v>45211</v>
      </c>
      <c r="B1925" t="s">
        <v>198</v>
      </c>
    </row>
    <row r="1926" spans="1:2">
      <c r="A1926">
        <v>45215</v>
      </c>
      <c r="B1926" t="s">
        <v>198</v>
      </c>
    </row>
    <row r="1927" spans="1:2">
      <c r="A1927">
        <v>45067</v>
      </c>
      <c r="B1927" t="s">
        <v>198</v>
      </c>
    </row>
    <row r="1928" spans="1:2">
      <c r="A1928">
        <v>45102</v>
      </c>
      <c r="B1928" t="s">
        <v>198</v>
      </c>
    </row>
    <row r="1929" spans="1:2">
      <c r="A1929">
        <v>45322</v>
      </c>
      <c r="B1929" t="s">
        <v>198</v>
      </c>
    </row>
    <row r="1930" spans="1:2">
      <c r="A1930">
        <v>45420</v>
      </c>
      <c r="B1930" t="s">
        <v>198</v>
      </c>
    </row>
    <row r="1931" spans="1:2">
      <c r="A1931">
        <v>45459</v>
      </c>
      <c r="B1931" t="s">
        <v>198</v>
      </c>
    </row>
    <row r="1932" spans="1:2">
      <c r="A1932">
        <v>45157</v>
      </c>
      <c r="B1932" t="s">
        <v>198</v>
      </c>
    </row>
    <row r="1933" spans="1:2">
      <c r="A1933">
        <v>45202</v>
      </c>
      <c r="B1933" t="s">
        <v>198</v>
      </c>
    </row>
    <row r="1934" spans="1:2">
      <c r="A1934">
        <v>45230</v>
      </c>
      <c r="B1934" t="s">
        <v>198</v>
      </c>
    </row>
    <row r="1935" spans="1:2">
      <c r="A1935">
        <v>45231</v>
      </c>
      <c r="B1935" t="s">
        <v>198</v>
      </c>
    </row>
    <row r="1936" spans="1:2">
      <c r="A1936">
        <v>45240</v>
      </c>
      <c r="B1936" t="s">
        <v>198</v>
      </c>
    </row>
    <row r="1937" spans="1:2">
      <c r="A1937">
        <v>45255</v>
      </c>
      <c r="B1937" t="s">
        <v>198</v>
      </c>
    </row>
    <row r="1938" spans="1:2">
      <c r="A1938">
        <v>45414</v>
      </c>
      <c r="B1938" t="s">
        <v>198</v>
      </c>
    </row>
    <row r="1939" spans="1:2">
      <c r="A1939">
        <v>45440</v>
      </c>
      <c r="B1939" t="s">
        <v>198</v>
      </c>
    </row>
    <row r="1940" spans="1:2">
      <c r="A1940">
        <v>45503</v>
      </c>
      <c r="B1940" t="s">
        <v>198</v>
      </c>
    </row>
    <row r="1941" spans="1:2">
      <c r="A1941">
        <v>41005</v>
      </c>
      <c r="B1941" t="s">
        <v>198</v>
      </c>
    </row>
    <row r="1942" spans="1:2">
      <c r="A1942">
        <v>41011</v>
      </c>
      <c r="B1942" t="s">
        <v>198</v>
      </c>
    </row>
    <row r="1943" spans="1:2">
      <c r="A1943">
        <v>41076</v>
      </c>
      <c r="B1943" t="s">
        <v>198</v>
      </c>
    </row>
    <row r="1944" spans="1:2">
      <c r="A1944">
        <v>45002</v>
      </c>
      <c r="B1944" t="s">
        <v>198</v>
      </c>
    </row>
    <row r="1945" spans="1:2">
      <c r="A1945">
        <v>45233</v>
      </c>
      <c r="B1945" t="s">
        <v>198</v>
      </c>
    </row>
    <row r="1946" spans="1:2">
      <c r="A1946">
        <v>45424</v>
      </c>
      <c r="B1946" t="s">
        <v>198</v>
      </c>
    </row>
    <row r="1947" spans="1:2">
      <c r="A1947">
        <v>45429</v>
      </c>
      <c r="B1947" t="s">
        <v>198</v>
      </c>
    </row>
    <row r="1948" spans="1:2">
      <c r="A1948">
        <v>45177</v>
      </c>
      <c r="B1948" t="s">
        <v>198</v>
      </c>
    </row>
    <row r="1949" spans="1:2">
      <c r="A1949">
        <v>45208</v>
      </c>
      <c r="B1949" t="s">
        <v>198</v>
      </c>
    </row>
    <row r="1950" spans="1:2">
      <c r="A1950">
        <v>45212</v>
      </c>
      <c r="B1950" t="s">
        <v>198</v>
      </c>
    </row>
    <row r="1951" spans="1:2">
      <c r="A1951">
        <v>45242</v>
      </c>
      <c r="B1951" t="s">
        <v>198</v>
      </c>
    </row>
    <row r="1952" spans="1:2">
      <c r="A1952">
        <v>45251</v>
      </c>
      <c r="B1952" t="s">
        <v>198</v>
      </c>
    </row>
    <row r="1953" spans="1:2">
      <c r="A1953">
        <v>45406</v>
      </c>
      <c r="B1953" t="s">
        <v>198</v>
      </c>
    </row>
    <row r="1954" spans="1:2">
      <c r="A1954">
        <v>45247</v>
      </c>
      <c r="B1954" t="s">
        <v>198</v>
      </c>
    </row>
    <row r="1955" spans="1:2">
      <c r="A1955">
        <v>45365</v>
      </c>
      <c r="B1955" t="s">
        <v>198</v>
      </c>
    </row>
    <row r="1956" spans="1:2">
      <c r="A1956">
        <v>45432</v>
      </c>
      <c r="B1956" t="s">
        <v>198</v>
      </c>
    </row>
    <row r="1957" spans="1:2">
      <c r="A1957">
        <v>41075</v>
      </c>
      <c r="B1957" t="s">
        <v>198</v>
      </c>
    </row>
    <row r="1958" spans="1:2">
      <c r="A1958">
        <v>41091</v>
      </c>
      <c r="B1958" t="s">
        <v>198</v>
      </c>
    </row>
    <row r="1959" spans="1:2">
      <c r="A1959">
        <v>45030</v>
      </c>
      <c r="B1959" t="s">
        <v>198</v>
      </c>
    </row>
    <row r="1960" spans="1:2">
      <c r="A1960">
        <v>45152</v>
      </c>
      <c r="B1960" t="s">
        <v>198</v>
      </c>
    </row>
    <row r="1961" spans="1:2">
      <c r="A1961">
        <v>45243</v>
      </c>
      <c r="B1961" t="s">
        <v>198</v>
      </c>
    </row>
    <row r="1962" spans="1:2">
      <c r="A1962">
        <v>45377</v>
      </c>
      <c r="B1962" t="s">
        <v>198</v>
      </c>
    </row>
    <row r="1963" spans="1:2">
      <c r="A1963">
        <v>45504</v>
      </c>
      <c r="B1963" t="s">
        <v>198</v>
      </c>
    </row>
    <row r="1964" spans="1:2">
      <c r="A1964">
        <v>41015</v>
      </c>
      <c r="B1964" t="s">
        <v>198</v>
      </c>
    </row>
    <row r="1965" spans="1:2">
      <c r="A1965">
        <v>41035</v>
      </c>
      <c r="B1965" t="s">
        <v>198</v>
      </c>
    </row>
    <row r="1966" spans="1:2">
      <c r="A1966">
        <v>45107</v>
      </c>
      <c r="B1966" t="s">
        <v>198</v>
      </c>
    </row>
    <row r="1967" spans="1:2">
      <c r="A1967">
        <v>45434</v>
      </c>
      <c r="B1967" t="s">
        <v>198</v>
      </c>
    </row>
    <row r="1968" spans="1:2">
      <c r="A1968">
        <v>45439</v>
      </c>
      <c r="B1968" t="s">
        <v>198</v>
      </c>
    </row>
    <row r="1969" spans="1:2">
      <c r="A1969">
        <v>45449</v>
      </c>
      <c r="B1969" t="s">
        <v>198</v>
      </c>
    </row>
    <row r="1970" spans="1:2">
      <c r="A1970">
        <v>45154</v>
      </c>
      <c r="B1970" t="s">
        <v>198</v>
      </c>
    </row>
    <row r="1971" spans="1:2">
      <c r="A1971">
        <v>45241</v>
      </c>
      <c r="B1971" t="s">
        <v>198</v>
      </c>
    </row>
    <row r="1972" spans="1:2">
      <c r="A1972">
        <v>45417</v>
      </c>
      <c r="B1972" t="s">
        <v>198</v>
      </c>
    </row>
    <row r="1973" spans="1:2">
      <c r="A1973">
        <v>45502</v>
      </c>
      <c r="B1973" t="s">
        <v>198</v>
      </c>
    </row>
    <row r="1974" spans="1:2">
      <c r="A1974">
        <v>41071</v>
      </c>
      <c r="B1974" t="s">
        <v>198</v>
      </c>
    </row>
    <row r="1975" spans="1:2">
      <c r="A1975">
        <v>45015</v>
      </c>
      <c r="B1975" t="s">
        <v>198</v>
      </c>
    </row>
    <row r="1976" spans="1:2">
      <c r="A1976">
        <v>45106</v>
      </c>
      <c r="B1976" t="s">
        <v>198</v>
      </c>
    </row>
    <row r="1977" spans="1:2">
      <c r="A1977">
        <v>45176</v>
      </c>
      <c r="B1977" t="s">
        <v>198</v>
      </c>
    </row>
    <row r="1978" spans="1:2">
      <c r="A1978">
        <v>45214</v>
      </c>
      <c r="B1978" t="s">
        <v>198</v>
      </c>
    </row>
    <row r="1979" spans="1:2">
      <c r="A1979">
        <v>45224</v>
      </c>
      <c r="B1979" t="s">
        <v>198</v>
      </c>
    </row>
    <row r="1980" spans="1:2">
      <c r="A1980">
        <v>45227</v>
      </c>
      <c r="B1980" t="s">
        <v>198</v>
      </c>
    </row>
    <row r="1981" spans="1:2">
      <c r="A1981">
        <v>45309</v>
      </c>
      <c r="B1981" t="s">
        <v>198</v>
      </c>
    </row>
    <row r="1982" spans="1:2">
      <c r="A1982">
        <v>45335</v>
      </c>
      <c r="B1982" t="s">
        <v>198</v>
      </c>
    </row>
    <row r="1983" spans="1:2">
      <c r="A1983">
        <v>45410</v>
      </c>
      <c r="B1983" t="s">
        <v>198</v>
      </c>
    </row>
    <row r="1984" spans="1:2">
      <c r="A1984">
        <v>45426</v>
      </c>
      <c r="B1984" t="s">
        <v>198</v>
      </c>
    </row>
    <row r="1985" spans="1:2">
      <c r="A1985">
        <v>45430</v>
      </c>
      <c r="B1985" t="s">
        <v>198</v>
      </c>
    </row>
    <row r="1986" spans="1:2">
      <c r="A1986">
        <v>45505</v>
      </c>
      <c r="B1986" t="s">
        <v>198</v>
      </c>
    </row>
    <row r="1987" spans="1:2">
      <c r="A1987">
        <v>41030</v>
      </c>
      <c r="B1987" t="s">
        <v>198</v>
      </c>
    </row>
    <row r="1988" spans="1:2">
      <c r="A1988">
        <v>45050</v>
      </c>
      <c r="B1988" t="s">
        <v>198</v>
      </c>
    </row>
    <row r="1989" spans="1:2">
      <c r="A1989">
        <v>45122</v>
      </c>
      <c r="B1989" t="s">
        <v>198</v>
      </c>
    </row>
    <row r="1990" spans="1:2">
      <c r="A1990">
        <v>45226</v>
      </c>
      <c r="B1990" t="s">
        <v>198</v>
      </c>
    </row>
    <row r="1991" spans="1:2">
      <c r="A1991">
        <v>45237</v>
      </c>
      <c r="B1991" t="s">
        <v>198</v>
      </c>
    </row>
    <row r="1992" spans="1:2">
      <c r="A1992">
        <v>45246</v>
      </c>
      <c r="B1992" t="s">
        <v>198</v>
      </c>
    </row>
    <row r="1993" spans="1:2">
      <c r="A1993">
        <v>45249</v>
      </c>
      <c r="B1993" t="s">
        <v>198</v>
      </c>
    </row>
    <row r="1994" spans="1:2">
      <c r="A1994">
        <v>45458</v>
      </c>
      <c r="B1994" t="s">
        <v>198</v>
      </c>
    </row>
    <row r="1995" spans="1:2">
      <c r="A1995">
        <v>45252</v>
      </c>
      <c r="B1995" t="s">
        <v>198</v>
      </c>
    </row>
    <row r="1996" spans="1:2">
      <c r="A1996">
        <v>45140</v>
      </c>
      <c r="B1996" t="s">
        <v>198</v>
      </c>
    </row>
    <row r="1997" spans="1:2">
      <c r="A1997">
        <v>45040</v>
      </c>
      <c r="B1997" t="s">
        <v>198</v>
      </c>
    </row>
    <row r="1998" spans="1:2">
      <c r="A1998">
        <v>45381</v>
      </c>
      <c r="B1998" t="s">
        <v>198</v>
      </c>
    </row>
    <row r="1999" spans="1:2">
      <c r="A1999">
        <v>45311</v>
      </c>
      <c r="B1999" t="s">
        <v>198</v>
      </c>
    </row>
    <row r="2000" spans="1:2">
      <c r="A2000">
        <v>45325</v>
      </c>
      <c r="B2000" t="s">
        <v>198</v>
      </c>
    </row>
    <row r="2001" spans="1:2">
      <c r="A2001">
        <v>45327</v>
      </c>
      <c r="B2001" t="s">
        <v>198</v>
      </c>
    </row>
    <row r="2002" spans="1:2">
      <c r="A2002">
        <v>45068</v>
      </c>
      <c r="B2002" t="s">
        <v>198</v>
      </c>
    </row>
    <row r="2003" spans="1:2">
      <c r="A2003">
        <v>45044</v>
      </c>
      <c r="B2003" t="s">
        <v>198</v>
      </c>
    </row>
    <row r="2004" spans="1:2">
      <c r="A2004">
        <v>45011</v>
      </c>
      <c r="B2004" t="s">
        <v>198</v>
      </c>
    </row>
    <row r="2005" spans="1:2">
      <c r="A2005">
        <v>45419</v>
      </c>
      <c r="B2005" t="s">
        <v>198</v>
      </c>
    </row>
    <row r="2006" spans="1:2">
      <c r="A2006">
        <v>45368</v>
      </c>
      <c r="B2006" t="s">
        <v>198</v>
      </c>
    </row>
    <row r="2007" spans="1:2">
      <c r="A2007">
        <v>45314</v>
      </c>
      <c r="B2007" t="s">
        <v>198</v>
      </c>
    </row>
    <row r="2008" spans="1:2">
      <c r="A2008">
        <v>45148</v>
      </c>
      <c r="B2008" t="s">
        <v>198</v>
      </c>
    </row>
    <row r="2009" spans="1:2">
      <c r="A2009">
        <v>45162</v>
      </c>
      <c r="B2009" t="s">
        <v>198</v>
      </c>
    </row>
    <row r="2010" spans="1:2">
      <c r="A2010">
        <v>45380</v>
      </c>
      <c r="B2010" t="s">
        <v>198</v>
      </c>
    </row>
    <row r="2011" spans="1:2">
      <c r="A2011">
        <v>45308</v>
      </c>
      <c r="B2011" t="s">
        <v>198</v>
      </c>
    </row>
    <row r="2012" spans="1:2">
      <c r="A2012">
        <v>45346</v>
      </c>
      <c r="B2012" t="s">
        <v>198</v>
      </c>
    </row>
    <row r="2013" spans="1:2">
      <c r="A2013">
        <v>45304</v>
      </c>
      <c r="B2013" t="s">
        <v>198</v>
      </c>
    </row>
    <row r="2014" spans="1:2">
      <c r="A2014">
        <v>45318</v>
      </c>
      <c r="B2014" t="s">
        <v>198</v>
      </c>
    </row>
    <row r="2015" spans="1:2">
      <c r="A2015">
        <v>45333</v>
      </c>
      <c r="B2015" t="s">
        <v>198</v>
      </c>
    </row>
    <row r="2016" spans="1:2">
      <c r="A2016">
        <v>45306</v>
      </c>
      <c r="B2016" t="s">
        <v>198</v>
      </c>
    </row>
    <row r="2017" spans="1:2">
      <c r="A2017">
        <v>45302</v>
      </c>
      <c r="B2017" t="s">
        <v>198</v>
      </c>
    </row>
    <row r="2018" spans="1:2">
      <c r="A2018">
        <v>45305</v>
      </c>
      <c r="B2018" t="s">
        <v>198</v>
      </c>
    </row>
    <row r="2019" spans="1:2">
      <c r="A2019">
        <v>45315</v>
      </c>
      <c r="B2019" t="s">
        <v>198</v>
      </c>
    </row>
    <row r="2020" spans="1:2">
      <c r="A2020">
        <v>45338</v>
      </c>
      <c r="B2020" t="s">
        <v>198</v>
      </c>
    </row>
    <row r="2021" spans="1:2">
      <c r="A2021">
        <v>45383</v>
      </c>
      <c r="B2021" t="s">
        <v>198</v>
      </c>
    </row>
    <row r="2022" spans="1:2">
      <c r="A2022">
        <v>45387</v>
      </c>
      <c r="B2022" t="s">
        <v>198</v>
      </c>
    </row>
    <row r="2023" spans="1:2">
      <c r="A2023">
        <v>45405</v>
      </c>
      <c r="B2023" t="s">
        <v>198</v>
      </c>
    </row>
    <row r="2024" spans="1:2">
      <c r="A2024">
        <v>45409</v>
      </c>
      <c r="B2024" t="s">
        <v>198</v>
      </c>
    </row>
    <row r="2025" spans="1:2">
      <c r="A2025">
        <v>45415</v>
      </c>
      <c r="B2025" t="s">
        <v>198</v>
      </c>
    </row>
    <row r="2026" spans="1:2">
      <c r="A2026">
        <v>62002</v>
      </c>
      <c r="B2026" t="s">
        <v>198</v>
      </c>
    </row>
    <row r="2027" spans="1:2">
      <c r="A2027">
        <v>62010</v>
      </c>
      <c r="B2027" t="s">
        <v>198</v>
      </c>
    </row>
    <row r="2028" spans="1:2">
      <c r="A2028">
        <v>62025</v>
      </c>
      <c r="B2028" t="s">
        <v>198</v>
      </c>
    </row>
    <row r="2029" spans="1:2">
      <c r="A2029">
        <v>62034</v>
      </c>
      <c r="B2029" t="s">
        <v>198</v>
      </c>
    </row>
    <row r="2030" spans="1:2">
      <c r="A2030">
        <v>62035</v>
      </c>
      <c r="B2030" t="s">
        <v>198</v>
      </c>
    </row>
    <row r="2031" spans="1:2">
      <c r="A2031">
        <v>62040</v>
      </c>
      <c r="B2031" t="s">
        <v>198</v>
      </c>
    </row>
    <row r="2032" spans="1:2">
      <c r="A2032">
        <v>62208</v>
      </c>
      <c r="B2032" t="s">
        <v>198</v>
      </c>
    </row>
    <row r="2033" spans="1:2">
      <c r="A2033">
        <v>62221</v>
      </c>
      <c r="B2033" t="s">
        <v>198</v>
      </c>
    </row>
    <row r="2034" spans="1:2">
      <c r="A2034">
        <v>62223</v>
      </c>
      <c r="B2034" t="s">
        <v>198</v>
      </c>
    </row>
    <row r="2035" spans="1:2">
      <c r="A2035">
        <v>62226</v>
      </c>
      <c r="B2035" t="s">
        <v>198</v>
      </c>
    </row>
    <row r="2036" spans="1:2">
      <c r="A2036">
        <v>62234</v>
      </c>
      <c r="B2036" t="s">
        <v>198</v>
      </c>
    </row>
    <row r="2037" spans="1:2">
      <c r="A2037">
        <v>62269</v>
      </c>
      <c r="B2037" t="s">
        <v>198</v>
      </c>
    </row>
    <row r="2038" spans="1:2">
      <c r="A2038">
        <v>62294</v>
      </c>
      <c r="B2038" t="s">
        <v>198</v>
      </c>
    </row>
    <row r="2039" spans="1:2">
      <c r="A2039">
        <v>63005</v>
      </c>
      <c r="B2039" t="s">
        <v>198</v>
      </c>
    </row>
    <row r="2040" spans="1:2">
      <c r="A2040">
        <v>63011</v>
      </c>
      <c r="B2040" t="s">
        <v>198</v>
      </c>
    </row>
    <row r="2041" spans="1:2">
      <c r="A2041">
        <v>63017</v>
      </c>
      <c r="B2041" t="s">
        <v>198</v>
      </c>
    </row>
    <row r="2042" spans="1:2">
      <c r="A2042">
        <v>63021</v>
      </c>
      <c r="B2042" t="s">
        <v>198</v>
      </c>
    </row>
    <row r="2043" spans="1:2">
      <c r="A2043">
        <v>63043</v>
      </c>
      <c r="B2043" t="s">
        <v>198</v>
      </c>
    </row>
    <row r="2044" spans="1:2">
      <c r="A2044">
        <v>63122</v>
      </c>
      <c r="B2044" t="s">
        <v>198</v>
      </c>
    </row>
    <row r="2045" spans="1:2">
      <c r="A2045">
        <v>63131</v>
      </c>
      <c r="B2045" t="s">
        <v>198</v>
      </c>
    </row>
    <row r="2046" spans="1:2">
      <c r="A2046">
        <v>63141</v>
      </c>
      <c r="B2046" t="s">
        <v>198</v>
      </c>
    </row>
    <row r="2047" spans="1:2">
      <c r="A2047">
        <v>63146</v>
      </c>
      <c r="B2047" t="s">
        <v>198</v>
      </c>
    </row>
    <row r="2048" spans="1:2">
      <c r="A2048">
        <v>63303</v>
      </c>
      <c r="B2048" t="s">
        <v>198</v>
      </c>
    </row>
    <row r="2049" spans="1:2">
      <c r="A2049">
        <v>63304</v>
      </c>
      <c r="B2049" t="s">
        <v>198</v>
      </c>
    </row>
    <row r="2050" spans="1:2">
      <c r="A2050">
        <v>63368</v>
      </c>
      <c r="B2050" t="s">
        <v>198</v>
      </c>
    </row>
    <row r="2051" spans="1:2">
      <c r="A2051">
        <v>63010</v>
      </c>
      <c r="B2051" t="s">
        <v>198</v>
      </c>
    </row>
    <row r="2052" spans="1:2">
      <c r="A2052">
        <v>63026</v>
      </c>
      <c r="B2052" t="s">
        <v>198</v>
      </c>
    </row>
    <row r="2053" spans="1:2">
      <c r="A2053">
        <v>63051</v>
      </c>
      <c r="B2053" t="s">
        <v>198</v>
      </c>
    </row>
    <row r="2054" spans="1:2">
      <c r="A2054">
        <v>63104</v>
      </c>
      <c r="B2054" t="s">
        <v>198</v>
      </c>
    </row>
    <row r="2055" spans="1:2">
      <c r="A2055">
        <v>63108</v>
      </c>
      <c r="B2055" t="s">
        <v>198</v>
      </c>
    </row>
    <row r="2056" spans="1:2">
      <c r="A2056">
        <v>63109</v>
      </c>
      <c r="B2056" t="s">
        <v>198</v>
      </c>
    </row>
    <row r="2057" spans="1:2">
      <c r="A2057">
        <v>63116</v>
      </c>
      <c r="B2057" t="s">
        <v>198</v>
      </c>
    </row>
    <row r="2058" spans="1:2">
      <c r="A2058">
        <v>63118</v>
      </c>
      <c r="B2058" t="s">
        <v>198</v>
      </c>
    </row>
    <row r="2059" spans="1:2">
      <c r="A2059">
        <v>63119</v>
      </c>
      <c r="B2059" t="s">
        <v>198</v>
      </c>
    </row>
    <row r="2060" spans="1:2">
      <c r="A2060">
        <v>63123</v>
      </c>
      <c r="B2060" t="s">
        <v>198</v>
      </c>
    </row>
    <row r="2061" spans="1:2">
      <c r="A2061">
        <v>63125</v>
      </c>
      <c r="B2061" t="s">
        <v>198</v>
      </c>
    </row>
    <row r="2062" spans="1:2">
      <c r="A2062">
        <v>63128</v>
      </c>
      <c r="B2062" t="s">
        <v>198</v>
      </c>
    </row>
    <row r="2063" spans="1:2">
      <c r="A2063">
        <v>63129</v>
      </c>
      <c r="B2063" t="s">
        <v>198</v>
      </c>
    </row>
    <row r="2064" spans="1:2">
      <c r="A2064">
        <v>63139</v>
      </c>
      <c r="B2064" t="s">
        <v>198</v>
      </c>
    </row>
    <row r="2065" spans="1:2">
      <c r="A2065">
        <v>63143</v>
      </c>
      <c r="B2065" t="s">
        <v>198</v>
      </c>
    </row>
    <row r="2066" spans="1:2">
      <c r="A2066">
        <v>63031</v>
      </c>
      <c r="B2066" t="s">
        <v>198</v>
      </c>
    </row>
    <row r="2067" spans="1:2">
      <c r="A2067">
        <v>63033</v>
      </c>
      <c r="B2067" t="s">
        <v>198</v>
      </c>
    </row>
    <row r="2068" spans="1:2">
      <c r="A2068">
        <v>63034</v>
      </c>
      <c r="B2068" t="s">
        <v>198</v>
      </c>
    </row>
    <row r="2069" spans="1:2">
      <c r="A2069">
        <v>63042</v>
      </c>
      <c r="B2069" t="s">
        <v>198</v>
      </c>
    </row>
    <row r="2070" spans="1:2">
      <c r="A2070">
        <v>63114</v>
      </c>
      <c r="B2070" t="s">
        <v>198</v>
      </c>
    </row>
    <row r="2071" spans="1:2">
      <c r="A2071">
        <v>63121</v>
      </c>
      <c r="B2071" t="s">
        <v>198</v>
      </c>
    </row>
    <row r="2072" spans="1:2">
      <c r="A2072">
        <v>63130</v>
      </c>
      <c r="B2072" t="s">
        <v>198</v>
      </c>
    </row>
    <row r="2073" spans="1:2">
      <c r="A2073">
        <v>63135</v>
      </c>
      <c r="B2073" t="s">
        <v>198</v>
      </c>
    </row>
    <row r="2074" spans="1:2">
      <c r="A2074">
        <v>63136</v>
      </c>
      <c r="B2074" t="s">
        <v>198</v>
      </c>
    </row>
    <row r="2075" spans="1:2">
      <c r="A2075">
        <v>63138</v>
      </c>
      <c r="B2075" t="s">
        <v>198</v>
      </c>
    </row>
    <row r="2076" spans="1:2">
      <c r="A2076">
        <v>63301</v>
      </c>
      <c r="B2076" t="s">
        <v>198</v>
      </c>
    </row>
    <row r="2077" spans="1:2">
      <c r="A2077">
        <v>63366</v>
      </c>
      <c r="B2077" t="s">
        <v>198</v>
      </c>
    </row>
    <row r="2078" spans="1:2">
      <c r="A2078">
        <v>63367</v>
      </c>
      <c r="B2078" t="s">
        <v>198</v>
      </c>
    </row>
    <row r="2079" spans="1:2">
      <c r="A2079">
        <v>63376</v>
      </c>
      <c r="B2079" t="s">
        <v>198</v>
      </c>
    </row>
    <row r="2080" spans="1:2">
      <c r="A2080">
        <v>63385</v>
      </c>
      <c r="B2080" t="s">
        <v>198</v>
      </c>
    </row>
    <row r="2081" spans="1:2">
      <c r="A2081">
        <v>63126</v>
      </c>
      <c r="B2081" t="s">
        <v>198</v>
      </c>
    </row>
    <row r="2082" spans="1:2">
      <c r="A2082">
        <v>63134</v>
      </c>
      <c r="B2082" t="s">
        <v>198</v>
      </c>
    </row>
    <row r="2083" spans="1:2">
      <c r="A2083">
        <v>63074</v>
      </c>
      <c r="B2083" t="s">
        <v>198</v>
      </c>
    </row>
    <row r="2084" spans="1:2">
      <c r="A2084">
        <v>63044</v>
      </c>
      <c r="B2084" t="s">
        <v>198</v>
      </c>
    </row>
    <row r="2085" spans="1:2">
      <c r="A2085">
        <v>63111</v>
      </c>
      <c r="B2085" t="s">
        <v>198</v>
      </c>
    </row>
    <row r="2086" spans="1:2">
      <c r="A2086">
        <v>63110</v>
      </c>
      <c r="B2086" t="s">
        <v>198</v>
      </c>
    </row>
    <row r="2087" spans="1:2">
      <c r="A2087">
        <v>63144</v>
      </c>
      <c r="B2087" t="s">
        <v>198</v>
      </c>
    </row>
    <row r="2088" spans="1:2">
      <c r="A2088">
        <v>63133</v>
      </c>
      <c r="B2088" t="s">
        <v>198</v>
      </c>
    </row>
    <row r="2089" spans="1:2">
      <c r="A2089">
        <v>63132</v>
      </c>
      <c r="B2089" t="s">
        <v>198</v>
      </c>
    </row>
    <row r="2090" spans="1:2">
      <c r="A2090">
        <v>63124</v>
      </c>
      <c r="B2090" t="s">
        <v>198</v>
      </c>
    </row>
    <row r="2091" spans="1:2">
      <c r="A2091">
        <v>63117</v>
      </c>
      <c r="B2091" t="s">
        <v>198</v>
      </c>
    </row>
    <row r="2092" spans="1:2">
      <c r="A2092">
        <v>63105</v>
      </c>
      <c r="B2092" t="s">
        <v>198</v>
      </c>
    </row>
    <row r="2093" spans="1:2">
      <c r="A2093">
        <v>63147</v>
      </c>
      <c r="B2093" t="s">
        <v>198</v>
      </c>
    </row>
    <row r="2094" spans="1:2">
      <c r="A2094">
        <v>63120</v>
      </c>
      <c r="B2094" t="s">
        <v>198</v>
      </c>
    </row>
    <row r="2095" spans="1:2">
      <c r="A2095">
        <v>63115</v>
      </c>
      <c r="B2095" t="s">
        <v>198</v>
      </c>
    </row>
    <row r="2096" spans="1:2">
      <c r="A2096">
        <v>63113</v>
      </c>
      <c r="B2096" t="s">
        <v>198</v>
      </c>
    </row>
    <row r="2097" spans="1:2">
      <c r="A2097">
        <v>63112</v>
      </c>
      <c r="B2097" t="s">
        <v>198</v>
      </c>
    </row>
    <row r="2098" spans="1:2">
      <c r="A2098">
        <v>63107</v>
      </c>
      <c r="B2098" t="s">
        <v>198</v>
      </c>
    </row>
    <row r="2099" spans="1:2">
      <c r="A2099">
        <v>63106</v>
      </c>
      <c r="B2099" t="s">
        <v>198</v>
      </c>
    </row>
    <row r="2100" spans="1:2">
      <c r="A2100">
        <v>63103</v>
      </c>
      <c r="B2100" t="s">
        <v>198</v>
      </c>
    </row>
    <row r="2101" spans="1:2">
      <c r="A2101">
        <v>63102</v>
      </c>
      <c r="B2101" t="s">
        <v>198</v>
      </c>
    </row>
    <row r="2102" spans="1:2">
      <c r="A2102">
        <v>63101</v>
      </c>
      <c r="B2102" t="s">
        <v>198</v>
      </c>
    </row>
    <row r="2103" spans="1:2">
      <c r="A2103">
        <v>63088</v>
      </c>
      <c r="B2103" t="s">
        <v>198</v>
      </c>
    </row>
    <row r="2104" spans="1:2">
      <c r="A2104">
        <v>63137</v>
      </c>
      <c r="B2104" t="s">
        <v>198</v>
      </c>
    </row>
    <row r="2105" spans="1:2">
      <c r="A2105">
        <v>63373</v>
      </c>
      <c r="B2105" t="s">
        <v>198</v>
      </c>
    </row>
    <row r="2106" spans="1:2">
      <c r="A2106">
        <v>62207</v>
      </c>
      <c r="B2106" t="s">
        <v>198</v>
      </c>
    </row>
    <row r="2107" spans="1:2">
      <c r="A2107">
        <v>62205</v>
      </c>
      <c r="B2107" t="s">
        <v>198</v>
      </c>
    </row>
    <row r="2108" spans="1:2">
      <c r="A2108">
        <v>62204</v>
      </c>
      <c r="B2108" t="s">
        <v>198</v>
      </c>
    </row>
    <row r="2109" spans="1:2">
      <c r="A2109">
        <v>62203</v>
      </c>
      <c r="B2109" t="s">
        <v>198</v>
      </c>
    </row>
    <row r="2110" spans="1:2">
      <c r="A2110">
        <v>62201</v>
      </c>
      <c r="B2110" t="s">
        <v>198</v>
      </c>
    </row>
    <row r="2111" spans="1:2">
      <c r="A2111">
        <v>62090</v>
      </c>
      <c r="B2111" t="s">
        <v>198</v>
      </c>
    </row>
    <row r="2112" spans="1:2">
      <c r="A2112">
        <v>62060</v>
      </c>
      <c r="B2112" t="s">
        <v>198</v>
      </c>
    </row>
    <row r="2113" spans="1:2">
      <c r="A2113">
        <v>62059</v>
      </c>
      <c r="B2113" t="s">
        <v>198</v>
      </c>
    </row>
    <row r="2114" spans="1:2">
      <c r="A2114">
        <v>62095</v>
      </c>
      <c r="B2114" t="s">
        <v>198</v>
      </c>
    </row>
    <row r="2115" spans="1:2">
      <c r="A2115">
        <v>62024</v>
      </c>
      <c r="B2115" t="s">
        <v>198</v>
      </c>
    </row>
    <row r="2116" spans="1:2">
      <c r="A2116">
        <v>7001</v>
      </c>
      <c r="B2116" t="s">
        <v>198</v>
      </c>
    </row>
    <row r="2117" spans="1:2">
      <c r="A2117">
        <v>7008</v>
      </c>
      <c r="B2117" t="s">
        <v>198</v>
      </c>
    </row>
    <row r="2118" spans="1:2">
      <c r="A2118">
        <v>7064</v>
      </c>
      <c r="B2118" t="s">
        <v>198</v>
      </c>
    </row>
    <row r="2119" spans="1:2">
      <c r="A2119">
        <v>7065</v>
      </c>
      <c r="B2119" t="s">
        <v>198</v>
      </c>
    </row>
    <row r="2120" spans="1:2">
      <c r="A2120">
        <v>7066</v>
      </c>
      <c r="B2120" t="s">
        <v>198</v>
      </c>
    </row>
    <row r="2121" spans="1:2">
      <c r="A2121">
        <v>7016</v>
      </c>
      <c r="B2121" t="s">
        <v>198</v>
      </c>
    </row>
    <row r="2122" spans="1:2">
      <c r="A2122">
        <v>7023</v>
      </c>
      <c r="B2122" t="s">
        <v>198</v>
      </c>
    </row>
    <row r="2123" spans="1:2">
      <c r="A2123">
        <v>7027</v>
      </c>
      <c r="B2123" t="s">
        <v>198</v>
      </c>
    </row>
    <row r="2124" spans="1:2">
      <c r="A2124">
        <v>7062</v>
      </c>
      <c r="B2124" t="s">
        <v>198</v>
      </c>
    </row>
    <row r="2125" spans="1:2">
      <c r="A2125">
        <v>7076</v>
      </c>
      <c r="B2125" t="s">
        <v>198</v>
      </c>
    </row>
    <row r="2126" spans="1:2">
      <c r="A2126">
        <v>7090</v>
      </c>
      <c r="B2126" t="s">
        <v>198</v>
      </c>
    </row>
    <row r="2127" spans="1:2">
      <c r="A2127">
        <v>7092</v>
      </c>
      <c r="B2127" t="s">
        <v>198</v>
      </c>
    </row>
    <row r="2128" spans="1:2">
      <c r="A2128">
        <v>7033</v>
      </c>
      <c r="B2128" t="s">
        <v>198</v>
      </c>
    </row>
    <row r="2129" spans="1:2">
      <c r="A2129">
        <v>7041</v>
      </c>
      <c r="B2129" t="s">
        <v>198</v>
      </c>
    </row>
    <row r="2130" spans="1:2">
      <c r="A2130">
        <v>7081</v>
      </c>
      <c r="B2130" t="s">
        <v>198</v>
      </c>
    </row>
    <row r="2131" spans="1:2">
      <c r="A2131">
        <v>7083</v>
      </c>
      <c r="B2131" t="s">
        <v>198</v>
      </c>
    </row>
    <row r="2132" spans="1:2">
      <c r="A2132">
        <v>7088</v>
      </c>
      <c r="B2132" t="s">
        <v>198</v>
      </c>
    </row>
    <row r="2133" spans="1:2">
      <c r="A2133">
        <v>7036</v>
      </c>
      <c r="B2133" t="s">
        <v>198</v>
      </c>
    </row>
    <row r="2134" spans="1:2">
      <c r="A2134">
        <v>7203</v>
      </c>
      <c r="B2134" t="s">
        <v>198</v>
      </c>
    </row>
    <row r="2135" spans="1:2">
      <c r="A2135">
        <v>7204</v>
      </c>
      <c r="B2135" t="s">
        <v>198</v>
      </c>
    </row>
    <row r="2136" spans="1:2">
      <c r="A2136">
        <v>7059</v>
      </c>
      <c r="B2136" t="s">
        <v>198</v>
      </c>
    </row>
    <row r="2137" spans="1:2">
      <c r="A2137">
        <v>7060</v>
      </c>
      <c r="B2137" t="s">
        <v>198</v>
      </c>
    </row>
    <row r="2138" spans="1:2">
      <c r="A2138">
        <v>7063</v>
      </c>
      <c r="B2138" t="s">
        <v>198</v>
      </c>
    </row>
    <row r="2139" spans="1:2">
      <c r="A2139">
        <v>7069</v>
      </c>
      <c r="B2139" t="s">
        <v>198</v>
      </c>
    </row>
    <row r="2140" spans="1:2">
      <c r="A2140">
        <v>8812</v>
      </c>
      <c r="B2140" t="s">
        <v>198</v>
      </c>
    </row>
    <row r="2141" spans="1:2">
      <c r="A2141">
        <v>8836</v>
      </c>
      <c r="B2141" t="s">
        <v>198</v>
      </c>
    </row>
    <row r="2142" spans="1:2">
      <c r="A2142">
        <v>7067</v>
      </c>
      <c r="B2142" t="s">
        <v>198</v>
      </c>
    </row>
    <row r="2143" spans="1:2">
      <c r="A2143">
        <v>7077</v>
      </c>
      <c r="B2143" t="s">
        <v>198</v>
      </c>
    </row>
    <row r="2144" spans="1:2">
      <c r="A2144">
        <v>7095</v>
      </c>
      <c r="B2144" t="s">
        <v>198</v>
      </c>
    </row>
    <row r="2145" spans="1:2">
      <c r="A2145">
        <v>8830</v>
      </c>
      <c r="B2145" t="s">
        <v>198</v>
      </c>
    </row>
    <row r="2146" spans="1:2">
      <c r="A2146">
        <v>8832</v>
      </c>
      <c r="B2146" t="s">
        <v>198</v>
      </c>
    </row>
    <row r="2147" spans="1:2">
      <c r="A2147">
        <v>8861</v>
      </c>
      <c r="B2147" t="s">
        <v>198</v>
      </c>
    </row>
    <row r="2148" spans="1:2">
      <c r="A2148">
        <v>8863</v>
      </c>
      <c r="B2148" t="s">
        <v>198</v>
      </c>
    </row>
    <row r="2149" spans="1:2">
      <c r="A2149">
        <v>7078</v>
      </c>
      <c r="B2149" t="s">
        <v>198</v>
      </c>
    </row>
    <row r="2150" spans="1:2">
      <c r="A2150">
        <v>7901</v>
      </c>
      <c r="B2150" t="s">
        <v>198</v>
      </c>
    </row>
    <row r="2151" spans="1:2">
      <c r="A2151">
        <v>7920</v>
      </c>
      <c r="B2151" t="s">
        <v>198</v>
      </c>
    </row>
    <row r="2152" spans="1:2">
      <c r="A2152">
        <v>7922</v>
      </c>
      <c r="B2152" t="s">
        <v>198</v>
      </c>
    </row>
    <row r="2153" spans="1:2">
      <c r="A2153">
        <v>7928</v>
      </c>
      <c r="B2153" t="s">
        <v>198</v>
      </c>
    </row>
    <row r="2154" spans="1:2">
      <c r="A2154">
        <v>7933</v>
      </c>
      <c r="B2154" t="s">
        <v>198</v>
      </c>
    </row>
    <row r="2155" spans="1:2">
      <c r="A2155">
        <v>7935</v>
      </c>
      <c r="B2155" t="s">
        <v>198</v>
      </c>
    </row>
    <row r="2156" spans="1:2">
      <c r="A2156">
        <v>7939</v>
      </c>
      <c r="B2156" t="s">
        <v>198</v>
      </c>
    </row>
    <row r="2157" spans="1:2">
      <c r="A2157">
        <v>7946</v>
      </c>
      <c r="B2157" t="s">
        <v>198</v>
      </c>
    </row>
    <row r="2158" spans="1:2">
      <c r="A2158">
        <v>7974</v>
      </c>
      <c r="B2158" t="s">
        <v>198</v>
      </c>
    </row>
    <row r="2159" spans="1:2">
      <c r="A2159">
        <v>7976</v>
      </c>
      <c r="B2159" t="s">
        <v>198</v>
      </c>
    </row>
    <row r="2160" spans="1:2">
      <c r="A2160">
        <v>7980</v>
      </c>
      <c r="B2160" t="s">
        <v>198</v>
      </c>
    </row>
    <row r="2161" spans="1:2">
      <c r="A2161">
        <v>7080</v>
      </c>
      <c r="B2161" t="s">
        <v>198</v>
      </c>
    </row>
    <row r="2162" spans="1:2">
      <c r="A2162">
        <v>8805</v>
      </c>
      <c r="B2162" t="s">
        <v>198</v>
      </c>
    </row>
    <row r="2163" spans="1:2">
      <c r="A2163">
        <v>8846</v>
      </c>
      <c r="B2163" t="s">
        <v>198</v>
      </c>
    </row>
    <row r="2164" spans="1:2">
      <c r="A2164">
        <v>8854</v>
      </c>
      <c r="B2164" t="s">
        <v>198</v>
      </c>
    </row>
    <row r="2165" spans="1:2">
      <c r="A2165">
        <v>7924</v>
      </c>
      <c r="B2165" t="s">
        <v>198</v>
      </c>
    </row>
    <row r="2166" spans="1:2">
      <c r="A2166">
        <v>7926</v>
      </c>
      <c r="B2166" t="s">
        <v>198</v>
      </c>
    </row>
    <row r="2167" spans="1:2">
      <c r="A2167">
        <v>7930</v>
      </c>
      <c r="B2167" t="s">
        <v>198</v>
      </c>
    </row>
    <row r="2168" spans="1:2">
      <c r="A2168">
        <v>7932</v>
      </c>
      <c r="B2168" t="s">
        <v>198</v>
      </c>
    </row>
    <row r="2169" spans="1:2">
      <c r="A2169">
        <v>7940</v>
      </c>
      <c r="B2169" t="s">
        <v>198</v>
      </c>
    </row>
    <row r="2170" spans="1:2">
      <c r="A2170">
        <v>7945</v>
      </c>
      <c r="B2170" t="s">
        <v>198</v>
      </c>
    </row>
    <row r="2171" spans="1:2">
      <c r="A2171">
        <v>7960</v>
      </c>
      <c r="B2171" t="s">
        <v>198</v>
      </c>
    </row>
    <row r="2172" spans="1:2">
      <c r="A2172">
        <v>8817</v>
      </c>
      <c r="B2172" t="s">
        <v>198</v>
      </c>
    </row>
    <row r="2173" spans="1:2">
      <c r="A2173">
        <v>8820</v>
      </c>
      <c r="B2173" t="s">
        <v>198</v>
      </c>
    </row>
    <row r="2174" spans="1:2">
      <c r="A2174">
        <v>8837</v>
      </c>
      <c r="B2174" t="s">
        <v>198</v>
      </c>
    </row>
    <row r="2175" spans="1:2">
      <c r="A2175">
        <v>8840</v>
      </c>
      <c r="B2175" t="s">
        <v>198</v>
      </c>
    </row>
    <row r="2176" spans="1:2">
      <c r="A2176">
        <v>8904</v>
      </c>
      <c r="B2176" t="s">
        <v>198</v>
      </c>
    </row>
    <row r="2177" spans="1:2">
      <c r="A2177">
        <v>7017</v>
      </c>
      <c r="B2177" t="s">
        <v>198</v>
      </c>
    </row>
    <row r="2178" spans="1:2">
      <c r="A2178">
        <v>7018</v>
      </c>
      <c r="B2178" t="s">
        <v>198</v>
      </c>
    </row>
    <row r="2179" spans="1:2">
      <c r="A2179">
        <v>7050</v>
      </c>
      <c r="B2179" t="s">
        <v>198</v>
      </c>
    </row>
    <row r="2180" spans="1:2">
      <c r="A2180">
        <v>7079</v>
      </c>
      <c r="B2180" t="s">
        <v>198</v>
      </c>
    </row>
    <row r="2181" spans="1:2">
      <c r="A2181">
        <v>7106</v>
      </c>
      <c r="B2181" t="s">
        <v>198</v>
      </c>
    </row>
    <row r="2182" spans="1:2">
      <c r="A2182">
        <v>7029</v>
      </c>
      <c r="B2182" t="s">
        <v>198</v>
      </c>
    </row>
    <row r="2183" spans="1:2">
      <c r="A2183">
        <v>7032</v>
      </c>
      <c r="B2183" t="s">
        <v>198</v>
      </c>
    </row>
    <row r="2184" spans="1:2">
      <c r="A2184">
        <v>7104</v>
      </c>
      <c r="B2184" t="s">
        <v>198</v>
      </c>
    </row>
    <row r="2185" spans="1:2">
      <c r="A2185">
        <v>7040</v>
      </c>
      <c r="B2185" t="s">
        <v>198</v>
      </c>
    </row>
    <row r="2186" spans="1:2">
      <c r="A2186">
        <v>7111</v>
      </c>
      <c r="B2186" t="s">
        <v>198</v>
      </c>
    </row>
    <row r="2187" spans="1:2">
      <c r="A2187">
        <v>7112</v>
      </c>
      <c r="B2187" t="s">
        <v>198</v>
      </c>
    </row>
    <row r="2188" spans="1:2">
      <c r="A2188">
        <v>7205</v>
      </c>
      <c r="B2188" t="s">
        <v>198</v>
      </c>
    </row>
    <row r="2189" spans="1:2">
      <c r="A2189">
        <v>7102</v>
      </c>
      <c r="B2189" t="s">
        <v>198</v>
      </c>
    </row>
    <row r="2190" spans="1:2">
      <c r="A2190">
        <v>7103</v>
      </c>
      <c r="B2190" t="s">
        <v>198</v>
      </c>
    </row>
    <row r="2191" spans="1:2">
      <c r="A2191">
        <v>7105</v>
      </c>
      <c r="B2191" t="s">
        <v>198</v>
      </c>
    </row>
    <row r="2192" spans="1:2">
      <c r="A2192">
        <v>7107</v>
      </c>
      <c r="B2192" t="s">
        <v>198</v>
      </c>
    </row>
    <row r="2193" spans="1:2">
      <c r="A2193">
        <v>7108</v>
      </c>
      <c r="B2193" t="s">
        <v>198</v>
      </c>
    </row>
    <row r="2194" spans="1:2">
      <c r="A2194">
        <v>7114</v>
      </c>
      <c r="B2194" t="s">
        <v>198</v>
      </c>
    </row>
    <row r="2195" spans="1:2">
      <c r="A2195">
        <v>7201</v>
      </c>
      <c r="B2195" t="s">
        <v>198</v>
      </c>
    </row>
    <row r="2196" spans="1:2">
      <c r="A2196">
        <v>7202</v>
      </c>
      <c r="B2196" t="s">
        <v>198</v>
      </c>
    </row>
    <row r="2197" spans="1:2">
      <c r="A2197">
        <v>7206</v>
      </c>
      <c r="B2197" t="s">
        <v>198</v>
      </c>
    </row>
    <row r="2198" spans="1:2">
      <c r="A2198">
        <v>7208</v>
      </c>
      <c r="B2198" t="s">
        <v>198</v>
      </c>
    </row>
    <row r="2199" spans="1:2">
      <c r="A2199">
        <v>10311</v>
      </c>
      <c r="B2199" t="s">
        <v>198</v>
      </c>
    </row>
    <row r="2200" spans="1:2">
      <c r="A2200">
        <v>10314</v>
      </c>
      <c r="B2200" t="s">
        <v>198</v>
      </c>
    </row>
    <row r="2201" spans="1:2">
      <c r="A2201">
        <v>10301</v>
      </c>
      <c r="B2201" t="s">
        <v>198</v>
      </c>
    </row>
    <row r="2202" spans="1:2">
      <c r="A2202">
        <v>10302</v>
      </c>
      <c r="B2202" t="s">
        <v>198</v>
      </c>
    </row>
    <row r="2203" spans="1:2">
      <c r="A2203">
        <v>10303</v>
      </c>
      <c r="B2203" t="s">
        <v>198</v>
      </c>
    </row>
    <row r="2204" spans="1:2">
      <c r="A2204">
        <v>10310</v>
      </c>
      <c r="B2204" t="s">
        <v>198</v>
      </c>
    </row>
    <row r="2205" spans="1:2">
      <c r="A2205">
        <v>10304</v>
      </c>
      <c r="B2205" t="s">
        <v>198</v>
      </c>
    </row>
    <row r="2206" spans="1:2">
      <c r="A2206">
        <v>10305</v>
      </c>
      <c r="B2206" t="s">
        <v>198</v>
      </c>
    </row>
    <row r="2207" spans="1:2">
      <c r="A2207">
        <v>10306</v>
      </c>
      <c r="B2207" t="s">
        <v>198</v>
      </c>
    </row>
    <row r="2208" spans="1:2">
      <c r="A2208">
        <v>10308</v>
      </c>
      <c r="B2208" t="s">
        <v>198</v>
      </c>
    </row>
    <row r="2209" spans="1:2">
      <c r="A2209">
        <v>10307</v>
      </c>
      <c r="B2209" t="s">
        <v>198</v>
      </c>
    </row>
    <row r="2210" spans="1:2">
      <c r="A2210">
        <v>10309</v>
      </c>
      <c r="B2210" t="s">
        <v>198</v>
      </c>
    </row>
    <row r="2211" spans="1:2">
      <c r="A2211">
        <v>10312</v>
      </c>
      <c r="B2211" t="s">
        <v>198</v>
      </c>
    </row>
    <row r="2212" spans="1:2">
      <c r="A2212">
        <v>7002</v>
      </c>
      <c r="B2212" t="s">
        <v>198</v>
      </c>
    </row>
    <row r="2213" spans="1:2">
      <c r="A2213">
        <v>7305</v>
      </c>
      <c r="B2213" t="s">
        <v>198</v>
      </c>
    </row>
    <row r="2214" spans="1:2">
      <c r="A2214">
        <v>7302</v>
      </c>
      <c r="B2214" t="s">
        <v>198</v>
      </c>
    </row>
    <row r="2215" spans="1:2">
      <c r="A2215">
        <v>7304</v>
      </c>
      <c r="B2215" t="s">
        <v>198</v>
      </c>
    </row>
    <row r="2216" spans="1:2">
      <c r="A2216">
        <v>7310</v>
      </c>
      <c r="B2216" t="s">
        <v>198</v>
      </c>
    </row>
    <row r="2217" spans="1:2">
      <c r="A2217">
        <v>7311</v>
      </c>
      <c r="B2217" t="s">
        <v>198</v>
      </c>
    </row>
    <row r="2218" spans="1:2">
      <c r="A2218">
        <v>7030</v>
      </c>
      <c r="B2218" t="s">
        <v>198</v>
      </c>
    </row>
    <row r="2219" spans="1:2">
      <c r="A2219">
        <v>7087</v>
      </c>
      <c r="B2219" t="s">
        <v>198</v>
      </c>
    </row>
    <row r="2220" spans="1:2">
      <c r="A2220">
        <v>7094</v>
      </c>
      <c r="B2220" t="s">
        <v>198</v>
      </c>
    </row>
    <row r="2221" spans="1:2">
      <c r="A2221">
        <v>7306</v>
      </c>
      <c r="B2221" t="s">
        <v>198</v>
      </c>
    </row>
    <row r="2222" spans="1:2">
      <c r="A2222">
        <v>7307</v>
      </c>
      <c r="B2222" t="s">
        <v>198</v>
      </c>
    </row>
    <row r="2223" spans="1:2">
      <c r="A2223">
        <v>7022</v>
      </c>
      <c r="B2223" t="s">
        <v>198</v>
      </c>
    </row>
    <row r="2224" spans="1:2">
      <c r="A2224">
        <v>7047</v>
      </c>
      <c r="B2224" t="s">
        <v>198</v>
      </c>
    </row>
    <row r="2225" spans="1:2">
      <c r="A2225">
        <v>7657</v>
      </c>
      <c r="B2225" t="s">
        <v>198</v>
      </c>
    </row>
    <row r="2226" spans="1:2">
      <c r="A2226">
        <v>7603</v>
      </c>
      <c r="B2226" t="s">
        <v>198</v>
      </c>
    </row>
    <row r="2227" spans="1:2">
      <c r="A2227">
        <v>7631</v>
      </c>
      <c r="B2227" t="s">
        <v>198</v>
      </c>
    </row>
    <row r="2228" spans="1:2">
      <c r="A2228">
        <v>7660</v>
      </c>
      <c r="B2228" t="s">
        <v>198</v>
      </c>
    </row>
    <row r="2229" spans="1:2">
      <c r="A2229">
        <v>7666</v>
      </c>
      <c r="B2229" t="s">
        <v>198</v>
      </c>
    </row>
    <row r="2230" spans="1:2">
      <c r="A2230">
        <v>7086</v>
      </c>
      <c r="B2230" t="s">
        <v>198</v>
      </c>
    </row>
    <row r="2231" spans="1:2">
      <c r="A2231">
        <v>7093</v>
      </c>
      <c r="B2231" t="s">
        <v>198</v>
      </c>
    </row>
    <row r="2232" spans="1:2">
      <c r="A2232">
        <v>7010</v>
      </c>
      <c r="B2232" t="s">
        <v>198</v>
      </c>
    </row>
    <row r="2233" spans="1:2">
      <c r="A2233">
        <v>7020</v>
      </c>
      <c r="B2233" t="s">
        <v>198</v>
      </c>
    </row>
    <row r="2234" spans="1:2">
      <c r="A2234">
        <v>7024</v>
      </c>
      <c r="B2234" t="s">
        <v>198</v>
      </c>
    </row>
    <row r="2235" spans="1:2">
      <c r="A2235">
        <v>7605</v>
      </c>
      <c r="B2235" t="s">
        <v>198</v>
      </c>
    </row>
    <row r="2236" spans="1:2">
      <c r="A2236">
        <v>7632</v>
      </c>
      <c r="B2236" t="s">
        <v>198</v>
      </c>
    </row>
    <row r="2237" spans="1:2">
      <c r="A2237">
        <v>7650</v>
      </c>
      <c r="B2237" t="s">
        <v>198</v>
      </c>
    </row>
    <row r="2238" spans="1:2">
      <c r="A2238">
        <v>7057</v>
      </c>
      <c r="B2238" t="s">
        <v>198</v>
      </c>
    </row>
    <row r="2239" spans="1:2">
      <c r="A2239">
        <v>7072</v>
      </c>
      <c r="B2239" t="s">
        <v>198</v>
      </c>
    </row>
    <row r="2240" spans="1:2">
      <c r="A2240">
        <v>7073</v>
      </c>
      <c r="B2240" t="s">
        <v>198</v>
      </c>
    </row>
    <row r="2241" spans="1:2">
      <c r="A2241">
        <v>7074</v>
      </c>
      <c r="B2241" t="s">
        <v>198</v>
      </c>
    </row>
    <row r="2242" spans="1:2">
      <c r="A2242">
        <v>7075</v>
      </c>
      <c r="B2242" t="s">
        <v>198</v>
      </c>
    </row>
    <row r="2243" spans="1:2">
      <c r="A2243">
        <v>7643</v>
      </c>
      <c r="B2243" t="s">
        <v>198</v>
      </c>
    </row>
    <row r="2244" spans="1:2">
      <c r="A2244">
        <v>7601</v>
      </c>
      <c r="B2244" t="s">
        <v>198</v>
      </c>
    </row>
    <row r="2245" spans="1:2">
      <c r="A2245">
        <v>7604</v>
      </c>
      <c r="B2245" t="s">
        <v>198</v>
      </c>
    </row>
    <row r="2246" spans="1:2">
      <c r="A2246">
        <v>7606</v>
      </c>
      <c r="B2246" t="s">
        <v>198</v>
      </c>
    </row>
    <row r="2247" spans="1:2">
      <c r="A2247">
        <v>7608</v>
      </c>
      <c r="B2247" t="s">
        <v>198</v>
      </c>
    </row>
    <row r="2248" spans="1:2">
      <c r="A2248">
        <v>7644</v>
      </c>
      <c r="B2248" t="s">
        <v>198</v>
      </c>
    </row>
    <row r="2249" spans="1:2">
      <c r="A2249">
        <v>7003</v>
      </c>
      <c r="B2249" t="s">
        <v>198</v>
      </c>
    </row>
    <row r="2250" spans="1:2">
      <c r="A2250">
        <v>7009</v>
      </c>
      <c r="B2250" t="s">
        <v>198</v>
      </c>
    </row>
    <row r="2251" spans="1:2">
      <c r="A2251">
        <v>7028</v>
      </c>
      <c r="B2251" t="s">
        <v>198</v>
      </c>
    </row>
    <row r="2252" spans="1:2">
      <c r="A2252">
        <v>7042</v>
      </c>
      <c r="B2252" t="s">
        <v>198</v>
      </c>
    </row>
    <row r="2253" spans="1:2">
      <c r="A2253">
        <v>7043</v>
      </c>
      <c r="B2253" t="s">
        <v>198</v>
      </c>
    </row>
    <row r="2254" spans="1:2">
      <c r="A2254">
        <v>7031</v>
      </c>
      <c r="B2254" t="s">
        <v>198</v>
      </c>
    </row>
    <row r="2255" spans="1:2">
      <c r="A2255">
        <v>7071</v>
      </c>
      <c r="B2255" t="s">
        <v>198</v>
      </c>
    </row>
    <row r="2256" spans="1:2">
      <c r="A2256">
        <v>7109</v>
      </c>
      <c r="B2256" t="s">
        <v>198</v>
      </c>
    </row>
    <row r="2257" spans="1:2">
      <c r="A2257">
        <v>7110</v>
      </c>
      <c r="B2257" t="s">
        <v>198</v>
      </c>
    </row>
    <row r="2258" spans="1:2">
      <c r="A2258">
        <v>7012</v>
      </c>
      <c r="B2258" t="s">
        <v>198</v>
      </c>
    </row>
    <row r="2259" spans="1:2">
      <c r="A2259">
        <v>7013</v>
      </c>
      <c r="B2259" t="s">
        <v>198</v>
      </c>
    </row>
    <row r="2260" spans="1:2">
      <c r="A2260">
        <v>7014</v>
      </c>
      <c r="B2260" t="s">
        <v>198</v>
      </c>
    </row>
    <row r="2261" spans="1:2">
      <c r="A2261">
        <v>7055</v>
      </c>
      <c r="B2261" t="s">
        <v>198</v>
      </c>
    </row>
    <row r="2262" spans="1:2">
      <c r="A2262">
        <v>7070</v>
      </c>
      <c r="B2262" t="s">
        <v>198</v>
      </c>
    </row>
    <row r="2263" spans="1:2">
      <c r="A2263">
        <v>7004</v>
      </c>
      <c r="B2263" t="s">
        <v>198</v>
      </c>
    </row>
    <row r="2264" spans="1:2">
      <c r="A2264">
        <v>7005</v>
      </c>
      <c r="B2264" t="s">
        <v>198</v>
      </c>
    </row>
    <row r="2265" spans="1:2">
      <c r="A2265">
        <v>7006</v>
      </c>
      <c r="B2265" t="s">
        <v>198</v>
      </c>
    </row>
    <row r="2266" spans="1:2">
      <c r="A2266">
        <v>7035</v>
      </c>
      <c r="B2266" t="s">
        <v>198</v>
      </c>
    </row>
    <row r="2267" spans="1:2">
      <c r="A2267">
        <v>7045</v>
      </c>
      <c r="B2267" t="s">
        <v>198</v>
      </c>
    </row>
    <row r="2268" spans="1:2">
      <c r="A2268">
        <v>7082</v>
      </c>
      <c r="B2268" t="s">
        <v>198</v>
      </c>
    </row>
    <row r="2269" spans="1:2">
      <c r="A2269">
        <v>7405</v>
      </c>
      <c r="B2269" t="s">
        <v>198</v>
      </c>
    </row>
    <row r="2270" spans="1:2">
      <c r="A2270">
        <v>7440</v>
      </c>
      <c r="B2270" t="s">
        <v>198</v>
      </c>
    </row>
    <row r="2271" spans="1:2">
      <c r="A2271">
        <v>7021</v>
      </c>
      <c r="B2271" t="s">
        <v>198</v>
      </c>
    </row>
    <row r="2272" spans="1:2">
      <c r="A2272">
        <v>7039</v>
      </c>
      <c r="B2272" t="s">
        <v>198</v>
      </c>
    </row>
    <row r="2273" spans="1:2">
      <c r="A2273">
        <v>7044</v>
      </c>
      <c r="B2273" t="s">
        <v>198</v>
      </c>
    </row>
    <row r="2274" spans="1:2">
      <c r="A2274">
        <v>7052</v>
      </c>
      <c r="B2274" t="s">
        <v>198</v>
      </c>
    </row>
    <row r="2275" spans="1:2">
      <c r="A2275">
        <v>7068</v>
      </c>
      <c r="B2275" t="s">
        <v>198</v>
      </c>
    </row>
    <row r="2276" spans="1:2">
      <c r="A2276">
        <v>7936</v>
      </c>
      <c r="B2276" t="s">
        <v>198</v>
      </c>
    </row>
    <row r="2277" spans="1:2">
      <c r="A2277">
        <v>7034</v>
      </c>
      <c r="B2277" t="s">
        <v>198</v>
      </c>
    </row>
    <row r="2278" spans="1:2">
      <c r="A2278">
        <v>7046</v>
      </c>
      <c r="B2278" t="s">
        <v>198</v>
      </c>
    </row>
    <row r="2279" spans="1:2">
      <c r="A2279">
        <v>7054</v>
      </c>
      <c r="B2279" t="s">
        <v>198</v>
      </c>
    </row>
    <row r="2280" spans="1:2">
      <c r="A2280">
        <v>7058</v>
      </c>
      <c r="B2280" t="s">
        <v>198</v>
      </c>
    </row>
    <row r="2281" spans="1:2">
      <c r="A2281">
        <v>7834</v>
      </c>
      <c r="B2281" t="s">
        <v>198</v>
      </c>
    </row>
    <row r="2282" spans="1:2">
      <c r="A2282">
        <v>7878</v>
      </c>
      <c r="B2282" t="s">
        <v>198</v>
      </c>
    </row>
    <row r="2283" spans="1:2">
      <c r="A2283">
        <v>7927</v>
      </c>
      <c r="B2283" t="s">
        <v>198</v>
      </c>
    </row>
    <row r="2284" spans="1:2">
      <c r="A2284">
        <v>7950</v>
      </c>
      <c r="B2284" t="s">
        <v>198</v>
      </c>
    </row>
    <row r="2285" spans="1:2">
      <c r="A2285">
        <v>7981</v>
      </c>
      <c r="B2285" t="s">
        <v>198</v>
      </c>
    </row>
    <row r="2286" spans="1:2">
      <c r="A2286">
        <v>7403</v>
      </c>
      <c r="B2286" t="s">
        <v>198</v>
      </c>
    </row>
    <row r="2287" spans="1:2">
      <c r="A2287">
        <v>7420</v>
      </c>
      <c r="B2287" t="s">
        <v>198</v>
      </c>
    </row>
    <row r="2288" spans="1:2">
      <c r="A2288">
        <v>7442</v>
      </c>
      <c r="B2288" t="s">
        <v>198</v>
      </c>
    </row>
    <row r="2289" spans="1:2">
      <c r="A2289">
        <v>7444</v>
      </c>
      <c r="B2289" t="s">
        <v>198</v>
      </c>
    </row>
    <row r="2290" spans="1:2">
      <c r="A2290">
        <v>7457</v>
      </c>
      <c r="B2290" t="s">
        <v>198</v>
      </c>
    </row>
    <row r="2291" spans="1:2">
      <c r="A2291">
        <v>7470</v>
      </c>
      <c r="B2291" t="s">
        <v>198</v>
      </c>
    </row>
    <row r="2292" spans="1:2">
      <c r="A2292">
        <v>7508</v>
      </c>
      <c r="B2292" t="s">
        <v>198</v>
      </c>
    </row>
    <row r="2293" spans="1:2">
      <c r="A2293">
        <v>7407</v>
      </c>
      <c r="B2293" t="s">
        <v>198</v>
      </c>
    </row>
    <row r="2294" spans="1:2">
      <c r="A2294">
        <v>7410</v>
      </c>
      <c r="B2294" t="s">
        <v>198</v>
      </c>
    </row>
    <row r="2295" spans="1:2">
      <c r="A2295">
        <v>7452</v>
      </c>
      <c r="B2295" t="s">
        <v>198</v>
      </c>
    </row>
    <row r="2296" spans="1:2">
      <c r="A2296">
        <v>7506</v>
      </c>
      <c r="B2296" t="s">
        <v>198</v>
      </c>
    </row>
    <row r="2297" spans="1:2">
      <c r="A2297">
        <v>7514</v>
      </c>
      <c r="B2297" t="s">
        <v>198</v>
      </c>
    </row>
    <row r="2298" spans="1:2">
      <c r="A2298">
        <v>7524</v>
      </c>
      <c r="B2298" t="s">
        <v>198</v>
      </c>
    </row>
    <row r="2299" spans="1:2">
      <c r="A2299">
        <v>7424</v>
      </c>
      <c r="B2299" t="s">
        <v>198</v>
      </c>
    </row>
    <row r="2300" spans="1:2">
      <c r="A2300">
        <v>7501</v>
      </c>
      <c r="B2300" t="s">
        <v>198</v>
      </c>
    </row>
    <row r="2301" spans="1:2">
      <c r="A2301">
        <v>7502</v>
      </c>
      <c r="B2301" t="s">
        <v>198</v>
      </c>
    </row>
    <row r="2302" spans="1:2">
      <c r="A2302">
        <v>7503</v>
      </c>
      <c r="B2302" t="s">
        <v>198</v>
      </c>
    </row>
    <row r="2303" spans="1:2">
      <c r="A2303">
        <v>7504</v>
      </c>
      <c r="B2303" t="s">
        <v>198</v>
      </c>
    </row>
    <row r="2304" spans="1:2">
      <c r="A2304">
        <v>7505</v>
      </c>
      <c r="B2304" t="s">
        <v>198</v>
      </c>
    </row>
    <row r="2305" spans="1:2">
      <c r="A2305">
        <v>7512</v>
      </c>
      <c r="B2305" t="s">
        <v>198</v>
      </c>
    </row>
    <row r="2306" spans="1:2">
      <c r="A2306">
        <v>7513</v>
      </c>
      <c r="B2306" t="s">
        <v>198</v>
      </c>
    </row>
    <row r="2307" spans="1:2">
      <c r="A2307">
        <v>7522</v>
      </c>
      <c r="B2307" t="s">
        <v>198</v>
      </c>
    </row>
    <row r="2308" spans="1:2">
      <c r="A2308">
        <v>7011</v>
      </c>
      <c r="B2308" t="s">
        <v>198</v>
      </c>
    </row>
    <row r="2309" spans="1:2">
      <c r="A2309">
        <v>7026</v>
      </c>
      <c r="B2309" t="s">
        <v>198</v>
      </c>
    </row>
    <row r="2310" spans="1:2">
      <c r="A2310">
        <v>7663</v>
      </c>
      <c r="B2310" t="s">
        <v>198</v>
      </c>
    </row>
    <row r="2311" spans="1:2">
      <c r="A2311">
        <v>10901</v>
      </c>
      <c r="B2311" t="s">
        <v>198</v>
      </c>
    </row>
    <row r="2312" spans="1:2">
      <c r="A2312">
        <v>10923</v>
      </c>
      <c r="B2312" t="s">
        <v>198</v>
      </c>
    </row>
    <row r="2313" spans="1:2">
      <c r="A2313">
        <v>10927</v>
      </c>
      <c r="B2313" t="s">
        <v>198</v>
      </c>
    </row>
    <row r="2314" spans="1:2">
      <c r="A2314">
        <v>10970</v>
      </c>
      <c r="B2314" t="s">
        <v>198</v>
      </c>
    </row>
    <row r="2315" spans="1:2">
      <c r="A2315">
        <v>10980</v>
      </c>
      <c r="B2315" t="s">
        <v>198</v>
      </c>
    </row>
    <row r="2316" spans="1:2">
      <c r="A2316">
        <v>10984</v>
      </c>
      <c r="B2316" t="s">
        <v>198</v>
      </c>
    </row>
    <row r="2317" spans="1:2">
      <c r="A2317">
        <v>10993</v>
      </c>
      <c r="B2317" t="s">
        <v>198</v>
      </c>
    </row>
    <row r="2318" spans="1:2">
      <c r="A2318">
        <v>10952</v>
      </c>
      <c r="B2318" t="s">
        <v>198</v>
      </c>
    </row>
    <row r="2319" spans="1:2">
      <c r="A2319">
        <v>10977</v>
      </c>
      <c r="B2319" t="s">
        <v>198</v>
      </c>
    </row>
    <row r="2320" spans="1:2">
      <c r="A2320">
        <v>10954</v>
      </c>
      <c r="B2320" t="s">
        <v>198</v>
      </c>
    </row>
    <row r="2321" spans="1:2">
      <c r="A2321">
        <v>10956</v>
      </c>
      <c r="B2321" t="s">
        <v>198</v>
      </c>
    </row>
    <row r="2322" spans="1:2">
      <c r="A2322">
        <v>10965</v>
      </c>
      <c r="B2322" t="s">
        <v>198</v>
      </c>
    </row>
    <row r="2323" spans="1:2">
      <c r="A2323">
        <v>10994</v>
      </c>
      <c r="B2323" t="s">
        <v>198</v>
      </c>
    </row>
    <row r="2324" spans="1:2">
      <c r="A2324">
        <v>7607</v>
      </c>
      <c r="B2324" t="s">
        <v>198</v>
      </c>
    </row>
    <row r="2325" spans="1:2">
      <c r="A2325">
        <v>7630</v>
      </c>
      <c r="B2325" t="s">
        <v>198</v>
      </c>
    </row>
    <row r="2326" spans="1:2">
      <c r="A2326">
        <v>7646</v>
      </c>
      <c r="B2326" t="s">
        <v>198</v>
      </c>
    </row>
    <row r="2327" spans="1:2">
      <c r="A2327">
        <v>7649</v>
      </c>
      <c r="B2327" t="s">
        <v>198</v>
      </c>
    </row>
    <row r="2328" spans="1:2">
      <c r="A2328">
        <v>7652</v>
      </c>
      <c r="B2328" t="s">
        <v>198</v>
      </c>
    </row>
    <row r="2329" spans="1:2">
      <c r="A2329">
        <v>7661</v>
      </c>
      <c r="B2329" t="s">
        <v>198</v>
      </c>
    </row>
    <row r="2330" spans="1:2">
      <c r="A2330">
        <v>7662</v>
      </c>
      <c r="B2330" t="s">
        <v>198</v>
      </c>
    </row>
    <row r="2331" spans="1:2">
      <c r="A2331">
        <v>7417</v>
      </c>
      <c r="B2331" t="s">
        <v>198</v>
      </c>
    </row>
    <row r="2332" spans="1:2">
      <c r="A2332">
        <v>7423</v>
      </c>
      <c r="B2332" t="s">
        <v>198</v>
      </c>
    </row>
    <row r="2333" spans="1:2">
      <c r="A2333">
        <v>7432</v>
      </c>
      <c r="B2333" t="s">
        <v>198</v>
      </c>
    </row>
    <row r="2334" spans="1:2">
      <c r="A2334">
        <v>7436</v>
      </c>
      <c r="B2334" t="s">
        <v>198</v>
      </c>
    </row>
    <row r="2335" spans="1:2">
      <c r="A2335">
        <v>7450</v>
      </c>
      <c r="B2335" t="s">
        <v>198</v>
      </c>
    </row>
    <row r="2336" spans="1:2">
      <c r="A2336">
        <v>7463</v>
      </c>
      <c r="B2336" t="s">
        <v>198</v>
      </c>
    </row>
    <row r="2337" spans="1:2">
      <c r="A2337">
        <v>7465</v>
      </c>
      <c r="B2337" t="s">
        <v>198</v>
      </c>
    </row>
    <row r="2338" spans="1:2">
      <c r="A2338">
        <v>7481</v>
      </c>
      <c r="B2338" t="s">
        <v>198</v>
      </c>
    </row>
    <row r="2339" spans="1:2">
      <c r="A2339">
        <v>7401</v>
      </c>
      <c r="B2339" t="s">
        <v>198</v>
      </c>
    </row>
    <row r="2340" spans="1:2">
      <c r="A2340">
        <v>7430</v>
      </c>
      <c r="B2340" t="s">
        <v>198</v>
      </c>
    </row>
    <row r="2341" spans="1:2">
      <c r="A2341">
        <v>7446</v>
      </c>
      <c r="B2341" t="s">
        <v>198</v>
      </c>
    </row>
    <row r="2342" spans="1:2">
      <c r="A2342">
        <v>7456</v>
      </c>
      <c r="B2342" t="s">
        <v>198</v>
      </c>
    </row>
    <row r="2343" spans="1:2">
      <c r="A2343">
        <v>7458</v>
      </c>
      <c r="B2343" t="s">
        <v>198</v>
      </c>
    </row>
    <row r="2344" spans="1:2">
      <c r="A2344">
        <v>7642</v>
      </c>
      <c r="B2344" t="s">
        <v>198</v>
      </c>
    </row>
    <row r="2345" spans="1:2">
      <c r="A2345">
        <v>7645</v>
      </c>
      <c r="B2345" t="s">
        <v>198</v>
      </c>
    </row>
    <row r="2346" spans="1:2">
      <c r="A2346">
        <v>7656</v>
      </c>
      <c r="B2346" t="s">
        <v>198</v>
      </c>
    </row>
    <row r="2347" spans="1:2">
      <c r="A2347">
        <v>7675</v>
      </c>
      <c r="B2347" t="s">
        <v>198</v>
      </c>
    </row>
    <row r="2348" spans="1:2">
      <c r="A2348">
        <v>7676</v>
      </c>
      <c r="B2348" t="s">
        <v>198</v>
      </c>
    </row>
    <row r="2349" spans="1:2">
      <c r="A2349">
        <v>7677</v>
      </c>
      <c r="B2349" t="s">
        <v>198</v>
      </c>
    </row>
    <row r="2350" spans="1:2">
      <c r="A2350">
        <v>7621</v>
      </c>
      <c r="B2350" t="s">
        <v>198</v>
      </c>
    </row>
    <row r="2351" spans="1:2">
      <c r="A2351">
        <v>7626</v>
      </c>
      <c r="B2351" t="s">
        <v>198</v>
      </c>
    </row>
    <row r="2352" spans="1:2">
      <c r="A2352">
        <v>7627</v>
      </c>
      <c r="B2352" t="s">
        <v>198</v>
      </c>
    </row>
    <row r="2353" spans="1:2">
      <c r="A2353">
        <v>7628</v>
      </c>
      <c r="B2353" t="s">
        <v>198</v>
      </c>
    </row>
    <row r="2354" spans="1:2">
      <c r="A2354">
        <v>7641</v>
      </c>
      <c r="B2354" t="s">
        <v>198</v>
      </c>
    </row>
    <row r="2355" spans="1:2">
      <c r="A2355">
        <v>7670</v>
      </c>
      <c r="B2355" t="s">
        <v>198</v>
      </c>
    </row>
    <row r="2356" spans="1:2">
      <c r="A2356">
        <v>7620</v>
      </c>
      <c r="B2356" t="s">
        <v>198</v>
      </c>
    </row>
    <row r="2357" spans="1:2">
      <c r="A2357">
        <v>7624</v>
      </c>
      <c r="B2357" t="s">
        <v>198</v>
      </c>
    </row>
    <row r="2358" spans="1:2">
      <c r="A2358">
        <v>7640</v>
      </c>
      <c r="B2358" t="s">
        <v>198</v>
      </c>
    </row>
    <row r="2359" spans="1:2">
      <c r="A2359">
        <v>7647</v>
      </c>
      <c r="B2359" t="s">
        <v>198</v>
      </c>
    </row>
    <row r="2360" spans="1:2">
      <c r="A2360">
        <v>7648</v>
      </c>
      <c r="B2360" t="s">
        <v>198</v>
      </c>
    </row>
    <row r="2361" spans="1:2">
      <c r="A2361">
        <v>10913</v>
      </c>
      <c r="B2361" t="s">
        <v>198</v>
      </c>
    </row>
    <row r="2362" spans="1:2">
      <c r="A2362">
        <v>10920</v>
      </c>
      <c r="B2362" t="s">
        <v>198</v>
      </c>
    </row>
    <row r="2363" spans="1:2">
      <c r="A2363">
        <v>10960</v>
      </c>
      <c r="B2363" t="s">
        <v>198</v>
      </c>
    </row>
    <row r="2364" spans="1:2">
      <c r="A2364">
        <v>10962</v>
      </c>
      <c r="B2364" t="s">
        <v>198</v>
      </c>
    </row>
    <row r="2365" spans="1:2">
      <c r="A2365">
        <v>10964</v>
      </c>
      <c r="B2365" t="s">
        <v>198</v>
      </c>
    </row>
    <row r="2366" spans="1:2">
      <c r="A2366">
        <v>10968</v>
      </c>
      <c r="B2366" t="s">
        <v>198</v>
      </c>
    </row>
    <row r="2367" spans="1:2">
      <c r="A2367">
        <v>10976</v>
      </c>
      <c r="B2367" t="s">
        <v>198</v>
      </c>
    </row>
    <row r="2368" spans="1:2">
      <c r="A2368">
        <v>10983</v>
      </c>
      <c r="B2368" t="s">
        <v>198</v>
      </c>
    </row>
    <row r="2369" spans="1:2">
      <c r="A2369">
        <v>10989</v>
      </c>
      <c r="B2369" t="s">
        <v>198</v>
      </c>
    </row>
    <row r="2370" spans="1:2">
      <c r="A2370">
        <v>7701</v>
      </c>
      <c r="B2370" t="s">
        <v>198</v>
      </c>
    </row>
    <row r="2371" spans="1:2">
      <c r="A2371">
        <v>7704</v>
      </c>
      <c r="B2371" t="s">
        <v>198</v>
      </c>
    </row>
    <row r="2372" spans="1:2">
      <c r="A2372">
        <v>7716</v>
      </c>
      <c r="B2372" t="s">
        <v>198</v>
      </c>
    </row>
    <row r="2373" spans="1:2">
      <c r="A2373">
        <v>7718</v>
      </c>
      <c r="B2373" t="s">
        <v>198</v>
      </c>
    </row>
    <row r="2374" spans="1:2">
      <c r="A2374">
        <v>7732</v>
      </c>
      <c r="B2374" t="s">
        <v>198</v>
      </c>
    </row>
    <row r="2375" spans="1:2">
      <c r="A2375">
        <v>7737</v>
      </c>
      <c r="B2375" t="s">
        <v>198</v>
      </c>
    </row>
    <row r="2376" spans="1:2">
      <c r="A2376">
        <v>7738</v>
      </c>
      <c r="B2376" t="s">
        <v>198</v>
      </c>
    </row>
    <row r="2377" spans="1:2">
      <c r="A2377">
        <v>7739</v>
      </c>
      <c r="B2377" t="s">
        <v>198</v>
      </c>
    </row>
    <row r="2378" spans="1:2">
      <c r="A2378">
        <v>7758</v>
      </c>
      <c r="B2378" t="s">
        <v>198</v>
      </c>
    </row>
    <row r="2379" spans="1:2">
      <c r="A2379">
        <v>7760</v>
      </c>
      <c r="B2379" t="s">
        <v>198</v>
      </c>
    </row>
    <row r="2380" spans="1:2">
      <c r="A2380">
        <v>7702</v>
      </c>
      <c r="B2380" t="s">
        <v>198</v>
      </c>
    </row>
    <row r="2381" spans="1:2">
      <c r="A2381">
        <v>7723</v>
      </c>
      <c r="B2381" t="s">
        <v>198</v>
      </c>
    </row>
    <row r="2382" spans="1:2">
      <c r="A2382">
        <v>7724</v>
      </c>
      <c r="B2382" t="s">
        <v>198</v>
      </c>
    </row>
    <row r="2383" spans="1:2">
      <c r="A2383">
        <v>7740</v>
      </c>
      <c r="B2383" t="s">
        <v>198</v>
      </c>
    </row>
    <row r="2384" spans="1:2">
      <c r="A2384">
        <v>7750</v>
      </c>
      <c r="B2384" t="s">
        <v>198</v>
      </c>
    </row>
    <row r="2385" spans="1:2">
      <c r="A2385">
        <v>7755</v>
      </c>
      <c r="B2385" t="s">
        <v>198</v>
      </c>
    </row>
    <row r="2386" spans="1:2">
      <c r="A2386">
        <v>7757</v>
      </c>
      <c r="B2386" t="s">
        <v>198</v>
      </c>
    </row>
    <row r="2387" spans="1:2">
      <c r="A2387">
        <v>7764</v>
      </c>
      <c r="B2387" t="s">
        <v>198</v>
      </c>
    </row>
    <row r="2388" spans="1:2">
      <c r="A2388">
        <v>7711</v>
      </c>
      <c r="B2388" t="s">
        <v>198</v>
      </c>
    </row>
    <row r="2389" spans="1:2">
      <c r="A2389">
        <v>7712</v>
      </c>
      <c r="B2389" t="s">
        <v>198</v>
      </c>
    </row>
    <row r="2390" spans="1:2">
      <c r="A2390">
        <v>7717</v>
      </c>
      <c r="B2390" t="s">
        <v>198</v>
      </c>
    </row>
    <row r="2391" spans="1:2">
      <c r="A2391">
        <v>7720</v>
      </c>
      <c r="B2391" t="s">
        <v>198</v>
      </c>
    </row>
    <row r="2392" spans="1:2">
      <c r="A2392">
        <v>7753</v>
      </c>
      <c r="B2392" t="s">
        <v>198</v>
      </c>
    </row>
    <row r="2393" spans="1:2">
      <c r="A2393">
        <v>7756</v>
      </c>
      <c r="B2393" t="s">
        <v>198</v>
      </c>
    </row>
    <row r="2394" spans="1:2">
      <c r="A2394">
        <v>7719</v>
      </c>
      <c r="B2394" t="s">
        <v>198</v>
      </c>
    </row>
    <row r="2395" spans="1:2">
      <c r="A2395">
        <v>7762</v>
      </c>
      <c r="B2395" t="s">
        <v>198</v>
      </c>
    </row>
    <row r="2396" spans="1:2">
      <c r="A2396">
        <v>8730</v>
      </c>
      <c r="B2396" t="s">
        <v>198</v>
      </c>
    </row>
    <row r="2397" spans="1:2">
      <c r="A2397">
        <v>8736</v>
      </c>
      <c r="B2397" t="s">
        <v>198</v>
      </c>
    </row>
    <row r="2398" spans="1:2">
      <c r="A2398">
        <v>8738</v>
      </c>
      <c r="B2398" t="s">
        <v>198</v>
      </c>
    </row>
    <row r="2399" spans="1:2">
      <c r="A2399">
        <v>8742</v>
      </c>
      <c r="B2399" t="s">
        <v>198</v>
      </c>
    </row>
    <row r="2400" spans="1:2">
      <c r="A2400">
        <v>8750</v>
      </c>
      <c r="B2400" t="s">
        <v>198</v>
      </c>
    </row>
    <row r="2401" spans="1:2">
      <c r="A2401">
        <v>7730</v>
      </c>
      <c r="B2401" t="s">
        <v>198</v>
      </c>
    </row>
    <row r="2402" spans="1:2">
      <c r="A2402">
        <v>7733</v>
      </c>
      <c r="B2402" t="s">
        <v>198</v>
      </c>
    </row>
    <row r="2403" spans="1:2">
      <c r="A2403">
        <v>7734</v>
      </c>
      <c r="B2403" t="s">
        <v>198</v>
      </c>
    </row>
    <row r="2404" spans="1:2">
      <c r="A2404">
        <v>7735</v>
      </c>
      <c r="B2404" t="s">
        <v>198</v>
      </c>
    </row>
    <row r="2405" spans="1:2">
      <c r="A2405">
        <v>7748</v>
      </c>
      <c r="B2405" t="s">
        <v>198</v>
      </c>
    </row>
    <row r="2406" spans="1:2">
      <c r="A2406">
        <v>8723</v>
      </c>
      <c r="B2406" t="s">
        <v>198</v>
      </c>
    </row>
    <row r="2407" spans="1:2">
      <c r="A2407">
        <v>8724</v>
      </c>
      <c r="B2407" t="s">
        <v>198</v>
      </c>
    </row>
    <row r="2408" spans="1:2">
      <c r="A2408">
        <v>7722</v>
      </c>
      <c r="B2408" t="s">
        <v>198</v>
      </c>
    </row>
    <row r="2409" spans="1:2">
      <c r="A2409">
        <v>7727</v>
      </c>
      <c r="B2409" t="s">
        <v>198</v>
      </c>
    </row>
    <row r="2410" spans="1:2">
      <c r="A2410">
        <v>7728</v>
      </c>
      <c r="B2410" t="s">
        <v>198</v>
      </c>
    </row>
    <row r="2411" spans="1:2">
      <c r="A2411">
        <v>8753</v>
      </c>
      <c r="B2411" t="s">
        <v>198</v>
      </c>
    </row>
    <row r="2412" spans="1:2">
      <c r="A2412">
        <v>8755</v>
      </c>
      <c r="B2412" t="s">
        <v>198</v>
      </c>
    </row>
    <row r="2413" spans="1:2">
      <c r="A2413">
        <v>8759</v>
      </c>
      <c r="B2413" t="s">
        <v>198</v>
      </c>
    </row>
    <row r="2414" spans="1:2">
      <c r="A2414">
        <v>7731</v>
      </c>
      <c r="B2414" t="s">
        <v>198</v>
      </c>
    </row>
    <row r="2415" spans="1:2">
      <c r="A2415">
        <v>8701</v>
      </c>
      <c r="B2415" t="s">
        <v>198</v>
      </c>
    </row>
    <row r="2416" spans="1:2">
      <c r="A2416">
        <v>7746</v>
      </c>
      <c r="B2416" t="s">
        <v>198</v>
      </c>
    </row>
    <row r="2417" spans="1:2">
      <c r="A2417">
        <v>7751</v>
      </c>
      <c r="B2417" t="s">
        <v>198</v>
      </c>
    </row>
    <row r="2418" spans="1:2">
      <c r="A2418">
        <v>8857</v>
      </c>
      <c r="B2418" t="s">
        <v>198</v>
      </c>
    </row>
    <row r="2419" spans="1:2">
      <c r="A2419">
        <v>7721</v>
      </c>
      <c r="B2419" t="s">
        <v>198</v>
      </c>
    </row>
    <row r="2420" spans="1:2">
      <c r="A2420">
        <v>7747</v>
      </c>
      <c r="B2420" t="s">
        <v>198</v>
      </c>
    </row>
    <row r="2421" spans="1:2">
      <c r="A2421">
        <v>8859</v>
      </c>
      <c r="B2421" t="s">
        <v>198</v>
      </c>
    </row>
    <row r="2422" spans="1:2">
      <c r="A2422">
        <v>8879</v>
      </c>
      <c r="B2422" t="s">
        <v>198</v>
      </c>
    </row>
    <row r="2423" spans="1:2">
      <c r="A2423">
        <v>7726</v>
      </c>
      <c r="B2423" t="s">
        <v>198</v>
      </c>
    </row>
    <row r="2424" spans="1:2">
      <c r="A2424">
        <v>8510</v>
      </c>
      <c r="B2424" t="s">
        <v>198</v>
      </c>
    </row>
    <row r="2425" spans="1:2">
      <c r="A2425">
        <v>8520</v>
      </c>
      <c r="B2425" t="s">
        <v>198</v>
      </c>
    </row>
    <row r="2426" spans="1:2">
      <c r="A2426">
        <v>8535</v>
      </c>
      <c r="B2426" t="s">
        <v>198</v>
      </c>
    </row>
    <row r="2427" spans="1:2">
      <c r="A2427">
        <v>8514</v>
      </c>
      <c r="B2427" t="s">
        <v>198</v>
      </c>
    </row>
    <row r="2428" spans="1:2">
      <c r="A2428">
        <v>8527</v>
      </c>
      <c r="B2428" t="s">
        <v>198</v>
      </c>
    </row>
    <row r="2429" spans="1:2">
      <c r="A2429">
        <v>8525</v>
      </c>
      <c r="B2429" t="s">
        <v>198</v>
      </c>
    </row>
    <row r="2430" spans="1:2">
      <c r="A2430">
        <v>8530</v>
      </c>
      <c r="B2430" t="s">
        <v>198</v>
      </c>
    </row>
    <row r="2431" spans="1:2">
      <c r="A2431">
        <v>8534</v>
      </c>
      <c r="B2431" t="s">
        <v>198</v>
      </c>
    </row>
    <row r="2432" spans="1:2">
      <c r="A2432">
        <v>8560</v>
      </c>
      <c r="B2432" t="s">
        <v>198</v>
      </c>
    </row>
    <row r="2433" spans="1:2">
      <c r="A2433">
        <v>8628</v>
      </c>
      <c r="B2433" t="s">
        <v>198</v>
      </c>
    </row>
    <row r="2434" spans="1:2">
      <c r="A2434">
        <v>8512</v>
      </c>
      <c r="B2434" t="s">
        <v>198</v>
      </c>
    </row>
    <row r="2435" spans="1:2">
      <c r="A2435">
        <v>8536</v>
      </c>
      <c r="B2435" t="s">
        <v>198</v>
      </c>
    </row>
    <row r="2436" spans="1:2">
      <c r="A2436">
        <v>8550</v>
      </c>
      <c r="B2436" t="s">
        <v>198</v>
      </c>
    </row>
    <row r="2437" spans="1:2">
      <c r="A2437">
        <v>8831</v>
      </c>
      <c r="B2437" t="s">
        <v>198</v>
      </c>
    </row>
    <row r="2438" spans="1:2">
      <c r="A2438">
        <v>8551</v>
      </c>
      <c r="B2438" t="s">
        <v>198</v>
      </c>
    </row>
    <row r="2439" spans="1:2">
      <c r="A2439">
        <v>8559</v>
      </c>
      <c r="B2439" t="s">
        <v>198</v>
      </c>
    </row>
    <row r="2440" spans="1:2">
      <c r="A2440">
        <v>8822</v>
      </c>
      <c r="B2440" t="s">
        <v>198</v>
      </c>
    </row>
    <row r="2441" spans="1:2">
      <c r="A2441">
        <v>8609</v>
      </c>
      <c r="B2441" t="s">
        <v>198</v>
      </c>
    </row>
    <row r="2442" spans="1:2">
      <c r="A2442">
        <v>8619</v>
      </c>
      <c r="B2442" t="s">
        <v>198</v>
      </c>
    </row>
    <row r="2443" spans="1:2">
      <c r="A2443">
        <v>8629</v>
      </c>
      <c r="B2443" t="s">
        <v>198</v>
      </c>
    </row>
    <row r="2444" spans="1:2">
      <c r="A2444">
        <v>8690</v>
      </c>
      <c r="B2444" t="s">
        <v>198</v>
      </c>
    </row>
    <row r="2445" spans="1:2">
      <c r="A2445">
        <v>8691</v>
      </c>
      <c r="B2445" t="s">
        <v>198</v>
      </c>
    </row>
    <row r="2446" spans="1:2">
      <c r="A2446">
        <v>8618</v>
      </c>
      <c r="B2446" t="s">
        <v>198</v>
      </c>
    </row>
    <row r="2447" spans="1:2">
      <c r="A2447">
        <v>8638</v>
      </c>
      <c r="B2447" t="s">
        <v>198</v>
      </c>
    </row>
    <row r="2448" spans="1:2">
      <c r="A2448">
        <v>8648</v>
      </c>
      <c r="B2448" t="s">
        <v>198</v>
      </c>
    </row>
    <row r="2449" spans="1:2">
      <c r="A2449">
        <v>8807</v>
      </c>
      <c r="B2449" t="s">
        <v>198</v>
      </c>
    </row>
    <row r="2450" spans="1:2">
      <c r="A2450">
        <v>8844</v>
      </c>
      <c r="B2450" t="s">
        <v>198</v>
      </c>
    </row>
    <row r="2451" spans="1:2">
      <c r="A2451">
        <v>8869</v>
      </c>
      <c r="B2451" t="s">
        <v>198</v>
      </c>
    </row>
    <row r="2452" spans="1:2">
      <c r="A2452">
        <v>8876</v>
      </c>
      <c r="B2452" t="s">
        <v>198</v>
      </c>
    </row>
    <row r="2453" spans="1:2">
      <c r="A2453">
        <v>8810</v>
      </c>
      <c r="B2453" t="s">
        <v>198</v>
      </c>
    </row>
    <row r="2454" spans="1:2">
      <c r="A2454">
        <v>8823</v>
      </c>
      <c r="B2454" t="s">
        <v>198</v>
      </c>
    </row>
    <row r="2455" spans="1:2">
      <c r="A2455">
        <v>8824</v>
      </c>
      <c r="B2455" t="s">
        <v>198</v>
      </c>
    </row>
    <row r="2456" spans="1:2">
      <c r="A2456">
        <v>8850</v>
      </c>
      <c r="B2456" t="s">
        <v>198</v>
      </c>
    </row>
    <row r="2457" spans="1:2">
      <c r="A2457">
        <v>8852</v>
      </c>
      <c r="B2457" t="s">
        <v>198</v>
      </c>
    </row>
    <row r="2458" spans="1:2">
      <c r="A2458">
        <v>8902</v>
      </c>
      <c r="B2458" t="s">
        <v>198</v>
      </c>
    </row>
    <row r="2459" spans="1:2">
      <c r="A2459">
        <v>8816</v>
      </c>
      <c r="B2459" t="s">
        <v>198</v>
      </c>
    </row>
    <row r="2460" spans="1:2">
      <c r="A2460">
        <v>8828</v>
      </c>
      <c r="B2460" t="s">
        <v>198</v>
      </c>
    </row>
    <row r="2461" spans="1:2">
      <c r="A2461">
        <v>8872</v>
      </c>
      <c r="B2461" t="s">
        <v>198</v>
      </c>
    </row>
    <row r="2462" spans="1:2">
      <c r="A2462">
        <v>8882</v>
      </c>
      <c r="B2462" t="s">
        <v>198</v>
      </c>
    </row>
    <row r="2463" spans="1:2">
      <c r="A2463">
        <v>8884</v>
      </c>
      <c r="B2463" t="s">
        <v>198</v>
      </c>
    </row>
    <row r="2464" spans="1:2">
      <c r="A2464">
        <v>8835</v>
      </c>
      <c r="B2464" t="s">
        <v>198</v>
      </c>
    </row>
    <row r="2465" spans="1:2">
      <c r="A2465">
        <v>8873</v>
      </c>
      <c r="B2465" t="s">
        <v>198</v>
      </c>
    </row>
    <row r="2466" spans="1:2">
      <c r="A2466">
        <v>8901</v>
      </c>
      <c r="B2466" t="s">
        <v>198</v>
      </c>
    </row>
    <row r="2467" spans="1:2">
      <c r="A2467">
        <v>8801</v>
      </c>
      <c r="B2467" t="s">
        <v>198</v>
      </c>
    </row>
    <row r="2468" spans="1:2">
      <c r="A2468">
        <v>8833</v>
      </c>
      <c r="B2468" t="s">
        <v>198</v>
      </c>
    </row>
    <row r="2469" spans="1:2">
      <c r="A2469">
        <v>8853</v>
      </c>
      <c r="B2469" t="s">
        <v>198</v>
      </c>
    </row>
    <row r="2470" spans="1:2">
      <c r="A2470">
        <v>8889</v>
      </c>
      <c r="B2470" t="s">
        <v>198</v>
      </c>
    </row>
    <row r="2471" spans="1:2">
      <c r="A2471">
        <v>8502</v>
      </c>
      <c r="B2471" t="s">
        <v>198</v>
      </c>
    </row>
    <row r="2472" spans="1:2">
      <c r="A2472">
        <v>8540</v>
      </c>
      <c r="B2472" t="s">
        <v>198</v>
      </c>
    </row>
    <row r="2473" spans="1:2">
      <c r="A2473">
        <v>8542</v>
      </c>
      <c r="B2473" t="s">
        <v>198</v>
      </c>
    </row>
    <row r="2474" spans="1:2">
      <c r="A2474">
        <v>8544</v>
      </c>
      <c r="B2474" t="s">
        <v>198</v>
      </c>
    </row>
    <row r="2475" spans="1:2">
      <c r="A2475">
        <v>8558</v>
      </c>
      <c r="B2475" t="s">
        <v>198</v>
      </c>
    </row>
    <row r="2476" spans="1:2">
      <c r="A2476">
        <v>11413</v>
      </c>
      <c r="B2476" t="s">
        <v>198</v>
      </c>
    </row>
    <row r="2477" spans="1:2">
      <c r="A2477">
        <v>11411</v>
      </c>
      <c r="B2477" t="s">
        <v>198</v>
      </c>
    </row>
    <row r="2478" spans="1:2">
      <c r="A2478">
        <v>11422</v>
      </c>
      <c r="B2478" t="s">
        <v>198</v>
      </c>
    </row>
    <row r="2479" spans="1:2">
      <c r="A2479">
        <v>11412</v>
      </c>
      <c r="B2479" t="s">
        <v>198</v>
      </c>
    </row>
    <row r="2480" spans="1:2">
      <c r="A2480">
        <v>11423</v>
      </c>
      <c r="B2480" t="s">
        <v>198</v>
      </c>
    </row>
    <row r="2481" spans="1:2">
      <c r="A2481">
        <v>11429</v>
      </c>
      <c r="B2481" t="s">
        <v>198</v>
      </c>
    </row>
    <row r="2482" spans="1:2">
      <c r="A2482">
        <v>11374</v>
      </c>
      <c r="B2482" t="s">
        <v>198</v>
      </c>
    </row>
    <row r="2483" spans="1:2">
      <c r="A2483">
        <v>11375</v>
      </c>
      <c r="B2483" t="s">
        <v>198</v>
      </c>
    </row>
    <row r="2484" spans="1:2">
      <c r="A2484">
        <v>11415</v>
      </c>
      <c r="B2484" t="s">
        <v>198</v>
      </c>
    </row>
    <row r="2485" spans="1:2">
      <c r="A2485">
        <v>11418</v>
      </c>
      <c r="B2485" t="s">
        <v>198</v>
      </c>
    </row>
    <row r="2486" spans="1:2">
      <c r="A2486">
        <v>11421</v>
      </c>
      <c r="B2486" t="s">
        <v>198</v>
      </c>
    </row>
    <row r="2487" spans="1:2">
      <c r="A2487">
        <v>11414</v>
      </c>
      <c r="B2487" t="s">
        <v>198</v>
      </c>
    </row>
    <row r="2488" spans="1:2">
      <c r="A2488">
        <v>11416</v>
      </c>
      <c r="B2488" t="s">
        <v>198</v>
      </c>
    </row>
    <row r="2489" spans="1:2">
      <c r="A2489">
        <v>11417</v>
      </c>
      <c r="B2489" t="s">
        <v>198</v>
      </c>
    </row>
    <row r="2490" spans="1:2">
      <c r="A2490">
        <v>11367</v>
      </c>
      <c r="B2490" t="s">
        <v>198</v>
      </c>
    </row>
    <row r="2491" spans="1:2">
      <c r="A2491">
        <v>11435</v>
      </c>
      <c r="B2491" t="s">
        <v>198</v>
      </c>
    </row>
    <row r="2492" spans="1:2">
      <c r="A2492">
        <v>11419</v>
      </c>
      <c r="B2492" t="s">
        <v>198</v>
      </c>
    </row>
    <row r="2493" spans="1:2">
      <c r="A2493">
        <v>11420</v>
      </c>
      <c r="B2493" t="s">
        <v>198</v>
      </c>
    </row>
    <row r="2494" spans="1:2">
      <c r="A2494">
        <v>11432</v>
      </c>
      <c r="B2494" t="s">
        <v>198</v>
      </c>
    </row>
    <row r="2495" spans="1:2">
      <c r="A2495">
        <v>11433</v>
      </c>
      <c r="B2495" t="s">
        <v>198</v>
      </c>
    </row>
    <row r="2496" spans="1:2">
      <c r="A2496">
        <v>11451</v>
      </c>
      <c r="B2496" t="s">
        <v>198</v>
      </c>
    </row>
    <row r="2497" spans="1:2">
      <c r="A2497">
        <v>11425</v>
      </c>
      <c r="B2497" t="s">
        <v>198</v>
      </c>
    </row>
    <row r="2498" spans="1:2">
      <c r="A2498">
        <v>11434</v>
      </c>
      <c r="B2498" t="s">
        <v>198</v>
      </c>
    </row>
    <row r="2499" spans="1:2">
      <c r="A2499">
        <v>11436</v>
      </c>
      <c r="B2499" t="s">
        <v>198</v>
      </c>
    </row>
    <row r="2500" spans="1:2">
      <c r="A2500">
        <v>11236</v>
      </c>
      <c r="B2500" t="s">
        <v>198</v>
      </c>
    </row>
    <row r="2501" spans="1:2">
      <c r="A2501">
        <v>11203</v>
      </c>
      <c r="B2501" t="s">
        <v>198</v>
      </c>
    </row>
    <row r="2502" spans="1:2">
      <c r="A2502">
        <v>11210</v>
      </c>
      <c r="B2502" t="s">
        <v>198</v>
      </c>
    </row>
    <row r="2503" spans="1:2">
      <c r="A2503">
        <v>11204</v>
      </c>
      <c r="B2503" t="s">
        <v>198</v>
      </c>
    </row>
    <row r="2504" spans="1:2">
      <c r="A2504">
        <v>11214</v>
      </c>
      <c r="B2504" t="s">
        <v>198</v>
      </c>
    </row>
    <row r="2505" spans="1:2">
      <c r="A2505">
        <v>11209</v>
      </c>
      <c r="B2505" t="s">
        <v>198</v>
      </c>
    </row>
    <row r="2506" spans="1:2">
      <c r="A2506">
        <v>11228</v>
      </c>
      <c r="B2506" t="s">
        <v>198</v>
      </c>
    </row>
    <row r="2507" spans="1:2">
      <c r="A2507">
        <v>11218</v>
      </c>
      <c r="B2507" t="s">
        <v>198</v>
      </c>
    </row>
    <row r="2508" spans="1:2">
      <c r="A2508">
        <v>11230</v>
      </c>
      <c r="B2508" t="s">
        <v>198</v>
      </c>
    </row>
    <row r="2509" spans="1:2">
      <c r="A2509">
        <v>11219</v>
      </c>
      <c r="B2509" t="s">
        <v>198</v>
      </c>
    </row>
    <row r="2510" spans="1:2">
      <c r="A2510">
        <v>11220</v>
      </c>
      <c r="B2510" t="s">
        <v>198</v>
      </c>
    </row>
    <row r="2511" spans="1:2">
      <c r="A2511">
        <v>11223</v>
      </c>
      <c r="B2511" t="s">
        <v>198</v>
      </c>
    </row>
    <row r="2512" spans="1:2">
      <c r="A2512">
        <v>11229</v>
      </c>
      <c r="B2512" t="s">
        <v>198</v>
      </c>
    </row>
    <row r="2513" spans="1:2">
      <c r="A2513">
        <v>11379</v>
      </c>
      <c r="B2513" t="s">
        <v>198</v>
      </c>
    </row>
    <row r="2514" spans="1:2">
      <c r="A2514">
        <v>11385</v>
      </c>
      <c r="B2514" t="s">
        <v>198</v>
      </c>
    </row>
    <row r="2515" spans="1:2">
      <c r="A2515">
        <v>11207</v>
      </c>
      <c r="B2515" t="s">
        <v>198</v>
      </c>
    </row>
    <row r="2516" spans="1:2">
      <c r="A2516">
        <v>11208</v>
      </c>
      <c r="B2516" t="s">
        <v>198</v>
      </c>
    </row>
    <row r="2517" spans="1:2">
      <c r="A2517">
        <v>11239</v>
      </c>
      <c r="B2517" t="s">
        <v>198</v>
      </c>
    </row>
    <row r="2518" spans="1:2">
      <c r="A2518">
        <v>11354</v>
      </c>
      <c r="B2518" t="s">
        <v>198</v>
      </c>
    </row>
    <row r="2519" spans="1:2">
      <c r="A2519">
        <v>11356</v>
      </c>
      <c r="B2519" t="s">
        <v>198</v>
      </c>
    </row>
    <row r="2520" spans="1:2">
      <c r="A2520">
        <v>11357</v>
      </c>
      <c r="B2520" t="s">
        <v>198</v>
      </c>
    </row>
    <row r="2521" spans="1:2">
      <c r="A2521">
        <v>11364</v>
      </c>
      <c r="B2521" t="s">
        <v>198</v>
      </c>
    </row>
    <row r="2522" spans="1:2">
      <c r="A2522">
        <v>11365</v>
      </c>
      <c r="B2522" t="s">
        <v>198</v>
      </c>
    </row>
    <row r="2523" spans="1:2">
      <c r="A2523">
        <v>11366</v>
      </c>
      <c r="B2523" t="s">
        <v>198</v>
      </c>
    </row>
    <row r="2524" spans="1:2">
      <c r="A2524">
        <v>11369</v>
      </c>
      <c r="B2524" t="s">
        <v>198</v>
      </c>
    </row>
    <row r="2525" spans="1:2">
      <c r="A2525">
        <v>11370</v>
      </c>
      <c r="B2525" t="s">
        <v>198</v>
      </c>
    </row>
    <row r="2526" spans="1:2">
      <c r="A2526">
        <v>11372</v>
      </c>
      <c r="B2526" t="s">
        <v>198</v>
      </c>
    </row>
    <row r="2527" spans="1:2">
      <c r="A2527">
        <v>11358</v>
      </c>
      <c r="B2527" t="s">
        <v>198</v>
      </c>
    </row>
    <row r="2528" spans="1:2">
      <c r="A2528">
        <v>11359</v>
      </c>
      <c r="B2528" t="s">
        <v>198</v>
      </c>
    </row>
    <row r="2529" spans="1:2">
      <c r="A2529">
        <v>11360</v>
      </c>
      <c r="B2529" t="s">
        <v>198</v>
      </c>
    </row>
    <row r="2530" spans="1:2">
      <c r="A2530">
        <v>11361</v>
      </c>
      <c r="B2530" t="s">
        <v>198</v>
      </c>
    </row>
    <row r="2531" spans="1:2">
      <c r="A2531">
        <v>11355</v>
      </c>
      <c r="B2531" t="s">
        <v>198</v>
      </c>
    </row>
    <row r="2532" spans="1:2">
      <c r="A2532">
        <v>11368</v>
      </c>
      <c r="B2532" t="s">
        <v>198</v>
      </c>
    </row>
    <row r="2533" spans="1:2">
      <c r="A2533">
        <v>11373</v>
      </c>
      <c r="B2533" t="s">
        <v>198</v>
      </c>
    </row>
    <row r="2534" spans="1:2">
      <c r="A2534">
        <v>11378</v>
      </c>
      <c r="B2534" t="s">
        <v>198</v>
      </c>
    </row>
    <row r="2535" spans="1:2">
      <c r="A2535">
        <v>11102</v>
      </c>
      <c r="B2535" t="s">
        <v>198</v>
      </c>
    </row>
    <row r="2536" spans="1:2">
      <c r="A2536">
        <v>11103</v>
      </c>
      <c r="B2536" t="s">
        <v>198</v>
      </c>
    </row>
    <row r="2537" spans="1:2">
      <c r="A2537">
        <v>11105</v>
      </c>
      <c r="B2537" t="s">
        <v>198</v>
      </c>
    </row>
    <row r="2538" spans="1:2">
      <c r="A2538">
        <v>11104</v>
      </c>
      <c r="B2538" t="s">
        <v>198</v>
      </c>
    </row>
    <row r="2539" spans="1:2">
      <c r="A2539">
        <v>11377</v>
      </c>
      <c r="B2539" t="s">
        <v>198</v>
      </c>
    </row>
    <row r="2540" spans="1:2">
      <c r="A2540">
        <v>11211</v>
      </c>
      <c r="B2540" t="s">
        <v>198</v>
      </c>
    </row>
    <row r="2541" spans="1:2">
      <c r="A2541">
        <v>11222</v>
      </c>
      <c r="B2541" t="s">
        <v>198</v>
      </c>
    </row>
    <row r="2542" spans="1:2">
      <c r="A2542">
        <v>11520</v>
      </c>
      <c r="B2542" t="s">
        <v>198</v>
      </c>
    </row>
    <row r="2543" spans="1:2">
      <c r="A2543">
        <v>11566</v>
      </c>
      <c r="B2543" t="s">
        <v>198</v>
      </c>
    </row>
    <row r="2544" spans="1:2">
      <c r="A2544">
        <v>11575</v>
      </c>
      <c r="B2544" t="s">
        <v>198</v>
      </c>
    </row>
    <row r="2545" spans="1:2">
      <c r="A2545">
        <v>11758</v>
      </c>
      <c r="B2545" t="s">
        <v>198</v>
      </c>
    </row>
    <row r="2546" spans="1:2">
      <c r="A2546">
        <v>11762</v>
      </c>
      <c r="B2546" t="s">
        <v>198</v>
      </c>
    </row>
    <row r="2547" spans="1:2">
      <c r="A2547">
        <v>11701</v>
      </c>
      <c r="B2547" t="s">
        <v>198</v>
      </c>
    </row>
    <row r="2548" spans="1:2">
      <c r="A2548">
        <v>11726</v>
      </c>
      <c r="B2548" t="s">
        <v>198</v>
      </c>
    </row>
    <row r="2549" spans="1:2">
      <c r="A2549">
        <v>11757</v>
      </c>
      <c r="B2549" t="s">
        <v>198</v>
      </c>
    </row>
    <row r="2550" spans="1:2">
      <c r="A2550">
        <v>11569</v>
      </c>
      <c r="B2550" t="s">
        <v>198</v>
      </c>
    </row>
    <row r="2551" spans="1:2">
      <c r="A2551">
        <v>11710</v>
      </c>
      <c r="B2551" t="s">
        <v>198</v>
      </c>
    </row>
    <row r="2552" spans="1:2">
      <c r="A2552">
        <v>11783</v>
      </c>
      <c r="B2552" t="s">
        <v>198</v>
      </c>
    </row>
    <row r="2553" spans="1:2">
      <c r="A2553">
        <v>11793</v>
      </c>
      <c r="B2553" t="s">
        <v>198</v>
      </c>
    </row>
    <row r="2554" spans="1:2">
      <c r="A2554">
        <v>11003</v>
      </c>
      <c r="B2554" t="s">
        <v>198</v>
      </c>
    </row>
    <row r="2555" spans="1:2">
      <c r="A2555">
        <v>11580</v>
      </c>
      <c r="B2555" t="s">
        <v>198</v>
      </c>
    </row>
    <row r="2556" spans="1:2">
      <c r="A2556">
        <v>11010</v>
      </c>
      <c r="B2556" t="s">
        <v>198</v>
      </c>
    </row>
    <row r="2557" spans="1:2">
      <c r="A2557">
        <v>11549</v>
      </c>
      <c r="B2557" t="s">
        <v>198</v>
      </c>
    </row>
    <row r="2558" spans="1:2">
      <c r="A2558">
        <v>11550</v>
      </c>
      <c r="B2558" t="s">
        <v>198</v>
      </c>
    </row>
    <row r="2559" spans="1:2">
      <c r="A2559">
        <v>11552</v>
      </c>
      <c r="B2559" t="s">
        <v>198</v>
      </c>
    </row>
    <row r="2560" spans="1:2">
      <c r="A2560">
        <v>11565</v>
      </c>
      <c r="B2560" t="s">
        <v>198</v>
      </c>
    </row>
    <row r="2561" spans="1:2">
      <c r="A2561">
        <v>11096</v>
      </c>
      <c r="B2561" t="s">
        <v>198</v>
      </c>
    </row>
    <row r="2562" spans="1:2">
      <c r="A2562">
        <v>11509</v>
      </c>
      <c r="B2562" t="s">
        <v>198</v>
      </c>
    </row>
    <row r="2563" spans="1:2">
      <c r="A2563">
        <v>11516</v>
      </c>
      <c r="B2563" t="s">
        <v>198</v>
      </c>
    </row>
    <row r="2564" spans="1:2">
      <c r="A2564">
        <v>11559</v>
      </c>
      <c r="B2564" t="s">
        <v>198</v>
      </c>
    </row>
    <row r="2565" spans="1:2">
      <c r="A2565">
        <v>11561</v>
      </c>
      <c r="B2565" t="s">
        <v>198</v>
      </c>
    </row>
    <row r="2566" spans="1:2">
      <c r="A2566">
        <v>11598</v>
      </c>
      <c r="B2566" t="s">
        <v>198</v>
      </c>
    </row>
    <row r="2567" spans="1:2">
      <c r="A2567">
        <v>11553</v>
      </c>
      <c r="B2567" t="s">
        <v>198</v>
      </c>
    </row>
    <row r="2568" spans="1:2">
      <c r="A2568">
        <v>11554</v>
      </c>
      <c r="B2568" t="s">
        <v>198</v>
      </c>
    </row>
    <row r="2569" spans="1:2">
      <c r="A2569">
        <v>11756</v>
      </c>
      <c r="B2569" t="s">
        <v>198</v>
      </c>
    </row>
    <row r="2570" spans="1:2">
      <c r="A2570">
        <v>11510</v>
      </c>
      <c r="B2570" t="s">
        <v>198</v>
      </c>
    </row>
    <row r="2571" spans="1:2">
      <c r="A2571">
        <v>11563</v>
      </c>
      <c r="B2571" t="s">
        <v>198</v>
      </c>
    </row>
    <row r="2572" spans="1:2">
      <c r="A2572">
        <v>11570</v>
      </c>
      <c r="B2572" t="s">
        <v>198</v>
      </c>
    </row>
    <row r="2573" spans="1:2">
      <c r="A2573">
        <v>11518</v>
      </c>
      <c r="B2573" t="s">
        <v>198</v>
      </c>
    </row>
    <row r="2574" spans="1:2">
      <c r="A2574">
        <v>11557</v>
      </c>
      <c r="B2574" t="s">
        <v>198</v>
      </c>
    </row>
    <row r="2575" spans="1:2">
      <c r="A2575">
        <v>11558</v>
      </c>
      <c r="B2575" t="s">
        <v>198</v>
      </c>
    </row>
    <row r="2576" spans="1:2">
      <c r="A2576">
        <v>11572</v>
      </c>
      <c r="B2576" t="s">
        <v>198</v>
      </c>
    </row>
    <row r="2577" spans="1:2">
      <c r="A2577">
        <v>11581</v>
      </c>
      <c r="B2577" t="s">
        <v>198</v>
      </c>
    </row>
    <row r="2578" spans="1:2">
      <c r="A2578">
        <v>11001</v>
      </c>
      <c r="B2578" t="s">
        <v>198</v>
      </c>
    </row>
    <row r="2579" spans="1:2">
      <c r="A2579">
        <v>11426</v>
      </c>
      <c r="B2579" t="s">
        <v>198</v>
      </c>
    </row>
    <row r="2580" spans="1:2">
      <c r="A2580">
        <v>11427</v>
      </c>
      <c r="B2580" t="s">
        <v>198</v>
      </c>
    </row>
    <row r="2581" spans="1:2">
      <c r="A2581">
        <v>11428</v>
      </c>
      <c r="B2581" t="s">
        <v>198</v>
      </c>
    </row>
    <row r="2582" spans="1:2">
      <c r="A2582">
        <v>11501</v>
      </c>
      <c r="B2582" t="s">
        <v>198</v>
      </c>
    </row>
    <row r="2583" spans="1:2">
      <c r="A2583">
        <v>11514</v>
      </c>
      <c r="B2583" t="s">
        <v>198</v>
      </c>
    </row>
    <row r="2584" spans="1:2">
      <c r="A2584">
        <v>11530</v>
      </c>
      <c r="B2584" t="s">
        <v>198</v>
      </c>
    </row>
    <row r="2585" spans="1:2">
      <c r="A2585">
        <v>11556</v>
      </c>
      <c r="B2585" t="s">
        <v>198</v>
      </c>
    </row>
    <row r="2586" spans="1:2">
      <c r="A2586">
        <v>11590</v>
      </c>
      <c r="B2586" t="s">
        <v>198</v>
      </c>
    </row>
    <row r="2587" spans="1:2">
      <c r="A2587">
        <v>11725</v>
      </c>
      <c r="B2587" t="s">
        <v>198</v>
      </c>
    </row>
    <row r="2588" spans="1:2">
      <c r="A2588">
        <v>11787</v>
      </c>
      <c r="B2588" t="s">
        <v>198</v>
      </c>
    </row>
    <row r="2589" spans="1:2">
      <c r="A2589">
        <v>11788</v>
      </c>
      <c r="B2589" t="s">
        <v>198</v>
      </c>
    </row>
    <row r="2590" spans="1:2">
      <c r="A2590">
        <v>11724</v>
      </c>
      <c r="B2590" t="s">
        <v>198</v>
      </c>
    </row>
    <row r="2591" spans="1:2">
      <c r="A2591">
        <v>11743</v>
      </c>
      <c r="B2591" t="s">
        <v>198</v>
      </c>
    </row>
    <row r="2592" spans="1:2">
      <c r="A2592">
        <v>11746</v>
      </c>
      <c r="B2592" t="s">
        <v>198</v>
      </c>
    </row>
    <row r="2593" spans="1:2">
      <c r="A2593">
        <v>11721</v>
      </c>
      <c r="B2593" t="s">
        <v>198</v>
      </c>
    </row>
    <row r="2594" spans="1:2">
      <c r="A2594">
        <v>11731</v>
      </c>
      <c r="B2594" t="s">
        <v>198</v>
      </c>
    </row>
    <row r="2595" spans="1:2">
      <c r="A2595">
        <v>11740</v>
      </c>
      <c r="B2595" t="s">
        <v>198</v>
      </c>
    </row>
    <row r="2596" spans="1:2">
      <c r="A2596">
        <v>11754</v>
      </c>
      <c r="B2596" t="s">
        <v>198</v>
      </c>
    </row>
    <row r="2597" spans="1:2">
      <c r="A2597">
        <v>11768</v>
      </c>
      <c r="B2597" t="s">
        <v>198</v>
      </c>
    </row>
    <row r="2598" spans="1:2">
      <c r="A2598">
        <v>11004</v>
      </c>
      <c r="B2598" t="s">
        <v>198</v>
      </c>
    </row>
    <row r="2599" spans="1:2">
      <c r="A2599">
        <v>11005</v>
      </c>
      <c r="B2599" t="s">
        <v>198</v>
      </c>
    </row>
    <row r="2600" spans="1:2">
      <c r="A2600">
        <v>11020</v>
      </c>
      <c r="B2600" t="s">
        <v>198</v>
      </c>
    </row>
    <row r="2601" spans="1:2">
      <c r="A2601">
        <v>11021</v>
      </c>
      <c r="B2601" t="s">
        <v>198</v>
      </c>
    </row>
    <row r="2602" spans="1:2">
      <c r="A2602">
        <v>11023</v>
      </c>
      <c r="B2602" t="s">
        <v>198</v>
      </c>
    </row>
    <row r="2603" spans="1:2">
      <c r="A2603">
        <v>11024</v>
      </c>
      <c r="B2603" t="s">
        <v>198</v>
      </c>
    </row>
    <row r="2604" spans="1:2">
      <c r="A2604">
        <v>11040</v>
      </c>
      <c r="B2604" t="s">
        <v>198</v>
      </c>
    </row>
    <row r="2605" spans="1:2">
      <c r="A2605">
        <v>11042</v>
      </c>
      <c r="B2605" t="s">
        <v>198</v>
      </c>
    </row>
    <row r="2606" spans="1:2">
      <c r="A2606">
        <v>11362</v>
      </c>
      <c r="B2606" t="s">
        <v>198</v>
      </c>
    </row>
    <row r="2607" spans="1:2">
      <c r="A2607">
        <v>11363</v>
      </c>
      <c r="B2607" t="s">
        <v>198</v>
      </c>
    </row>
    <row r="2608" spans="1:2">
      <c r="A2608">
        <v>11030</v>
      </c>
      <c r="B2608" t="s">
        <v>198</v>
      </c>
    </row>
    <row r="2609" spans="1:2">
      <c r="A2609">
        <v>11050</v>
      </c>
      <c r="B2609" t="s">
        <v>198</v>
      </c>
    </row>
    <row r="2610" spans="1:2">
      <c r="A2610">
        <v>11507</v>
      </c>
      <c r="B2610" t="s">
        <v>198</v>
      </c>
    </row>
    <row r="2611" spans="1:2">
      <c r="A2611">
        <v>11576</v>
      </c>
      <c r="B2611" t="s">
        <v>198</v>
      </c>
    </row>
    <row r="2612" spans="1:2">
      <c r="A2612">
        <v>11577</v>
      </c>
      <c r="B2612" t="s">
        <v>198</v>
      </c>
    </row>
    <row r="2613" spans="1:2">
      <c r="A2613">
        <v>11596</v>
      </c>
      <c r="B2613" t="s">
        <v>198</v>
      </c>
    </row>
    <row r="2614" spans="1:2">
      <c r="A2614">
        <v>11542</v>
      </c>
      <c r="B2614" t="s">
        <v>198</v>
      </c>
    </row>
    <row r="2615" spans="1:2">
      <c r="A2615">
        <v>11545</v>
      </c>
      <c r="B2615" t="s">
        <v>198</v>
      </c>
    </row>
    <row r="2616" spans="1:2">
      <c r="A2616">
        <v>11547</v>
      </c>
      <c r="B2616" t="s">
        <v>198</v>
      </c>
    </row>
    <row r="2617" spans="1:2">
      <c r="A2617">
        <v>11548</v>
      </c>
      <c r="B2617" t="s">
        <v>198</v>
      </c>
    </row>
    <row r="2618" spans="1:2">
      <c r="A2618">
        <v>11568</v>
      </c>
      <c r="B2618" t="s">
        <v>198</v>
      </c>
    </row>
    <row r="2619" spans="1:2">
      <c r="A2619">
        <v>11579</v>
      </c>
      <c r="B2619" t="s">
        <v>198</v>
      </c>
    </row>
    <row r="2620" spans="1:2">
      <c r="A2620">
        <v>11753</v>
      </c>
      <c r="B2620" t="s">
        <v>198</v>
      </c>
    </row>
    <row r="2621" spans="1:2">
      <c r="A2621">
        <v>11801</v>
      </c>
      <c r="B2621" t="s">
        <v>198</v>
      </c>
    </row>
    <row r="2622" spans="1:2">
      <c r="A2622">
        <v>11560</v>
      </c>
      <c r="B2622" t="s">
        <v>198</v>
      </c>
    </row>
    <row r="2623" spans="1:2">
      <c r="A2623">
        <v>11709</v>
      </c>
      <c r="B2623" t="s">
        <v>198</v>
      </c>
    </row>
    <row r="2624" spans="1:2">
      <c r="A2624">
        <v>11732</v>
      </c>
      <c r="B2624" t="s">
        <v>198</v>
      </c>
    </row>
    <row r="2625" spans="1:2">
      <c r="A2625">
        <v>11765</v>
      </c>
      <c r="B2625" t="s">
        <v>198</v>
      </c>
    </row>
    <row r="2626" spans="1:2">
      <c r="A2626">
        <v>11771</v>
      </c>
      <c r="B2626" t="s">
        <v>198</v>
      </c>
    </row>
    <row r="2627" spans="1:2">
      <c r="A2627">
        <v>11791</v>
      </c>
      <c r="B2627" t="s">
        <v>198</v>
      </c>
    </row>
    <row r="2628" spans="1:2">
      <c r="A2628">
        <v>11797</v>
      </c>
      <c r="B2628" t="s">
        <v>198</v>
      </c>
    </row>
    <row r="2629" spans="1:2">
      <c r="A2629">
        <v>11803</v>
      </c>
      <c r="B2629" t="s">
        <v>198</v>
      </c>
    </row>
    <row r="2630" spans="1:2">
      <c r="A2630">
        <v>11714</v>
      </c>
      <c r="B2630" t="s">
        <v>198</v>
      </c>
    </row>
    <row r="2631" spans="1:2">
      <c r="A2631">
        <v>11735</v>
      </c>
      <c r="B2631" t="s">
        <v>198</v>
      </c>
    </row>
    <row r="2632" spans="1:2">
      <c r="A2632">
        <v>11747</v>
      </c>
      <c r="B2632" t="s">
        <v>198</v>
      </c>
    </row>
    <row r="2633" spans="1:2">
      <c r="A2633">
        <v>11798</v>
      </c>
      <c r="B2633" t="s">
        <v>198</v>
      </c>
    </row>
    <row r="2634" spans="1:2">
      <c r="A2634">
        <v>11804</v>
      </c>
      <c r="B2634" t="s">
        <v>198</v>
      </c>
    </row>
    <row r="2635" spans="1:2">
      <c r="A2635">
        <v>11702</v>
      </c>
      <c r="B2635" t="s">
        <v>198</v>
      </c>
    </row>
    <row r="2636" spans="1:2">
      <c r="A2636">
        <v>11703</v>
      </c>
      <c r="B2636" t="s">
        <v>198</v>
      </c>
    </row>
    <row r="2637" spans="1:2">
      <c r="A2637">
        <v>11704</v>
      </c>
      <c r="B2637" t="s">
        <v>198</v>
      </c>
    </row>
    <row r="2638" spans="1:2">
      <c r="A2638">
        <v>11795</v>
      </c>
      <c r="B2638" t="s">
        <v>198</v>
      </c>
    </row>
    <row r="2639" spans="1:2">
      <c r="A2639">
        <v>11705</v>
      </c>
      <c r="B2639" t="s">
        <v>198</v>
      </c>
    </row>
    <row r="2640" spans="1:2">
      <c r="A2640">
        <v>11713</v>
      </c>
      <c r="B2640" t="s">
        <v>198</v>
      </c>
    </row>
    <row r="2641" spans="1:2">
      <c r="A2641">
        <v>11715</v>
      </c>
      <c r="B2641" t="s">
        <v>198</v>
      </c>
    </row>
    <row r="2642" spans="1:2">
      <c r="A2642">
        <v>11719</v>
      </c>
      <c r="B2642" t="s">
        <v>198</v>
      </c>
    </row>
    <row r="2643" spans="1:2">
      <c r="A2643">
        <v>11769</v>
      </c>
      <c r="B2643" t="s">
        <v>198</v>
      </c>
    </row>
    <row r="2644" spans="1:2">
      <c r="A2644">
        <v>11770</v>
      </c>
      <c r="B2644" t="s">
        <v>198</v>
      </c>
    </row>
    <row r="2645" spans="1:2">
      <c r="A2645">
        <v>11772</v>
      </c>
      <c r="B2645" t="s">
        <v>198</v>
      </c>
    </row>
    <row r="2646" spans="1:2">
      <c r="A2646">
        <v>11782</v>
      </c>
      <c r="B2646" t="s">
        <v>198</v>
      </c>
    </row>
    <row r="2647" spans="1:2">
      <c r="A2647">
        <v>11796</v>
      </c>
      <c r="B2647" t="s">
        <v>198</v>
      </c>
    </row>
    <row r="2648" spans="1:2">
      <c r="A2648">
        <v>11706</v>
      </c>
      <c r="B2648" t="s">
        <v>198</v>
      </c>
    </row>
    <row r="2649" spans="1:2">
      <c r="A2649">
        <v>11718</v>
      </c>
      <c r="B2649" t="s">
        <v>198</v>
      </c>
    </row>
    <row r="2650" spans="1:2">
      <c r="A2650">
        <v>11730</v>
      </c>
      <c r="B2650" t="s">
        <v>198</v>
      </c>
    </row>
    <row r="2651" spans="1:2">
      <c r="A2651">
        <v>11739</v>
      </c>
      <c r="B2651" t="s">
        <v>198</v>
      </c>
    </row>
    <row r="2652" spans="1:2">
      <c r="A2652">
        <v>11751</v>
      </c>
      <c r="B2652" t="s">
        <v>198</v>
      </c>
    </row>
    <row r="2653" spans="1:2">
      <c r="A2653">
        <v>11716</v>
      </c>
      <c r="B2653" t="s">
        <v>198</v>
      </c>
    </row>
    <row r="2654" spans="1:2">
      <c r="A2654">
        <v>11741</v>
      </c>
      <c r="B2654" t="s">
        <v>198</v>
      </c>
    </row>
    <row r="2655" spans="1:2">
      <c r="A2655">
        <v>11742</v>
      </c>
      <c r="B2655" t="s">
        <v>198</v>
      </c>
    </row>
    <row r="2656" spans="1:2">
      <c r="A2656">
        <v>11749</v>
      </c>
      <c r="B2656" t="s">
        <v>198</v>
      </c>
    </row>
    <row r="2657" spans="1:2">
      <c r="A2657">
        <v>11752</v>
      </c>
      <c r="B2657" t="s">
        <v>198</v>
      </c>
    </row>
    <row r="2658" spans="1:2">
      <c r="A2658">
        <v>11779</v>
      </c>
      <c r="B2658" t="s">
        <v>198</v>
      </c>
    </row>
    <row r="2659" spans="1:2">
      <c r="A2659">
        <v>11717</v>
      </c>
      <c r="B2659" t="s">
        <v>198</v>
      </c>
    </row>
    <row r="2660" spans="1:2">
      <c r="A2660">
        <v>11722</v>
      </c>
      <c r="B2660" t="s">
        <v>198</v>
      </c>
    </row>
    <row r="2661" spans="1:2">
      <c r="A2661">
        <v>11729</v>
      </c>
      <c r="B2661" t="s">
        <v>198</v>
      </c>
    </row>
    <row r="2662" spans="1:2">
      <c r="A2662">
        <v>11720</v>
      </c>
      <c r="B2662" t="s">
        <v>198</v>
      </c>
    </row>
    <row r="2663" spans="1:2">
      <c r="A2663">
        <v>11755</v>
      </c>
      <c r="B2663" t="s">
        <v>198</v>
      </c>
    </row>
    <row r="2664" spans="1:2">
      <c r="A2664">
        <v>11767</v>
      </c>
      <c r="B2664" t="s">
        <v>198</v>
      </c>
    </row>
    <row r="2665" spans="1:2">
      <c r="A2665">
        <v>11780</v>
      </c>
      <c r="B2665" t="s">
        <v>198</v>
      </c>
    </row>
    <row r="2666" spans="1:2">
      <c r="A2666">
        <v>11790</v>
      </c>
      <c r="B2666" t="s">
        <v>198</v>
      </c>
    </row>
    <row r="2667" spans="1:2">
      <c r="A2667">
        <v>11794</v>
      </c>
      <c r="B2667" t="s">
        <v>198</v>
      </c>
    </row>
    <row r="2668" spans="1:2">
      <c r="A2668">
        <v>11727</v>
      </c>
      <c r="B2668" t="s">
        <v>198</v>
      </c>
    </row>
    <row r="2669" spans="1:2">
      <c r="A2669">
        <v>11784</v>
      </c>
      <c r="B2669" t="s">
        <v>198</v>
      </c>
    </row>
    <row r="2670" spans="1:2">
      <c r="A2670">
        <v>11792</v>
      </c>
      <c r="B2670" t="s">
        <v>198</v>
      </c>
    </row>
    <row r="2671" spans="1:2">
      <c r="A2671">
        <v>11953</v>
      </c>
      <c r="B2671" t="s">
        <v>198</v>
      </c>
    </row>
    <row r="2672" spans="1:2">
      <c r="A2672">
        <v>11961</v>
      </c>
      <c r="B2672" t="s">
        <v>198</v>
      </c>
    </row>
    <row r="2673" spans="1:2">
      <c r="A2673">
        <v>11973</v>
      </c>
      <c r="B2673" t="s">
        <v>198</v>
      </c>
    </row>
    <row r="2674" spans="1:2">
      <c r="A2674">
        <v>11733</v>
      </c>
      <c r="B2674" t="s">
        <v>198</v>
      </c>
    </row>
    <row r="2675" spans="1:2">
      <c r="A2675">
        <v>11764</v>
      </c>
      <c r="B2675" t="s">
        <v>198</v>
      </c>
    </row>
    <row r="2676" spans="1:2">
      <c r="A2676">
        <v>11766</v>
      </c>
      <c r="B2676" t="s">
        <v>198</v>
      </c>
    </row>
    <row r="2677" spans="1:2">
      <c r="A2677">
        <v>11776</v>
      </c>
      <c r="B2677" t="s">
        <v>198</v>
      </c>
    </row>
    <row r="2678" spans="1:2">
      <c r="A2678">
        <v>11777</v>
      </c>
      <c r="B2678" t="s">
        <v>198</v>
      </c>
    </row>
    <row r="2679" spans="1:2">
      <c r="A2679">
        <v>11778</v>
      </c>
      <c r="B2679" t="s">
        <v>198</v>
      </c>
    </row>
    <row r="2680" spans="1:2">
      <c r="A2680">
        <v>11786</v>
      </c>
      <c r="B2680" t="s">
        <v>198</v>
      </c>
    </row>
    <row r="2681" spans="1:2">
      <c r="A2681">
        <v>11789</v>
      </c>
      <c r="B2681" t="s">
        <v>198</v>
      </c>
    </row>
    <row r="2682" spans="1:2">
      <c r="A2682">
        <v>11738</v>
      </c>
      <c r="B2682" t="s">
        <v>198</v>
      </c>
    </row>
    <row r="2683" spans="1:2">
      <c r="A2683">
        <v>11763</v>
      </c>
      <c r="B2683" t="s">
        <v>198</v>
      </c>
    </row>
    <row r="2684" spans="1:2">
      <c r="A2684">
        <v>11967</v>
      </c>
      <c r="B2684" t="s">
        <v>198</v>
      </c>
    </row>
    <row r="2685" spans="1:2">
      <c r="A2685">
        <v>11980</v>
      </c>
      <c r="B2685" t="s">
        <v>198</v>
      </c>
    </row>
    <row r="2686" spans="1:2">
      <c r="A2686">
        <v>11933</v>
      </c>
      <c r="B2686" t="s">
        <v>198</v>
      </c>
    </row>
    <row r="2687" spans="1:2">
      <c r="A2687">
        <v>11934</v>
      </c>
      <c r="B2687" t="s">
        <v>198</v>
      </c>
    </row>
    <row r="2688" spans="1:2">
      <c r="A2688">
        <v>11940</v>
      </c>
      <c r="B2688" t="s">
        <v>198</v>
      </c>
    </row>
    <row r="2689" spans="1:2">
      <c r="A2689">
        <v>11941</v>
      </c>
      <c r="B2689" t="s">
        <v>198</v>
      </c>
    </row>
    <row r="2690" spans="1:2">
      <c r="A2690">
        <v>11949</v>
      </c>
      <c r="B2690" t="s">
        <v>198</v>
      </c>
    </row>
    <row r="2691" spans="1:2">
      <c r="A2691">
        <v>11950</v>
      </c>
      <c r="B2691" t="s">
        <v>198</v>
      </c>
    </row>
    <row r="2692" spans="1:2">
      <c r="A2692">
        <v>11951</v>
      </c>
      <c r="B2692" t="s">
        <v>198</v>
      </c>
    </row>
    <row r="2693" spans="1:2">
      <c r="A2693">
        <v>11955</v>
      </c>
      <c r="B2693" t="s">
        <v>198</v>
      </c>
    </row>
    <row r="2694" spans="1:2">
      <c r="A2694">
        <v>11960</v>
      </c>
      <c r="B2694" t="s">
        <v>198</v>
      </c>
    </row>
    <row r="2695" spans="1:2">
      <c r="A2695">
        <v>11972</v>
      </c>
      <c r="B2695" t="s">
        <v>198</v>
      </c>
    </row>
    <row r="2696" spans="1:2">
      <c r="A2696">
        <v>11977</v>
      </c>
      <c r="B2696" t="s">
        <v>198</v>
      </c>
    </row>
    <row r="2697" spans="1:2">
      <c r="A2697">
        <v>8002</v>
      </c>
      <c r="B2697" t="s">
        <v>198</v>
      </c>
    </row>
    <row r="2698" spans="1:2">
      <c r="A2698">
        <v>8003</v>
      </c>
      <c r="B2698" t="s">
        <v>198</v>
      </c>
    </row>
    <row r="2699" spans="1:2">
      <c r="A2699">
        <v>8007</v>
      </c>
      <c r="B2699" t="s">
        <v>198</v>
      </c>
    </row>
    <row r="2700" spans="1:2">
      <c r="A2700">
        <v>8009</v>
      </c>
      <c r="B2700" t="s">
        <v>198</v>
      </c>
    </row>
    <row r="2701" spans="1:2">
      <c r="A2701">
        <v>8010</v>
      </c>
      <c r="B2701" t="s">
        <v>198</v>
      </c>
    </row>
    <row r="2702" spans="1:2">
      <c r="A2702">
        <v>8012</v>
      </c>
      <c r="B2702" t="s">
        <v>198</v>
      </c>
    </row>
    <row r="2703" spans="1:2">
      <c r="A2703">
        <v>8016</v>
      </c>
      <c r="B2703" t="s">
        <v>198</v>
      </c>
    </row>
    <row r="2704" spans="1:2">
      <c r="A2704">
        <v>8020</v>
      </c>
      <c r="B2704" t="s">
        <v>198</v>
      </c>
    </row>
    <row r="2705" spans="1:2">
      <c r="A2705">
        <v>8021</v>
      </c>
      <c r="B2705" t="s">
        <v>198</v>
      </c>
    </row>
    <row r="2706" spans="1:2">
      <c r="A2706">
        <v>8026</v>
      </c>
      <c r="B2706" t="s">
        <v>198</v>
      </c>
    </row>
    <row r="2707" spans="1:2">
      <c r="A2707">
        <v>8027</v>
      </c>
      <c r="B2707" t="s">
        <v>198</v>
      </c>
    </row>
    <row r="2708" spans="1:2">
      <c r="A2708">
        <v>8029</v>
      </c>
      <c r="B2708" t="s">
        <v>198</v>
      </c>
    </row>
    <row r="2709" spans="1:2">
      <c r="A2709">
        <v>8030</v>
      </c>
      <c r="B2709" t="s">
        <v>198</v>
      </c>
    </row>
    <row r="2710" spans="1:2">
      <c r="A2710">
        <v>8031</v>
      </c>
      <c r="B2710" t="s">
        <v>198</v>
      </c>
    </row>
    <row r="2711" spans="1:2">
      <c r="A2711">
        <v>8032</v>
      </c>
      <c r="B2711" t="s">
        <v>198</v>
      </c>
    </row>
    <row r="2712" spans="1:2">
      <c r="A2712">
        <v>8033</v>
      </c>
      <c r="B2712" t="s">
        <v>198</v>
      </c>
    </row>
    <row r="2713" spans="1:2">
      <c r="A2713">
        <v>8034</v>
      </c>
      <c r="B2713" t="s">
        <v>198</v>
      </c>
    </row>
    <row r="2714" spans="1:2">
      <c r="A2714">
        <v>8035</v>
      </c>
      <c r="B2714" t="s">
        <v>198</v>
      </c>
    </row>
    <row r="2715" spans="1:2">
      <c r="A2715">
        <v>8036</v>
      </c>
      <c r="B2715" t="s">
        <v>198</v>
      </c>
    </row>
    <row r="2716" spans="1:2">
      <c r="A2716">
        <v>8043</v>
      </c>
      <c r="B2716" t="s">
        <v>198</v>
      </c>
    </row>
    <row r="2717" spans="1:2">
      <c r="A2717">
        <v>8045</v>
      </c>
      <c r="B2717" t="s">
        <v>198</v>
      </c>
    </row>
    <row r="2718" spans="1:2">
      <c r="A2718">
        <v>8046</v>
      </c>
      <c r="B2718" t="s">
        <v>198</v>
      </c>
    </row>
    <row r="2719" spans="1:2">
      <c r="A2719">
        <v>8049</v>
      </c>
      <c r="B2719" t="s">
        <v>198</v>
      </c>
    </row>
    <row r="2720" spans="1:2">
      <c r="A2720">
        <v>8051</v>
      </c>
      <c r="B2720" t="s">
        <v>198</v>
      </c>
    </row>
    <row r="2721" spans="1:2">
      <c r="A2721">
        <v>8052</v>
      </c>
      <c r="B2721" t="s">
        <v>198</v>
      </c>
    </row>
    <row r="2722" spans="1:2">
      <c r="A2722">
        <v>8053</v>
      </c>
      <c r="B2722" t="s">
        <v>198</v>
      </c>
    </row>
    <row r="2723" spans="1:2">
      <c r="A2723">
        <v>8054</v>
      </c>
      <c r="B2723" t="s">
        <v>198</v>
      </c>
    </row>
    <row r="2724" spans="1:2">
      <c r="A2724">
        <v>8056</v>
      </c>
      <c r="B2724" t="s">
        <v>198</v>
      </c>
    </row>
    <row r="2725" spans="1:2">
      <c r="A2725">
        <v>8057</v>
      </c>
      <c r="B2725" t="s">
        <v>198</v>
      </c>
    </row>
    <row r="2726" spans="1:2">
      <c r="A2726">
        <v>8059</v>
      </c>
      <c r="B2726" t="s">
        <v>198</v>
      </c>
    </row>
    <row r="2727" spans="1:2">
      <c r="A2727">
        <v>8060</v>
      </c>
      <c r="B2727" t="s">
        <v>198</v>
      </c>
    </row>
    <row r="2728" spans="1:2">
      <c r="A2728">
        <v>8061</v>
      </c>
      <c r="B2728" t="s">
        <v>198</v>
      </c>
    </row>
    <row r="2729" spans="1:2">
      <c r="A2729">
        <v>8063</v>
      </c>
      <c r="B2729" t="s">
        <v>198</v>
      </c>
    </row>
    <row r="2730" spans="1:2">
      <c r="A2730">
        <v>8065</v>
      </c>
      <c r="B2730" t="s">
        <v>198</v>
      </c>
    </row>
    <row r="2731" spans="1:2">
      <c r="A2731">
        <v>8066</v>
      </c>
      <c r="B2731" t="s">
        <v>198</v>
      </c>
    </row>
    <row r="2732" spans="1:2">
      <c r="A2732">
        <v>8075</v>
      </c>
      <c r="B2732" t="s">
        <v>198</v>
      </c>
    </row>
    <row r="2733" spans="1:2">
      <c r="A2733">
        <v>8077</v>
      </c>
      <c r="B2733" t="s">
        <v>198</v>
      </c>
    </row>
    <row r="2734" spans="1:2">
      <c r="A2734">
        <v>8078</v>
      </c>
      <c r="B2734" t="s">
        <v>198</v>
      </c>
    </row>
    <row r="2735" spans="1:2">
      <c r="A2735">
        <v>8080</v>
      </c>
      <c r="B2735" t="s">
        <v>198</v>
      </c>
    </row>
    <row r="2736" spans="1:2">
      <c r="A2736">
        <v>8081</v>
      </c>
      <c r="B2736" t="s">
        <v>198</v>
      </c>
    </row>
    <row r="2737" spans="1:2">
      <c r="A2737">
        <v>8083</v>
      </c>
      <c r="B2737" t="s">
        <v>198</v>
      </c>
    </row>
    <row r="2738" spans="1:2">
      <c r="A2738">
        <v>8084</v>
      </c>
      <c r="B2738" t="s">
        <v>198</v>
      </c>
    </row>
    <row r="2739" spans="1:2">
      <c r="A2739">
        <v>8085</v>
      </c>
      <c r="B2739" t="s">
        <v>198</v>
      </c>
    </row>
    <row r="2740" spans="1:2">
      <c r="A2740">
        <v>8086</v>
      </c>
      <c r="B2740" t="s">
        <v>198</v>
      </c>
    </row>
    <row r="2741" spans="1:2">
      <c r="A2741">
        <v>8090</v>
      </c>
      <c r="B2741" t="s">
        <v>198</v>
      </c>
    </row>
    <row r="2742" spans="1:2">
      <c r="A2742">
        <v>8091</v>
      </c>
      <c r="B2742" t="s">
        <v>198</v>
      </c>
    </row>
    <row r="2743" spans="1:2">
      <c r="A2743">
        <v>8093</v>
      </c>
      <c r="B2743" t="s">
        <v>198</v>
      </c>
    </row>
    <row r="2744" spans="1:2">
      <c r="A2744">
        <v>8096</v>
      </c>
      <c r="B2744" t="s">
        <v>198</v>
      </c>
    </row>
    <row r="2745" spans="1:2">
      <c r="A2745">
        <v>8097</v>
      </c>
      <c r="B2745" t="s">
        <v>198</v>
      </c>
    </row>
    <row r="2746" spans="1:2">
      <c r="A2746">
        <v>8099</v>
      </c>
      <c r="B2746" t="s">
        <v>198</v>
      </c>
    </row>
    <row r="2747" spans="1:2">
      <c r="A2747">
        <v>8102</v>
      </c>
      <c r="B2747" t="s">
        <v>198</v>
      </c>
    </row>
    <row r="2748" spans="1:2">
      <c r="A2748">
        <v>8103</v>
      </c>
      <c r="B2748" t="s">
        <v>198</v>
      </c>
    </row>
    <row r="2749" spans="1:2">
      <c r="A2749">
        <v>8104</v>
      </c>
      <c r="B2749" t="s">
        <v>198</v>
      </c>
    </row>
    <row r="2750" spans="1:2">
      <c r="A2750">
        <v>8105</v>
      </c>
      <c r="B2750" t="s">
        <v>198</v>
      </c>
    </row>
    <row r="2751" spans="1:2">
      <c r="A2751">
        <v>8106</v>
      </c>
      <c r="B2751" t="s">
        <v>198</v>
      </c>
    </row>
    <row r="2752" spans="1:2">
      <c r="A2752">
        <v>8107</v>
      </c>
      <c r="B2752" t="s">
        <v>198</v>
      </c>
    </row>
    <row r="2753" spans="1:2">
      <c r="A2753">
        <v>8108</v>
      </c>
      <c r="B2753" t="s">
        <v>198</v>
      </c>
    </row>
    <row r="2754" spans="1:2">
      <c r="A2754">
        <v>8109</v>
      </c>
      <c r="B2754" t="s">
        <v>198</v>
      </c>
    </row>
    <row r="2755" spans="1:2">
      <c r="A2755">
        <v>8110</v>
      </c>
      <c r="B2755" t="s">
        <v>198</v>
      </c>
    </row>
    <row r="2756" spans="1:2">
      <c r="A2756">
        <v>8505</v>
      </c>
      <c r="B2756" t="s">
        <v>198</v>
      </c>
    </row>
    <row r="2757" spans="1:2">
      <c r="A2757">
        <v>8518</v>
      </c>
      <c r="B2757" t="s">
        <v>198</v>
      </c>
    </row>
    <row r="2758" spans="1:2">
      <c r="A2758">
        <v>8554</v>
      </c>
      <c r="B2758" t="s">
        <v>198</v>
      </c>
    </row>
    <row r="2759" spans="1:2">
      <c r="A2759">
        <v>8605</v>
      </c>
      <c r="B2759" t="s">
        <v>198</v>
      </c>
    </row>
    <row r="2760" spans="1:2">
      <c r="A2760">
        <v>8608</v>
      </c>
      <c r="B2760" t="s">
        <v>198</v>
      </c>
    </row>
    <row r="2761" spans="1:2">
      <c r="A2761">
        <v>8610</v>
      </c>
      <c r="B2761" t="s">
        <v>198</v>
      </c>
    </row>
    <row r="2762" spans="1:2">
      <c r="A2762">
        <v>8611</v>
      </c>
      <c r="B2762" t="s">
        <v>198</v>
      </c>
    </row>
    <row r="2763" spans="1:2">
      <c r="A2763">
        <v>8620</v>
      </c>
      <c r="B2763" t="s">
        <v>198</v>
      </c>
    </row>
    <row r="2764" spans="1:2">
      <c r="A2764">
        <v>18938</v>
      </c>
      <c r="B2764" t="s">
        <v>198</v>
      </c>
    </row>
    <row r="2765" spans="1:2">
      <c r="A2765">
        <v>18940</v>
      </c>
      <c r="B2765" t="s">
        <v>198</v>
      </c>
    </row>
    <row r="2766" spans="1:2">
      <c r="A2766">
        <v>18954</v>
      </c>
      <c r="B2766" t="s">
        <v>198</v>
      </c>
    </row>
    <row r="2767" spans="1:2">
      <c r="A2767">
        <v>18966</v>
      </c>
      <c r="B2767" t="s">
        <v>198</v>
      </c>
    </row>
    <row r="2768" spans="1:2">
      <c r="A2768">
        <v>18974</v>
      </c>
      <c r="B2768" t="s">
        <v>198</v>
      </c>
    </row>
    <row r="2769" spans="1:2">
      <c r="A2769">
        <v>19001</v>
      </c>
      <c r="B2769" t="s">
        <v>198</v>
      </c>
    </row>
    <row r="2770" spans="1:2">
      <c r="A2770">
        <v>19002</v>
      </c>
      <c r="B2770" t="s">
        <v>198</v>
      </c>
    </row>
    <row r="2771" spans="1:2">
      <c r="A2771">
        <v>19003</v>
      </c>
      <c r="B2771" t="s">
        <v>198</v>
      </c>
    </row>
    <row r="2772" spans="1:2">
      <c r="A2772">
        <v>19004</v>
      </c>
      <c r="B2772" t="s">
        <v>198</v>
      </c>
    </row>
    <row r="2773" spans="1:2">
      <c r="A2773">
        <v>19006</v>
      </c>
      <c r="B2773" t="s">
        <v>198</v>
      </c>
    </row>
    <row r="2774" spans="1:2">
      <c r="A2774">
        <v>19007</v>
      </c>
      <c r="B2774" t="s">
        <v>198</v>
      </c>
    </row>
    <row r="2775" spans="1:2">
      <c r="A2775">
        <v>19008</v>
      </c>
      <c r="B2775" t="s">
        <v>198</v>
      </c>
    </row>
    <row r="2776" spans="1:2">
      <c r="A2776">
        <v>19009</v>
      </c>
      <c r="B2776" t="s">
        <v>198</v>
      </c>
    </row>
    <row r="2777" spans="1:2">
      <c r="A2777">
        <v>19010</v>
      </c>
      <c r="B2777" t="s">
        <v>198</v>
      </c>
    </row>
    <row r="2778" spans="1:2">
      <c r="A2778">
        <v>19012</v>
      </c>
      <c r="B2778" t="s">
        <v>198</v>
      </c>
    </row>
    <row r="2779" spans="1:2">
      <c r="A2779">
        <v>19013</v>
      </c>
      <c r="B2779" t="s">
        <v>198</v>
      </c>
    </row>
    <row r="2780" spans="1:2">
      <c r="A2780">
        <v>19014</v>
      </c>
      <c r="B2780" t="s">
        <v>198</v>
      </c>
    </row>
    <row r="2781" spans="1:2">
      <c r="A2781">
        <v>19015</v>
      </c>
      <c r="B2781" t="s">
        <v>198</v>
      </c>
    </row>
    <row r="2782" spans="1:2">
      <c r="A2782">
        <v>19018</v>
      </c>
      <c r="B2782" t="s">
        <v>198</v>
      </c>
    </row>
    <row r="2783" spans="1:2">
      <c r="A2783">
        <v>19020</v>
      </c>
      <c r="B2783" t="s">
        <v>198</v>
      </c>
    </row>
    <row r="2784" spans="1:2">
      <c r="A2784">
        <v>19021</v>
      </c>
      <c r="B2784" t="s">
        <v>198</v>
      </c>
    </row>
    <row r="2785" spans="1:2">
      <c r="A2785">
        <v>19022</v>
      </c>
      <c r="B2785" t="s">
        <v>198</v>
      </c>
    </row>
    <row r="2786" spans="1:2">
      <c r="A2786">
        <v>19023</v>
      </c>
      <c r="B2786" t="s">
        <v>198</v>
      </c>
    </row>
    <row r="2787" spans="1:2">
      <c r="A2787">
        <v>19025</v>
      </c>
      <c r="B2787" t="s">
        <v>198</v>
      </c>
    </row>
    <row r="2788" spans="1:2">
      <c r="A2788">
        <v>19026</v>
      </c>
      <c r="B2788" t="s">
        <v>198</v>
      </c>
    </row>
    <row r="2789" spans="1:2">
      <c r="A2789">
        <v>19027</v>
      </c>
      <c r="B2789" t="s">
        <v>198</v>
      </c>
    </row>
    <row r="2790" spans="1:2">
      <c r="A2790">
        <v>19029</v>
      </c>
      <c r="B2790" t="s">
        <v>198</v>
      </c>
    </row>
    <row r="2791" spans="1:2">
      <c r="A2791">
        <v>19030</v>
      </c>
      <c r="B2791" t="s">
        <v>198</v>
      </c>
    </row>
    <row r="2792" spans="1:2">
      <c r="A2792">
        <v>19031</v>
      </c>
      <c r="B2792" t="s">
        <v>198</v>
      </c>
    </row>
    <row r="2793" spans="1:2">
      <c r="A2793">
        <v>19032</v>
      </c>
      <c r="B2793" t="s">
        <v>198</v>
      </c>
    </row>
    <row r="2794" spans="1:2">
      <c r="A2794">
        <v>19033</v>
      </c>
      <c r="B2794" t="s">
        <v>198</v>
      </c>
    </row>
    <row r="2795" spans="1:2">
      <c r="A2795">
        <v>19034</v>
      </c>
      <c r="B2795" t="s">
        <v>198</v>
      </c>
    </row>
    <row r="2796" spans="1:2">
      <c r="A2796">
        <v>19035</v>
      </c>
      <c r="B2796" t="s">
        <v>198</v>
      </c>
    </row>
    <row r="2797" spans="1:2">
      <c r="A2797">
        <v>19036</v>
      </c>
      <c r="B2797" t="s">
        <v>198</v>
      </c>
    </row>
    <row r="2798" spans="1:2">
      <c r="A2798">
        <v>19038</v>
      </c>
      <c r="B2798" t="s">
        <v>198</v>
      </c>
    </row>
    <row r="2799" spans="1:2">
      <c r="A2799">
        <v>19040</v>
      </c>
      <c r="B2799" t="s">
        <v>198</v>
      </c>
    </row>
    <row r="2800" spans="1:2">
      <c r="A2800">
        <v>19041</v>
      </c>
      <c r="B2800" t="s">
        <v>198</v>
      </c>
    </row>
    <row r="2801" spans="1:2">
      <c r="A2801">
        <v>19043</v>
      </c>
      <c r="B2801" t="s">
        <v>198</v>
      </c>
    </row>
    <row r="2802" spans="1:2">
      <c r="A2802">
        <v>19044</v>
      </c>
      <c r="B2802" t="s">
        <v>198</v>
      </c>
    </row>
    <row r="2803" spans="1:2">
      <c r="A2803">
        <v>19046</v>
      </c>
      <c r="B2803" t="s">
        <v>198</v>
      </c>
    </row>
    <row r="2804" spans="1:2">
      <c r="A2804">
        <v>19047</v>
      </c>
      <c r="B2804" t="s">
        <v>198</v>
      </c>
    </row>
    <row r="2805" spans="1:2">
      <c r="A2805">
        <v>19050</v>
      </c>
      <c r="B2805" t="s">
        <v>198</v>
      </c>
    </row>
    <row r="2806" spans="1:2">
      <c r="A2806">
        <v>19053</v>
      </c>
      <c r="B2806" t="s">
        <v>198</v>
      </c>
    </row>
    <row r="2807" spans="1:2">
      <c r="A2807">
        <v>19054</v>
      </c>
      <c r="B2807" t="s">
        <v>198</v>
      </c>
    </row>
    <row r="2808" spans="1:2">
      <c r="A2808">
        <v>19055</v>
      </c>
      <c r="B2808" t="s">
        <v>198</v>
      </c>
    </row>
    <row r="2809" spans="1:2">
      <c r="A2809">
        <v>19056</v>
      </c>
      <c r="B2809" t="s">
        <v>198</v>
      </c>
    </row>
    <row r="2810" spans="1:2">
      <c r="A2810">
        <v>19057</v>
      </c>
      <c r="B2810" t="s">
        <v>198</v>
      </c>
    </row>
    <row r="2811" spans="1:2">
      <c r="A2811">
        <v>19060</v>
      </c>
      <c r="B2811" t="s">
        <v>198</v>
      </c>
    </row>
    <row r="2812" spans="1:2">
      <c r="A2812">
        <v>19061</v>
      </c>
      <c r="B2812" t="s">
        <v>198</v>
      </c>
    </row>
    <row r="2813" spans="1:2">
      <c r="A2813">
        <v>19063</v>
      </c>
      <c r="B2813" t="s">
        <v>198</v>
      </c>
    </row>
    <row r="2814" spans="1:2">
      <c r="A2814">
        <v>19064</v>
      </c>
      <c r="B2814" t="s">
        <v>198</v>
      </c>
    </row>
    <row r="2815" spans="1:2">
      <c r="A2815">
        <v>19066</v>
      </c>
      <c r="B2815" t="s">
        <v>198</v>
      </c>
    </row>
    <row r="2816" spans="1:2">
      <c r="A2816">
        <v>19067</v>
      </c>
      <c r="B2816" t="s">
        <v>198</v>
      </c>
    </row>
    <row r="2817" spans="1:2">
      <c r="A2817">
        <v>19070</v>
      </c>
      <c r="B2817" t="s">
        <v>198</v>
      </c>
    </row>
    <row r="2818" spans="1:2">
      <c r="A2818">
        <v>19072</v>
      </c>
      <c r="B2818" t="s">
        <v>198</v>
      </c>
    </row>
    <row r="2819" spans="1:2">
      <c r="A2819">
        <v>19073</v>
      </c>
      <c r="B2819" t="s">
        <v>198</v>
      </c>
    </row>
    <row r="2820" spans="1:2">
      <c r="A2820">
        <v>19074</v>
      </c>
      <c r="B2820" t="s">
        <v>198</v>
      </c>
    </row>
    <row r="2821" spans="1:2">
      <c r="A2821">
        <v>19075</v>
      </c>
      <c r="B2821" t="s">
        <v>198</v>
      </c>
    </row>
    <row r="2822" spans="1:2">
      <c r="A2822">
        <v>19076</v>
      </c>
      <c r="B2822" t="s">
        <v>198</v>
      </c>
    </row>
    <row r="2823" spans="1:2">
      <c r="A2823">
        <v>19078</v>
      </c>
      <c r="B2823" t="s">
        <v>198</v>
      </c>
    </row>
    <row r="2824" spans="1:2">
      <c r="A2824">
        <v>19079</v>
      </c>
      <c r="B2824" t="s">
        <v>198</v>
      </c>
    </row>
    <row r="2825" spans="1:2">
      <c r="A2825">
        <v>19081</v>
      </c>
      <c r="B2825" t="s">
        <v>198</v>
      </c>
    </row>
    <row r="2826" spans="1:2">
      <c r="A2826">
        <v>19082</v>
      </c>
      <c r="B2826" t="s">
        <v>198</v>
      </c>
    </row>
    <row r="2827" spans="1:2">
      <c r="A2827">
        <v>19083</v>
      </c>
      <c r="B2827" t="s">
        <v>198</v>
      </c>
    </row>
    <row r="2828" spans="1:2">
      <c r="A2828">
        <v>19085</v>
      </c>
      <c r="B2828" t="s">
        <v>198</v>
      </c>
    </row>
    <row r="2829" spans="1:2">
      <c r="A2829">
        <v>19086</v>
      </c>
      <c r="B2829" t="s">
        <v>198</v>
      </c>
    </row>
    <row r="2830" spans="1:2">
      <c r="A2830">
        <v>19087</v>
      </c>
      <c r="B2830" t="s">
        <v>198</v>
      </c>
    </row>
    <row r="2831" spans="1:2">
      <c r="A2831">
        <v>19090</v>
      </c>
      <c r="B2831" t="s">
        <v>198</v>
      </c>
    </row>
    <row r="2832" spans="1:2">
      <c r="A2832">
        <v>19094</v>
      </c>
      <c r="B2832" t="s">
        <v>198</v>
      </c>
    </row>
    <row r="2833" spans="1:2">
      <c r="A2833">
        <v>19095</v>
      </c>
      <c r="B2833" t="s">
        <v>198</v>
      </c>
    </row>
    <row r="2834" spans="1:2">
      <c r="A2834">
        <v>19096</v>
      </c>
      <c r="B2834" t="s">
        <v>198</v>
      </c>
    </row>
    <row r="2835" spans="1:2">
      <c r="A2835">
        <v>19102</v>
      </c>
      <c r="B2835" t="s">
        <v>198</v>
      </c>
    </row>
    <row r="2836" spans="1:2">
      <c r="A2836">
        <v>19103</v>
      </c>
      <c r="B2836" t="s">
        <v>198</v>
      </c>
    </row>
    <row r="2837" spans="1:2">
      <c r="A2837">
        <v>19104</v>
      </c>
      <c r="B2837" t="s">
        <v>198</v>
      </c>
    </row>
    <row r="2838" spans="1:2">
      <c r="A2838">
        <v>19106</v>
      </c>
      <c r="B2838" t="s">
        <v>198</v>
      </c>
    </row>
    <row r="2839" spans="1:2">
      <c r="A2839">
        <v>19107</v>
      </c>
      <c r="B2839" t="s">
        <v>198</v>
      </c>
    </row>
    <row r="2840" spans="1:2">
      <c r="A2840">
        <v>19111</v>
      </c>
      <c r="B2840" t="s">
        <v>198</v>
      </c>
    </row>
    <row r="2841" spans="1:2">
      <c r="A2841">
        <v>19114</v>
      </c>
      <c r="B2841" t="s">
        <v>198</v>
      </c>
    </row>
    <row r="2842" spans="1:2">
      <c r="A2842">
        <v>19115</v>
      </c>
      <c r="B2842" t="s">
        <v>198</v>
      </c>
    </row>
    <row r="2843" spans="1:2">
      <c r="A2843">
        <v>19116</v>
      </c>
      <c r="B2843" t="s">
        <v>198</v>
      </c>
    </row>
    <row r="2844" spans="1:2">
      <c r="A2844">
        <v>19118</v>
      </c>
      <c r="B2844" t="s">
        <v>198</v>
      </c>
    </row>
    <row r="2845" spans="1:2">
      <c r="A2845">
        <v>19119</v>
      </c>
      <c r="B2845" t="s">
        <v>198</v>
      </c>
    </row>
    <row r="2846" spans="1:2">
      <c r="A2846">
        <v>19120</v>
      </c>
      <c r="B2846" t="s">
        <v>198</v>
      </c>
    </row>
    <row r="2847" spans="1:2">
      <c r="A2847">
        <v>19121</v>
      </c>
      <c r="B2847" t="s">
        <v>198</v>
      </c>
    </row>
    <row r="2848" spans="1:2">
      <c r="A2848">
        <v>19122</v>
      </c>
      <c r="B2848" t="s">
        <v>198</v>
      </c>
    </row>
    <row r="2849" spans="1:2">
      <c r="A2849">
        <v>19123</v>
      </c>
      <c r="B2849" t="s">
        <v>198</v>
      </c>
    </row>
    <row r="2850" spans="1:2">
      <c r="A2850">
        <v>19124</v>
      </c>
      <c r="B2850" t="s">
        <v>198</v>
      </c>
    </row>
    <row r="2851" spans="1:2">
      <c r="A2851">
        <v>19125</v>
      </c>
      <c r="B2851" t="s">
        <v>198</v>
      </c>
    </row>
    <row r="2852" spans="1:2">
      <c r="A2852">
        <v>19126</v>
      </c>
      <c r="B2852" t="s">
        <v>198</v>
      </c>
    </row>
    <row r="2853" spans="1:2">
      <c r="A2853">
        <v>19127</v>
      </c>
      <c r="B2853" t="s">
        <v>198</v>
      </c>
    </row>
    <row r="2854" spans="1:2">
      <c r="A2854">
        <v>19128</v>
      </c>
      <c r="B2854" t="s">
        <v>198</v>
      </c>
    </row>
    <row r="2855" spans="1:2">
      <c r="A2855">
        <v>19129</v>
      </c>
      <c r="B2855" t="s">
        <v>198</v>
      </c>
    </row>
    <row r="2856" spans="1:2">
      <c r="A2856">
        <v>19130</v>
      </c>
      <c r="B2856" t="s">
        <v>198</v>
      </c>
    </row>
    <row r="2857" spans="1:2">
      <c r="A2857">
        <v>19131</v>
      </c>
      <c r="B2857" t="s">
        <v>198</v>
      </c>
    </row>
    <row r="2858" spans="1:2">
      <c r="A2858">
        <v>19132</v>
      </c>
      <c r="B2858" t="s">
        <v>198</v>
      </c>
    </row>
    <row r="2859" spans="1:2">
      <c r="A2859">
        <v>19133</v>
      </c>
      <c r="B2859" t="s">
        <v>198</v>
      </c>
    </row>
    <row r="2860" spans="1:2">
      <c r="A2860">
        <v>19134</v>
      </c>
      <c r="B2860" t="s">
        <v>198</v>
      </c>
    </row>
    <row r="2861" spans="1:2">
      <c r="A2861">
        <v>19135</v>
      </c>
      <c r="B2861" t="s">
        <v>198</v>
      </c>
    </row>
    <row r="2862" spans="1:2">
      <c r="A2862">
        <v>19136</v>
      </c>
      <c r="B2862" t="s">
        <v>198</v>
      </c>
    </row>
    <row r="2863" spans="1:2">
      <c r="A2863">
        <v>19137</v>
      </c>
      <c r="B2863" t="s">
        <v>198</v>
      </c>
    </row>
    <row r="2864" spans="1:2">
      <c r="A2864">
        <v>19138</v>
      </c>
      <c r="B2864" t="s">
        <v>198</v>
      </c>
    </row>
    <row r="2865" spans="1:2">
      <c r="A2865">
        <v>19139</v>
      </c>
      <c r="B2865" t="s">
        <v>198</v>
      </c>
    </row>
    <row r="2866" spans="1:2">
      <c r="A2866">
        <v>19140</v>
      </c>
      <c r="B2866" t="s">
        <v>198</v>
      </c>
    </row>
    <row r="2867" spans="1:2">
      <c r="A2867">
        <v>19141</v>
      </c>
      <c r="B2867" t="s">
        <v>198</v>
      </c>
    </row>
    <row r="2868" spans="1:2">
      <c r="A2868">
        <v>19142</v>
      </c>
      <c r="B2868" t="s">
        <v>198</v>
      </c>
    </row>
    <row r="2869" spans="1:2">
      <c r="A2869">
        <v>19143</v>
      </c>
      <c r="B2869" t="s">
        <v>198</v>
      </c>
    </row>
    <row r="2870" spans="1:2">
      <c r="A2870">
        <v>19144</v>
      </c>
      <c r="B2870" t="s">
        <v>198</v>
      </c>
    </row>
    <row r="2871" spans="1:2">
      <c r="A2871">
        <v>19149</v>
      </c>
      <c r="B2871" t="s">
        <v>198</v>
      </c>
    </row>
    <row r="2872" spans="1:2">
      <c r="A2872">
        <v>19150</v>
      </c>
      <c r="B2872" t="s">
        <v>198</v>
      </c>
    </row>
    <row r="2873" spans="1:2">
      <c r="A2873">
        <v>19151</v>
      </c>
      <c r="B2873" t="s">
        <v>198</v>
      </c>
    </row>
    <row r="2874" spans="1:2">
      <c r="A2874">
        <v>19152</v>
      </c>
      <c r="B2874" t="s">
        <v>198</v>
      </c>
    </row>
    <row r="2875" spans="1:2">
      <c r="A2875">
        <v>19153</v>
      </c>
      <c r="B2875" t="s">
        <v>198</v>
      </c>
    </row>
    <row r="2876" spans="1:2">
      <c r="A2876">
        <v>19154</v>
      </c>
      <c r="B2876" t="s">
        <v>198</v>
      </c>
    </row>
    <row r="2877" spans="1:2">
      <c r="A2877">
        <v>19301</v>
      </c>
      <c r="B2877" t="s">
        <v>198</v>
      </c>
    </row>
    <row r="2878" spans="1:2">
      <c r="A2878">
        <v>19312</v>
      </c>
      <c r="B2878" t="s">
        <v>198</v>
      </c>
    </row>
    <row r="2879" spans="1:2">
      <c r="A2879">
        <v>19319</v>
      </c>
      <c r="B2879" t="s">
        <v>198</v>
      </c>
    </row>
    <row r="2880" spans="1:2">
      <c r="A2880">
        <v>19333</v>
      </c>
      <c r="B2880" t="s">
        <v>198</v>
      </c>
    </row>
    <row r="2881" spans="1:2">
      <c r="A2881">
        <v>19342</v>
      </c>
      <c r="B2881" t="s">
        <v>198</v>
      </c>
    </row>
    <row r="2882" spans="1:2">
      <c r="A2882">
        <v>19355</v>
      </c>
      <c r="B2882" t="s">
        <v>198</v>
      </c>
    </row>
    <row r="2883" spans="1:2">
      <c r="A2883">
        <v>19373</v>
      </c>
      <c r="B2883" t="s">
        <v>198</v>
      </c>
    </row>
    <row r="2884" spans="1:2">
      <c r="A2884">
        <v>19401</v>
      </c>
      <c r="B2884" t="s">
        <v>198</v>
      </c>
    </row>
    <row r="2885" spans="1:2">
      <c r="A2885">
        <v>19403</v>
      </c>
      <c r="B2885" t="s">
        <v>198</v>
      </c>
    </row>
    <row r="2886" spans="1:2">
      <c r="A2886">
        <v>19405</v>
      </c>
      <c r="B2886" t="s">
        <v>198</v>
      </c>
    </row>
    <row r="2887" spans="1:2">
      <c r="A2887">
        <v>19406</v>
      </c>
      <c r="B2887" t="s">
        <v>198</v>
      </c>
    </row>
    <row r="2888" spans="1:2">
      <c r="A2888">
        <v>19425</v>
      </c>
      <c r="B2888" t="s">
        <v>198</v>
      </c>
    </row>
    <row r="2889" spans="1:2">
      <c r="A2889">
        <v>19428</v>
      </c>
      <c r="B2889" t="s">
        <v>198</v>
      </c>
    </row>
    <row r="2890" spans="1:2">
      <c r="A2890">
        <v>19444</v>
      </c>
      <c r="B2890" t="s">
        <v>198</v>
      </c>
    </row>
    <row r="2891" spans="1:2">
      <c r="A2891">
        <v>19453</v>
      </c>
      <c r="B2891" t="s">
        <v>198</v>
      </c>
    </row>
    <row r="2892" spans="1:2">
      <c r="A2892">
        <v>19460</v>
      </c>
      <c r="B2892" t="s">
        <v>198</v>
      </c>
    </row>
    <row r="2893" spans="1:2">
      <c r="A2893">
        <v>19462</v>
      </c>
      <c r="B2893" t="s">
        <v>198</v>
      </c>
    </row>
    <row r="2894" spans="1:2">
      <c r="A2894">
        <v>19703</v>
      </c>
      <c r="B2894" t="s">
        <v>198</v>
      </c>
    </row>
    <row r="2895" spans="1:2">
      <c r="A2895">
        <v>19801</v>
      </c>
      <c r="B2895" t="s">
        <v>198</v>
      </c>
    </row>
    <row r="2896" spans="1:2">
      <c r="A2896">
        <v>19802</v>
      </c>
      <c r="B2896" t="s">
        <v>198</v>
      </c>
    </row>
    <row r="2897" spans="1:2">
      <c r="A2897">
        <v>19803</v>
      </c>
      <c r="B2897" t="s">
        <v>198</v>
      </c>
    </row>
    <row r="2898" spans="1:2">
      <c r="A2898">
        <v>19804</v>
      </c>
      <c r="B2898" t="s">
        <v>198</v>
      </c>
    </row>
    <row r="2899" spans="1:2">
      <c r="A2899">
        <v>19805</v>
      </c>
      <c r="B2899" t="s">
        <v>198</v>
      </c>
    </row>
    <row r="2900" spans="1:2">
      <c r="A2900">
        <v>19806</v>
      </c>
      <c r="B2900" t="s">
        <v>198</v>
      </c>
    </row>
    <row r="2901" spans="1:2">
      <c r="A2901">
        <v>19808</v>
      </c>
      <c r="B2901" t="s">
        <v>198</v>
      </c>
    </row>
    <row r="2902" spans="1:2">
      <c r="A2902">
        <v>19809</v>
      </c>
      <c r="B2902" t="s">
        <v>198</v>
      </c>
    </row>
    <row r="2903" spans="1:2">
      <c r="A2903">
        <v>19810</v>
      </c>
      <c r="B2903" t="s">
        <v>198</v>
      </c>
    </row>
    <row r="2904" spans="1:2">
      <c r="A2904">
        <v>21128</v>
      </c>
      <c r="B2904" t="s">
        <v>198</v>
      </c>
    </row>
    <row r="2905" spans="1:2">
      <c r="A2905">
        <v>21162</v>
      </c>
      <c r="B2905" t="s">
        <v>198</v>
      </c>
    </row>
    <row r="2906" spans="1:2">
      <c r="A2906">
        <v>21220</v>
      </c>
      <c r="B2906" t="s">
        <v>198</v>
      </c>
    </row>
    <row r="2907" spans="1:2">
      <c r="A2907">
        <v>21221</v>
      </c>
      <c r="B2907" t="s">
        <v>198</v>
      </c>
    </row>
    <row r="2908" spans="1:2">
      <c r="A2908">
        <v>21236</v>
      </c>
      <c r="B2908" t="s">
        <v>198</v>
      </c>
    </row>
    <row r="2909" spans="1:2">
      <c r="A2909">
        <v>21237</v>
      </c>
      <c r="B2909" t="s">
        <v>198</v>
      </c>
    </row>
    <row r="2910" spans="1:2">
      <c r="A2910">
        <v>21202</v>
      </c>
      <c r="B2910" t="s">
        <v>198</v>
      </c>
    </row>
    <row r="2911" spans="1:2">
      <c r="A2911">
        <v>21205</v>
      </c>
      <c r="B2911" t="s">
        <v>198</v>
      </c>
    </row>
    <row r="2912" spans="1:2">
      <c r="A2912">
        <v>21213</v>
      </c>
      <c r="B2912" t="s">
        <v>198</v>
      </c>
    </row>
    <row r="2913" spans="1:2">
      <c r="A2913">
        <v>21218</v>
      </c>
      <c r="B2913" t="s">
        <v>198</v>
      </c>
    </row>
    <row r="2914" spans="1:2">
      <c r="A2914">
        <v>21222</v>
      </c>
      <c r="B2914" t="s">
        <v>198</v>
      </c>
    </row>
    <row r="2915" spans="1:2">
      <c r="A2915">
        <v>21224</v>
      </c>
      <c r="B2915" t="s">
        <v>198</v>
      </c>
    </row>
    <row r="2916" spans="1:2">
      <c r="A2916">
        <v>21231</v>
      </c>
      <c r="B2916" t="s">
        <v>198</v>
      </c>
    </row>
    <row r="2917" spans="1:2">
      <c r="A2917">
        <v>21206</v>
      </c>
      <c r="B2917" t="s">
        <v>198</v>
      </c>
    </row>
    <row r="2918" spans="1:2">
      <c r="A2918">
        <v>21214</v>
      </c>
      <c r="B2918" t="s">
        <v>198</v>
      </c>
    </row>
    <row r="2919" spans="1:2">
      <c r="A2919">
        <v>21234</v>
      </c>
      <c r="B2919" t="s">
        <v>198</v>
      </c>
    </row>
    <row r="2920" spans="1:2">
      <c r="A2920">
        <v>21239</v>
      </c>
      <c r="B2920" t="s">
        <v>198</v>
      </c>
    </row>
    <row r="2921" spans="1:2">
      <c r="A2921">
        <v>21286</v>
      </c>
      <c r="B2921" t="s">
        <v>198</v>
      </c>
    </row>
    <row r="2922" spans="1:2">
      <c r="A2922">
        <v>21093</v>
      </c>
      <c r="B2922" t="s">
        <v>198</v>
      </c>
    </row>
    <row r="2923" spans="1:2">
      <c r="A2923">
        <v>21153</v>
      </c>
      <c r="B2923" t="s">
        <v>198</v>
      </c>
    </row>
    <row r="2924" spans="1:2">
      <c r="A2924">
        <v>21204</v>
      </c>
      <c r="B2924" t="s">
        <v>198</v>
      </c>
    </row>
    <row r="2925" spans="1:2">
      <c r="A2925">
        <v>21209</v>
      </c>
      <c r="B2925" t="s">
        <v>198</v>
      </c>
    </row>
    <row r="2926" spans="1:2">
      <c r="A2926">
        <v>21210</v>
      </c>
      <c r="B2926" t="s">
        <v>198</v>
      </c>
    </row>
    <row r="2927" spans="1:2">
      <c r="A2927">
        <v>21211</v>
      </c>
      <c r="B2927" t="s">
        <v>198</v>
      </c>
    </row>
    <row r="2928" spans="1:2">
      <c r="A2928">
        <v>21212</v>
      </c>
      <c r="B2928" t="s">
        <v>198</v>
      </c>
    </row>
    <row r="2929" spans="1:2">
      <c r="A2929">
        <v>21215</v>
      </c>
      <c r="B2929" t="s">
        <v>198</v>
      </c>
    </row>
    <row r="2930" spans="1:2">
      <c r="A2930">
        <v>21117</v>
      </c>
      <c r="B2930" t="s">
        <v>198</v>
      </c>
    </row>
    <row r="2931" spans="1:2">
      <c r="A2931">
        <v>21133</v>
      </c>
      <c r="B2931" t="s">
        <v>198</v>
      </c>
    </row>
    <row r="2932" spans="1:2">
      <c r="A2932">
        <v>21207</v>
      </c>
      <c r="B2932" t="s">
        <v>198</v>
      </c>
    </row>
    <row r="2933" spans="1:2">
      <c r="A2933">
        <v>21208</v>
      </c>
      <c r="B2933" t="s">
        <v>198</v>
      </c>
    </row>
    <row r="2934" spans="1:2">
      <c r="A2934">
        <v>21201</v>
      </c>
      <c r="B2934" t="s">
        <v>198</v>
      </c>
    </row>
    <row r="2935" spans="1:2">
      <c r="A2935">
        <v>21216</v>
      </c>
      <c r="B2935" t="s">
        <v>198</v>
      </c>
    </row>
    <row r="2936" spans="1:2">
      <c r="A2936">
        <v>21217</v>
      </c>
      <c r="B2936" t="s">
        <v>198</v>
      </c>
    </row>
    <row r="2937" spans="1:2">
      <c r="A2937">
        <v>21223</v>
      </c>
      <c r="B2937" t="s">
        <v>198</v>
      </c>
    </row>
    <row r="2938" spans="1:2">
      <c r="A2938">
        <v>21227</v>
      </c>
      <c r="B2938" t="s">
        <v>198</v>
      </c>
    </row>
    <row r="2939" spans="1:2">
      <c r="A2939">
        <v>21228</v>
      </c>
      <c r="B2939" t="s">
        <v>198</v>
      </c>
    </row>
    <row r="2940" spans="1:2">
      <c r="A2940">
        <v>21229</v>
      </c>
      <c r="B2940" t="s">
        <v>198</v>
      </c>
    </row>
    <row r="2941" spans="1:2">
      <c r="A2941">
        <v>21230</v>
      </c>
      <c r="B2941" t="s">
        <v>198</v>
      </c>
    </row>
    <row r="2942" spans="1:2">
      <c r="A2942">
        <v>21029</v>
      </c>
      <c r="B2942" t="s">
        <v>198</v>
      </c>
    </row>
    <row r="2943" spans="1:2">
      <c r="A2943">
        <v>21041</v>
      </c>
      <c r="B2943" t="s">
        <v>198</v>
      </c>
    </row>
    <row r="2944" spans="1:2">
      <c r="A2944">
        <v>21042</v>
      </c>
      <c r="B2944" t="s">
        <v>198</v>
      </c>
    </row>
    <row r="2945" spans="1:2">
      <c r="A2945">
        <v>21043</v>
      </c>
      <c r="B2945" t="s">
        <v>198</v>
      </c>
    </row>
    <row r="2946" spans="1:2">
      <c r="A2946">
        <v>21044</v>
      </c>
      <c r="B2946" t="s">
        <v>198</v>
      </c>
    </row>
    <row r="2947" spans="1:2">
      <c r="A2947">
        <v>21163</v>
      </c>
      <c r="B2947" t="s">
        <v>198</v>
      </c>
    </row>
    <row r="2948" spans="1:2">
      <c r="A2948">
        <v>21244</v>
      </c>
      <c r="B2948" t="s">
        <v>198</v>
      </c>
    </row>
    <row r="2949" spans="1:2">
      <c r="A2949">
        <v>20701</v>
      </c>
      <c r="B2949" t="s">
        <v>198</v>
      </c>
    </row>
    <row r="2950" spans="1:2">
      <c r="A2950">
        <v>20723</v>
      </c>
      <c r="B2950" t="s">
        <v>198</v>
      </c>
    </row>
    <row r="2951" spans="1:2">
      <c r="A2951">
        <v>20763</v>
      </c>
      <c r="B2951" t="s">
        <v>198</v>
      </c>
    </row>
    <row r="2952" spans="1:2">
      <c r="A2952">
        <v>20794</v>
      </c>
      <c r="B2952" t="s">
        <v>198</v>
      </c>
    </row>
    <row r="2953" spans="1:2">
      <c r="A2953">
        <v>21045</v>
      </c>
      <c r="B2953" t="s">
        <v>198</v>
      </c>
    </row>
    <row r="2954" spans="1:2">
      <c r="A2954">
        <v>21046</v>
      </c>
      <c r="B2954" t="s">
        <v>198</v>
      </c>
    </row>
    <row r="2955" spans="1:2">
      <c r="A2955">
        <v>21075</v>
      </c>
      <c r="B2955" t="s">
        <v>198</v>
      </c>
    </row>
    <row r="2956" spans="1:2">
      <c r="A2956">
        <v>21076</v>
      </c>
      <c r="B2956" t="s">
        <v>198</v>
      </c>
    </row>
    <row r="2957" spans="1:2">
      <c r="A2957">
        <v>21090</v>
      </c>
      <c r="B2957" t="s">
        <v>198</v>
      </c>
    </row>
    <row r="2958" spans="1:2">
      <c r="A2958">
        <v>21060</v>
      </c>
      <c r="B2958" t="s">
        <v>198</v>
      </c>
    </row>
    <row r="2959" spans="1:2">
      <c r="A2959">
        <v>21061</v>
      </c>
      <c r="B2959" t="s">
        <v>198</v>
      </c>
    </row>
    <row r="2960" spans="1:2">
      <c r="A2960">
        <v>21144</v>
      </c>
      <c r="B2960" t="s">
        <v>198</v>
      </c>
    </row>
    <row r="2961" spans="1:2">
      <c r="A2961">
        <v>21225</v>
      </c>
      <c r="B2961" t="s">
        <v>198</v>
      </c>
    </row>
    <row r="2962" spans="1:2">
      <c r="A2962">
        <v>21226</v>
      </c>
      <c r="B2962" t="s">
        <v>198</v>
      </c>
    </row>
    <row r="2963" spans="1:2">
      <c r="A2963">
        <v>21012</v>
      </c>
      <c r="B2963" t="s">
        <v>198</v>
      </c>
    </row>
    <row r="2964" spans="1:2">
      <c r="A2964">
        <v>21108</v>
      </c>
      <c r="B2964" t="s">
        <v>198</v>
      </c>
    </row>
    <row r="2965" spans="1:2">
      <c r="A2965">
        <v>21122</v>
      </c>
      <c r="B2965" t="s">
        <v>198</v>
      </c>
    </row>
    <row r="2966" spans="1:2">
      <c r="A2966">
        <v>21146</v>
      </c>
      <c r="B2966" t="s">
        <v>198</v>
      </c>
    </row>
    <row r="2967" spans="1:2">
      <c r="A2967">
        <v>21409</v>
      </c>
      <c r="B2967" t="s">
        <v>198</v>
      </c>
    </row>
    <row r="2968" spans="1:2">
      <c r="A2968">
        <v>21032</v>
      </c>
      <c r="B2968" t="s">
        <v>198</v>
      </c>
    </row>
    <row r="2969" spans="1:2">
      <c r="A2969">
        <v>21035</v>
      </c>
      <c r="B2969" t="s">
        <v>198</v>
      </c>
    </row>
    <row r="2970" spans="1:2">
      <c r="A2970">
        <v>21037</v>
      </c>
      <c r="B2970" t="s">
        <v>198</v>
      </c>
    </row>
    <row r="2971" spans="1:2">
      <c r="A2971">
        <v>21054</v>
      </c>
      <c r="B2971" t="s">
        <v>198</v>
      </c>
    </row>
    <row r="2972" spans="1:2">
      <c r="A2972">
        <v>21114</v>
      </c>
      <c r="B2972" t="s">
        <v>198</v>
      </c>
    </row>
    <row r="2973" spans="1:2">
      <c r="A2973">
        <v>21140</v>
      </c>
      <c r="B2973" t="s">
        <v>198</v>
      </c>
    </row>
    <row r="2974" spans="1:2">
      <c r="A2974">
        <v>21401</v>
      </c>
      <c r="B2974" t="s">
        <v>198</v>
      </c>
    </row>
    <row r="2975" spans="1:2">
      <c r="A2975">
        <v>21403</v>
      </c>
      <c r="B2975" t="s">
        <v>198</v>
      </c>
    </row>
    <row r="2976" spans="1:2">
      <c r="A2976">
        <v>20708</v>
      </c>
      <c r="B2976" t="s">
        <v>198</v>
      </c>
    </row>
    <row r="2977" spans="1:2">
      <c r="A2977">
        <v>20715</v>
      </c>
      <c r="B2977" t="s">
        <v>198</v>
      </c>
    </row>
    <row r="2978" spans="1:2">
      <c r="A2978">
        <v>20720</v>
      </c>
      <c r="B2978" t="s">
        <v>198</v>
      </c>
    </row>
    <row r="2979" spans="1:2">
      <c r="A2979">
        <v>20724</v>
      </c>
      <c r="B2979" t="s">
        <v>198</v>
      </c>
    </row>
    <row r="2980" spans="1:2">
      <c r="A2980">
        <v>20769</v>
      </c>
      <c r="B2980" t="s">
        <v>198</v>
      </c>
    </row>
    <row r="2981" spans="1:2">
      <c r="A2981">
        <v>21113</v>
      </c>
      <c r="B2981" t="s">
        <v>198</v>
      </c>
    </row>
    <row r="2982" spans="1:2">
      <c r="A2982">
        <v>20716</v>
      </c>
      <c r="B2982" t="s">
        <v>198</v>
      </c>
    </row>
    <row r="2983" spans="1:2">
      <c r="A2983">
        <v>20721</v>
      </c>
      <c r="B2983" t="s">
        <v>198</v>
      </c>
    </row>
    <row r="2984" spans="1:2">
      <c r="A2984">
        <v>20774</v>
      </c>
      <c r="B2984" t="s">
        <v>198</v>
      </c>
    </row>
    <row r="2985" spans="1:2">
      <c r="A2985">
        <v>20623</v>
      </c>
      <c r="B2985" t="s">
        <v>198</v>
      </c>
    </row>
    <row r="2986" spans="1:2">
      <c r="A2986">
        <v>20735</v>
      </c>
      <c r="B2986" t="s">
        <v>198</v>
      </c>
    </row>
    <row r="2987" spans="1:2">
      <c r="A2987">
        <v>20772</v>
      </c>
      <c r="B2987" t="s">
        <v>198</v>
      </c>
    </row>
    <row r="2988" spans="1:2">
      <c r="A2988">
        <v>20744</v>
      </c>
      <c r="B2988" t="s">
        <v>198</v>
      </c>
    </row>
    <row r="2989" spans="1:2">
      <c r="A2989">
        <v>20745</v>
      </c>
      <c r="B2989" t="s">
        <v>198</v>
      </c>
    </row>
    <row r="2990" spans="1:2">
      <c r="A2990">
        <v>20746</v>
      </c>
      <c r="B2990" t="s">
        <v>198</v>
      </c>
    </row>
    <row r="2991" spans="1:2">
      <c r="A2991">
        <v>20747</v>
      </c>
      <c r="B2991" t="s">
        <v>198</v>
      </c>
    </row>
    <row r="2992" spans="1:2">
      <c r="A2992">
        <v>20748</v>
      </c>
      <c r="B2992" t="s">
        <v>198</v>
      </c>
    </row>
    <row r="2993" spans="1:2">
      <c r="A2993">
        <v>20706</v>
      </c>
      <c r="B2993" t="s">
        <v>198</v>
      </c>
    </row>
    <row r="2994" spans="1:2">
      <c r="A2994">
        <v>20710</v>
      </c>
      <c r="B2994" t="s">
        <v>198</v>
      </c>
    </row>
    <row r="2995" spans="1:2">
      <c r="A2995">
        <v>20722</v>
      </c>
      <c r="B2995" t="s">
        <v>198</v>
      </c>
    </row>
    <row r="2996" spans="1:2">
      <c r="A2996">
        <v>20737</v>
      </c>
      <c r="B2996" t="s">
        <v>198</v>
      </c>
    </row>
    <row r="2997" spans="1:2">
      <c r="A2997">
        <v>20743</v>
      </c>
      <c r="B2997" t="s">
        <v>198</v>
      </c>
    </row>
    <row r="2998" spans="1:2">
      <c r="A2998">
        <v>20781</v>
      </c>
      <c r="B2998" t="s">
        <v>198</v>
      </c>
    </row>
    <row r="2999" spans="1:2">
      <c r="A2999">
        <v>20784</v>
      </c>
      <c r="B2999" t="s">
        <v>198</v>
      </c>
    </row>
    <row r="3000" spans="1:2">
      <c r="A3000">
        <v>20785</v>
      </c>
      <c r="B3000" t="s">
        <v>198</v>
      </c>
    </row>
    <row r="3001" spans="1:2">
      <c r="A3001">
        <v>20712</v>
      </c>
      <c r="B3001" t="s">
        <v>198</v>
      </c>
    </row>
    <row r="3002" spans="1:2">
      <c r="A3002">
        <v>20740</v>
      </c>
      <c r="B3002" t="s">
        <v>198</v>
      </c>
    </row>
    <row r="3003" spans="1:2">
      <c r="A3003">
        <v>20770</v>
      </c>
      <c r="B3003" t="s">
        <v>198</v>
      </c>
    </row>
    <row r="3004" spans="1:2">
      <c r="A3004">
        <v>20782</v>
      </c>
      <c r="B3004" t="s">
        <v>198</v>
      </c>
    </row>
    <row r="3005" spans="1:2">
      <c r="A3005">
        <v>20783</v>
      </c>
      <c r="B3005" t="s">
        <v>198</v>
      </c>
    </row>
    <row r="3006" spans="1:2">
      <c r="A3006">
        <v>20903</v>
      </c>
      <c r="B3006" t="s">
        <v>198</v>
      </c>
    </row>
    <row r="3007" spans="1:2">
      <c r="A3007">
        <v>20912</v>
      </c>
      <c r="B3007" t="s">
        <v>198</v>
      </c>
    </row>
    <row r="3008" spans="1:2">
      <c r="A3008">
        <v>20705</v>
      </c>
      <c r="B3008" t="s">
        <v>198</v>
      </c>
    </row>
    <row r="3009" spans="1:2">
      <c r="A3009">
        <v>20707</v>
      </c>
      <c r="B3009" t="s">
        <v>198</v>
      </c>
    </row>
    <row r="3010" spans="1:2">
      <c r="A3010">
        <v>20861</v>
      </c>
      <c r="B3010" t="s">
        <v>198</v>
      </c>
    </row>
    <row r="3011" spans="1:2">
      <c r="A3011">
        <v>20866</v>
      </c>
      <c r="B3011" t="s">
        <v>198</v>
      </c>
    </row>
    <row r="3012" spans="1:2">
      <c r="A3012">
        <v>20868</v>
      </c>
      <c r="B3012" t="s">
        <v>198</v>
      </c>
    </row>
    <row r="3013" spans="1:2">
      <c r="A3013">
        <v>20904</v>
      </c>
      <c r="B3013" t="s">
        <v>198</v>
      </c>
    </row>
    <row r="3014" spans="1:2">
      <c r="A3014">
        <v>20905</v>
      </c>
      <c r="B3014" t="s">
        <v>198</v>
      </c>
    </row>
    <row r="3015" spans="1:2">
      <c r="A3015">
        <v>20851</v>
      </c>
      <c r="B3015" t="s">
        <v>198</v>
      </c>
    </row>
    <row r="3016" spans="1:2">
      <c r="A3016">
        <v>20852</v>
      </c>
      <c r="B3016" t="s">
        <v>198</v>
      </c>
    </row>
    <row r="3017" spans="1:2">
      <c r="A3017">
        <v>20895</v>
      </c>
      <c r="B3017" t="s">
        <v>198</v>
      </c>
    </row>
    <row r="3018" spans="1:2">
      <c r="A3018">
        <v>20896</v>
      </c>
      <c r="B3018" t="s">
        <v>198</v>
      </c>
    </row>
    <row r="3019" spans="1:2">
      <c r="A3019">
        <v>20901</v>
      </c>
      <c r="B3019" t="s">
        <v>198</v>
      </c>
    </row>
    <row r="3020" spans="1:2">
      <c r="A3020">
        <v>20902</v>
      </c>
      <c r="B3020" t="s">
        <v>198</v>
      </c>
    </row>
    <row r="3021" spans="1:2">
      <c r="A3021">
        <v>20910</v>
      </c>
      <c r="B3021" t="s">
        <v>198</v>
      </c>
    </row>
    <row r="3022" spans="1:2">
      <c r="A3022">
        <v>20832</v>
      </c>
      <c r="B3022" t="s">
        <v>198</v>
      </c>
    </row>
    <row r="3023" spans="1:2">
      <c r="A3023">
        <v>20833</v>
      </c>
      <c r="B3023" t="s">
        <v>198</v>
      </c>
    </row>
    <row r="3024" spans="1:2">
      <c r="A3024">
        <v>20853</v>
      </c>
      <c r="B3024" t="s">
        <v>198</v>
      </c>
    </row>
    <row r="3025" spans="1:2">
      <c r="A3025">
        <v>20860</v>
      </c>
      <c r="B3025" t="s">
        <v>198</v>
      </c>
    </row>
    <row r="3026" spans="1:2">
      <c r="A3026">
        <v>20862</v>
      </c>
      <c r="B3026" t="s">
        <v>198</v>
      </c>
    </row>
    <row r="3027" spans="1:2">
      <c r="A3027">
        <v>20882</v>
      </c>
      <c r="B3027" t="s">
        <v>198</v>
      </c>
    </row>
    <row r="3028" spans="1:2">
      <c r="A3028">
        <v>20906</v>
      </c>
      <c r="B3028" t="s">
        <v>198</v>
      </c>
    </row>
    <row r="3029" spans="1:2">
      <c r="A3029">
        <v>20850</v>
      </c>
      <c r="B3029" t="s">
        <v>198</v>
      </c>
    </row>
    <row r="3030" spans="1:2">
      <c r="A3030">
        <v>20855</v>
      </c>
      <c r="B3030" t="s">
        <v>198</v>
      </c>
    </row>
    <row r="3031" spans="1:2">
      <c r="A3031">
        <v>20876</v>
      </c>
      <c r="B3031" t="s">
        <v>198</v>
      </c>
    </row>
    <row r="3032" spans="1:2">
      <c r="A3032">
        <v>20877</v>
      </c>
      <c r="B3032" t="s">
        <v>198</v>
      </c>
    </row>
    <row r="3033" spans="1:2">
      <c r="A3033">
        <v>20879</v>
      </c>
      <c r="B3033" t="s">
        <v>198</v>
      </c>
    </row>
    <row r="3034" spans="1:2">
      <c r="A3034">
        <v>20880</v>
      </c>
      <c r="B3034" t="s">
        <v>198</v>
      </c>
    </row>
    <row r="3035" spans="1:2">
      <c r="A3035">
        <v>20886</v>
      </c>
      <c r="B3035" t="s">
        <v>198</v>
      </c>
    </row>
    <row r="3036" spans="1:2">
      <c r="A3036">
        <v>20854</v>
      </c>
      <c r="B3036" t="s">
        <v>198</v>
      </c>
    </row>
    <row r="3037" spans="1:2">
      <c r="A3037">
        <v>20874</v>
      </c>
      <c r="B3037" t="s">
        <v>198</v>
      </c>
    </row>
    <row r="3038" spans="1:2">
      <c r="A3038">
        <v>20878</v>
      </c>
      <c r="B3038" t="s">
        <v>198</v>
      </c>
    </row>
    <row r="3039" spans="1:2">
      <c r="A3039">
        <v>20812</v>
      </c>
      <c r="B3039" t="s">
        <v>198</v>
      </c>
    </row>
    <row r="3040" spans="1:2">
      <c r="A3040">
        <v>20814</v>
      </c>
      <c r="B3040" t="s">
        <v>198</v>
      </c>
    </row>
    <row r="3041" spans="1:2">
      <c r="A3041">
        <v>20815</v>
      </c>
      <c r="B3041" t="s">
        <v>198</v>
      </c>
    </row>
    <row r="3042" spans="1:2">
      <c r="A3042">
        <v>20816</v>
      </c>
      <c r="B3042" t="s">
        <v>198</v>
      </c>
    </row>
    <row r="3043" spans="1:2">
      <c r="A3043">
        <v>20817</v>
      </c>
      <c r="B3043" t="s">
        <v>198</v>
      </c>
    </row>
    <row r="3044" spans="1:2">
      <c r="A3044">
        <v>20818</v>
      </c>
      <c r="B3044" t="s">
        <v>198</v>
      </c>
    </row>
    <row r="3045" spans="1:2">
      <c r="A3045">
        <v>20639</v>
      </c>
      <c r="B3045" t="s">
        <v>198</v>
      </c>
    </row>
    <row r="3046" spans="1:2">
      <c r="A3046">
        <v>20689</v>
      </c>
      <c r="B3046" t="s">
        <v>198</v>
      </c>
    </row>
    <row r="3047" spans="1:2">
      <c r="A3047">
        <v>20711</v>
      </c>
      <c r="B3047" t="s">
        <v>198</v>
      </c>
    </row>
    <row r="3048" spans="1:2">
      <c r="A3048">
        <v>20714</v>
      </c>
      <c r="B3048" t="s">
        <v>198</v>
      </c>
    </row>
    <row r="3049" spans="1:2">
      <c r="A3049">
        <v>20732</v>
      </c>
      <c r="B3049" t="s">
        <v>198</v>
      </c>
    </row>
    <row r="3050" spans="1:2">
      <c r="A3050">
        <v>20733</v>
      </c>
      <c r="B3050" t="s">
        <v>198</v>
      </c>
    </row>
    <row r="3051" spans="1:2">
      <c r="A3051">
        <v>20736</v>
      </c>
      <c r="B3051" t="s">
        <v>198</v>
      </c>
    </row>
    <row r="3052" spans="1:2">
      <c r="A3052">
        <v>20751</v>
      </c>
      <c r="B3052" t="s">
        <v>198</v>
      </c>
    </row>
    <row r="3053" spans="1:2">
      <c r="A3053">
        <v>20754</v>
      </c>
      <c r="B3053" t="s">
        <v>198</v>
      </c>
    </row>
    <row r="3054" spans="1:2">
      <c r="A3054">
        <v>20758</v>
      </c>
      <c r="B3054" t="s">
        <v>198</v>
      </c>
    </row>
    <row r="3055" spans="1:2">
      <c r="A3055">
        <v>20764</v>
      </c>
      <c r="B3055" t="s">
        <v>198</v>
      </c>
    </row>
    <row r="3056" spans="1:2">
      <c r="A3056">
        <v>20776</v>
      </c>
      <c r="B3056" t="s">
        <v>198</v>
      </c>
    </row>
    <row r="3057" spans="1:2">
      <c r="A3057">
        <v>20778</v>
      </c>
      <c r="B3057" t="s">
        <v>198</v>
      </c>
    </row>
    <row r="3058" spans="1:2">
      <c r="A3058">
        <v>20779</v>
      </c>
      <c r="B3058" t="s">
        <v>198</v>
      </c>
    </row>
    <row r="3059" spans="1:2">
      <c r="A3059">
        <v>20601</v>
      </c>
      <c r="B3059" t="s">
        <v>198</v>
      </c>
    </row>
    <row r="3060" spans="1:2">
      <c r="A3060">
        <v>20602</v>
      </c>
      <c r="B3060" t="s">
        <v>198</v>
      </c>
    </row>
    <row r="3061" spans="1:2">
      <c r="A3061">
        <v>20603</v>
      </c>
      <c r="B3061" t="s">
        <v>198</v>
      </c>
    </row>
    <row r="3062" spans="1:2">
      <c r="A3062">
        <v>20607</v>
      </c>
      <c r="B3062" t="s">
        <v>198</v>
      </c>
    </row>
    <row r="3063" spans="1:2">
      <c r="A3063">
        <v>20608</v>
      </c>
      <c r="B3063" t="s">
        <v>198</v>
      </c>
    </row>
    <row r="3064" spans="1:2">
      <c r="A3064">
        <v>20613</v>
      </c>
      <c r="B3064" t="s">
        <v>198</v>
      </c>
    </row>
    <row r="3065" spans="1:2">
      <c r="A3065">
        <v>20616</v>
      </c>
      <c r="B3065" t="s">
        <v>198</v>
      </c>
    </row>
    <row r="3066" spans="1:2">
      <c r="A3066">
        <v>22303</v>
      </c>
      <c r="B3066" t="s">
        <v>198</v>
      </c>
    </row>
    <row r="3067" spans="1:2">
      <c r="A3067">
        <v>22304</v>
      </c>
      <c r="B3067" t="s">
        <v>198</v>
      </c>
    </row>
    <row r="3068" spans="1:2">
      <c r="A3068">
        <v>22306</v>
      </c>
      <c r="B3068" t="s">
        <v>198</v>
      </c>
    </row>
    <row r="3069" spans="1:2">
      <c r="A3069">
        <v>22307</v>
      </c>
      <c r="B3069" t="s">
        <v>198</v>
      </c>
    </row>
    <row r="3070" spans="1:2">
      <c r="A3070">
        <v>22308</v>
      </c>
      <c r="B3070" t="s">
        <v>198</v>
      </c>
    </row>
    <row r="3071" spans="1:2">
      <c r="A3071">
        <v>22310</v>
      </c>
      <c r="B3071" t="s">
        <v>198</v>
      </c>
    </row>
    <row r="3072" spans="1:2">
      <c r="A3072">
        <v>22314</v>
      </c>
      <c r="B3072" t="s">
        <v>198</v>
      </c>
    </row>
    <row r="3073" spans="1:2">
      <c r="A3073">
        <v>22003</v>
      </c>
      <c r="B3073" t="s">
        <v>198</v>
      </c>
    </row>
    <row r="3074" spans="1:2">
      <c r="A3074">
        <v>22041</v>
      </c>
      <c r="B3074" t="s">
        <v>198</v>
      </c>
    </row>
    <row r="3075" spans="1:2">
      <c r="A3075">
        <v>22042</v>
      </c>
      <c r="B3075" t="s">
        <v>198</v>
      </c>
    </row>
    <row r="3076" spans="1:2">
      <c r="A3076">
        <v>22044</v>
      </c>
      <c r="B3076" t="s">
        <v>198</v>
      </c>
    </row>
    <row r="3077" spans="1:2">
      <c r="A3077">
        <v>22046</v>
      </c>
      <c r="B3077" t="s">
        <v>198</v>
      </c>
    </row>
    <row r="3078" spans="1:2">
      <c r="A3078">
        <v>22151</v>
      </c>
      <c r="B3078" t="s">
        <v>198</v>
      </c>
    </row>
    <row r="3079" spans="1:2">
      <c r="A3079">
        <v>22213</v>
      </c>
      <c r="B3079" t="s">
        <v>198</v>
      </c>
    </row>
    <row r="3080" spans="1:2">
      <c r="A3080">
        <v>22311</v>
      </c>
      <c r="B3080" t="s">
        <v>198</v>
      </c>
    </row>
    <row r="3081" spans="1:2">
      <c r="A3081">
        <v>22312</v>
      </c>
      <c r="B3081" t="s">
        <v>198</v>
      </c>
    </row>
    <row r="3082" spans="1:2">
      <c r="A3082">
        <v>22043</v>
      </c>
      <c r="B3082" t="s">
        <v>198</v>
      </c>
    </row>
    <row r="3083" spans="1:2">
      <c r="A3083">
        <v>22079</v>
      </c>
      <c r="B3083" t="s">
        <v>198</v>
      </c>
    </row>
    <row r="3084" spans="1:2">
      <c r="A3084">
        <v>22150</v>
      </c>
      <c r="B3084" t="s">
        <v>198</v>
      </c>
    </row>
    <row r="3085" spans="1:2">
      <c r="A3085">
        <v>22152</v>
      </c>
      <c r="B3085" t="s">
        <v>198</v>
      </c>
    </row>
    <row r="3086" spans="1:2">
      <c r="A3086">
        <v>22153</v>
      </c>
      <c r="B3086" t="s">
        <v>198</v>
      </c>
    </row>
    <row r="3087" spans="1:2">
      <c r="A3087">
        <v>22309</v>
      </c>
      <c r="B3087" t="s">
        <v>198</v>
      </c>
    </row>
    <row r="3088" spans="1:2">
      <c r="A3088">
        <v>22315</v>
      </c>
      <c r="B3088" t="s">
        <v>198</v>
      </c>
    </row>
    <row r="3089" spans="1:2">
      <c r="A3089">
        <v>20121</v>
      </c>
      <c r="B3089" t="s">
        <v>198</v>
      </c>
    </row>
    <row r="3090" spans="1:2">
      <c r="A3090">
        <v>20124</v>
      </c>
      <c r="B3090" t="s">
        <v>198</v>
      </c>
    </row>
    <row r="3091" spans="1:2">
      <c r="A3091">
        <v>22015</v>
      </c>
      <c r="B3091" t="s">
        <v>198</v>
      </c>
    </row>
    <row r="3092" spans="1:2">
      <c r="A3092">
        <v>22032</v>
      </c>
      <c r="B3092" t="s">
        <v>198</v>
      </c>
    </row>
    <row r="3093" spans="1:2">
      <c r="A3093">
        <v>22039</v>
      </c>
      <c r="B3093" t="s">
        <v>198</v>
      </c>
    </row>
    <row r="3094" spans="1:2">
      <c r="A3094">
        <v>22192</v>
      </c>
      <c r="B3094" t="s">
        <v>198</v>
      </c>
    </row>
    <row r="3095" spans="1:2">
      <c r="A3095">
        <v>22025</v>
      </c>
      <c r="B3095" t="s">
        <v>198</v>
      </c>
    </row>
    <row r="3096" spans="1:2">
      <c r="A3096">
        <v>22026</v>
      </c>
      <c r="B3096" t="s">
        <v>198</v>
      </c>
    </row>
    <row r="3097" spans="1:2">
      <c r="A3097">
        <v>22191</v>
      </c>
      <c r="B3097" t="s">
        <v>198</v>
      </c>
    </row>
    <row r="3098" spans="1:2">
      <c r="A3098">
        <v>22193</v>
      </c>
      <c r="B3098" t="s">
        <v>198</v>
      </c>
    </row>
    <row r="3099" spans="1:2">
      <c r="A3099">
        <v>20110</v>
      </c>
      <c r="B3099" t="s">
        <v>198</v>
      </c>
    </row>
    <row r="3100" spans="1:2">
      <c r="A3100">
        <v>20111</v>
      </c>
      <c r="B3100" t="s">
        <v>198</v>
      </c>
    </row>
    <row r="3101" spans="1:2">
      <c r="A3101">
        <v>20112</v>
      </c>
      <c r="B3101" t="s">
        <v>198</v>
      </c>
    </row>
    <row r="3102" spans="1:2">
      <c r="A3102">
        <v>20136</v>
      </c>
      <c r="B3102" t="s">
        <v>198</v>
      </c>
    </row>
    <row r="3103" spans="1:2">
      <c r="A3103">
        <v>22101</v>
      </c>
      <c r="B3103" t="s">
        <v>198</v>
      </c>
    </row>
    <row r="3104" spans="1:2">
      <c r="A3104">
        <v>22102</v>
      </c>
      <c r="B3104" t="s">
        <v>198</v>
      </c>
    </row>
    <row r="3105" spans="1:2">
      <c r="A3105">
        <v>20109</v>
      </c>
      <c r="B3105" t="s">
        <v>198</v>
      </c>
    </row>
    <row r="3106" spans="1:2">
      <c r="A3106">
        <v>20120</v>
      </c>
      <c r="B3106" t="s">
        <v>198</v>
      </c>
    </row>
    <row r="3107" spans="1:2">
      <c r="A3107">
        <v>20143</v>
      </c>
      <c r="B3107" t="s">
        <v>198</v>
      </c>
    </row>
    <row r="3108" spans="1:2">
      <c r="A3108">
        <v>20151</v>
      </c>
      <c r="B3108" t="s">
        <v>198</v>
      </c>
    </row>
    <row r="3109" spans="1:2">
      <c r="A3109">
        <v>20152</v>
      </c>
      <c r="B3109" t="s">
        <v>198</v>
      </c>
    </row>
    <row r="3110" spans="1:2">
      <c r="A3110">
        <v>20155</v>
      </c>
      <c r="B3110" t="s">
        <v>198</v>
      </c>
    </row>
    <row r="3111" spans="1:2">
      <c r="A3111">
        <v>20169</v>
      </c>
      <c r="B3111" t="s">
        <v>198</v>
      </c>
    </row>
    <row r="3112" spans="1:2">
      <c r="A3112">
        <v>22027</v>
      </c>
      <c r="B3112" t="s">
        <v>198</v>
      </c>
    </row>
    <row r="3113" spans="1:2">
      <c r="A3113">
        <v>22030</v>
      </c>
      <c r="B3113" t="s">
        <v>198</v>
      </c>
    </row>
    <row r="3114" spans="1:2">
      <c r="A3114">
        <v>22031</v>
      </c>
      <c r="B3114" t="s">
        <v>198</v>
      </c>
    </row>
    <row r="3115" spans="1:2">
      <c r="A3115">
        <v>22033</v>
      </c>
      <c r="B3115" t="s">
        <v>198</v>
      </c>
    </row>
    <row r="3116" spans="1:2">
      <c r="A3116">
        <v>22124</v>
      </c>
      <c r="B3116" t="s">
        <v>198</v>
      </c>
    </row>
    <row r="3117" spans="1:2">
      <c r="A3117">
        <v>22180</v>
      </c>
      <c r="B3117" t="s">
        <v>198</v>
      </c>
    </row>
    <row r="3118" spans="1:2">
      <c r="A3118">
        <v>22181</v>
      </c>
      <c r="B3118" t="s">
        <v>198</v>
      </c>
    </row>
    <row r="3119" spans="1:2">
      <c r="A3119">
        <v>20170</v>
      </c>
      <c r="B3119" t="s">
        <v>198</v>
      </c>
    </row>
    <row r="3120" spans="1:2">
      <c r="A3120">
        <v>20171</v>
      </c>
      <c r="B3120" t="s">
        <v>198</v>
      </c>
    </row>
    <row r="3121" spans="1:2">
      <c r="A3121">
        <v>20190</v>
      </c>
      <c r="B3121" t="s">
        <v>198</v>
      </c>
    </row>
    <row r="3122" spans="1:2">
      <c r="A3122">
        <v>20191</v>
      </c>
      <c r="B3122" t="s">
        <v>198</v>
      </c>
    </row>
    <row r="3123" spans="1:2">
      <c r="A3123">
        <v>20194</v>
      </c>
      <c r="B3123" t="s">
        <v>198</v>
      </c>
    </row>
    <row r="3124" spans="1:2">
      <c r="A3124">
        <v>22066</v>
      </c>
      <c r="B3124" t="s">
        <v>198</v>
      </c>
    </row>
    <row r="3125" spans="1:2">
      <c r="A3125">
        <v>22182</v>
      </c>
      <c r="B3125" t="s">
        <v>198</v>
      </c>
    </row>
    <row r="3126" spans="1:2">
      <c r="A3126">
        <v>20105</v>
      </c>
      <c r="B3126" t="s">
        <v>198</v>
      </c>
    </row>
    <row r="3127" spans="1:2">
      <c r="A3127">
        <v>20148</v>
      </c>
      <c r="B3127" t="s">
        <v>198</v>
      </c>
    </row>
    <row r="3128" spans="1:2">
      <c r="A3128">
        <v>20164</v>
      </c>
      <c r="B3128" t="s">
        <v>198</v>
      </c>
    </row>
    <row r="3129" spans="1:2">
      <c r="A3129">
        <v>20165</v>
      </c>
      <c r="B3129" t="s">
        <v>198</v>
      </c>
    </row>
    <row r="3130" spans="1:2">
      <c r="A3130">
        <v>20166</v>
      </c>
      <c r="B3130" t="s">
        <v>198</v>
      </c>
    </row>
    <row r="3131" spans="1:2">
      <c r="A3131">
        <v>20147</v>
      </c>
      <c r="B3131" t="s">
        <v>198</v>
      </c>
    </row>
    <row r="3132" spans="1:2">
      <c r="A3132">
        <v>20175</v>
      </c>
      <c r="B3132" t="s">
        <v>198</v>
      </c>
    </row>
    <row r="3133" spans="1:2">
      <c r="A3133">
        <v>20176</v>
      </c>
      <c r="B3133" t="s">
        <v>198</v>
      </c>
    </row>
    <row r="3134" spans="1:2">
      <c r="A3134">
        <v>30034</v>
      </c>
      <c r="B3134" t="s">
        <v>198</v>
      </c>
    </row>
    <row r="3135" spans="1:2">
      <c r="A3135">
        <v>30273</v>
      </c>
      <c r="B3135" t="s">
        <v>198</v>
      </c>
    </row>
    <row r="3136" spans="1:2">
      <c r="A3136">
        <v>30288</v>
      </c>
      <c r="B3136" t="s">
        <v>198</v>
      </c>
    </row>
    <row r="3137" spans="1:2">
      <c r="A3137">
        <v>30294</v>
      </c>
      <c r="B3137" t="s">
        <v>198</v>
      </c>
    </row>
    <row r="3138" spans="1:2">
      <c r="A3138">
        <v>30035</v>
      </c>
      <c r="B3138" t="s">
        <v>198</v>
      </c>
    </row>
    <row r="3139" spans="1:2">
      <c r="A3139">
        <v>30038</v>
      </c>
      <c r="B3139" t="s">
        <v>198</v>
      </c>
    </row>
    <row r="3140" spans="1:2">
      <c r="A3140">
        <v>30058</v>
      </c>
      <c r="B3140" t="s">
        <v>198</v>
      </c>
    </row>
    <row r="3141" spans="1:2">
      <c r="A3141">
        <v>30012</v>
      </c>
      <c r="B3141" t="s">
        <v>198</v>
      </c>
    </row>
    <row r="3142" spans="1:2">
      <c r="A3142">
        <v>30013</v>
      </c>
      <c r="B3142" t="s">
        <v>198</v>
      </c>
    </row>
    <row r="3143" spans="1:2">
      <c r="A3143">
        <v>30094</v>
      </c>
      <c r="B3143" t="s">
        <v>198</v>
      </c>
    </row>
    <row r="3144" spans="1:2">
      <c r="A3144">
        <v>30052</v>
      </c>
      <c r="B3144" t="s">
        <v>198</v>
      </c>
    </row>
    <row r="3145" spans="1:2">
      <c r="A3145">
        <v>30039</v>
      </c>
      <c r="B3145" t="s">
        <v>198</v>
      </c>
    </row>
    <row r="3146" spans="1:2">
      <c r="A3146">
        <v>30087</v>
      </c>
      <c r="B3146" t="s">
        <v>198</v>
      </c>
    </row>
    <row r="3147" spans="1:2">
      <c r="A3147">
        <v>30021</v>
      </c>
      <c r="B3147" t="s">
        <v>198</v>
      </c>
    </row>
    <row r="3148" spans="1:2">
      <c r="A3148">
        <v>30083</v>
      </c>
      <c r="B3148" t="s">
        <v>198</v>
      </c>
    </row>
    <row r="3149" spans="1:2">
      <c r="A3149">
        <v>30084</v>
      </c>
      <c r="B3149" t="s">
        <v>198</v>
      </c>
    </row>
    <row r="3150" spans="1:2">
      <c r="A3150">
        <v>30088</v>
      </c>
      <c r="B3150" t="s">
        <v>198</v>
      </c>
    </row>
    <row r="3151" spans="1:2">
      <c r="A3151">
        <v>30033</v>
      </c>
      <c r="B3151" t="s">
        <v>198</v>
      </c>
    </row>
    <row r="3152" spans="1:2">
      <c r="A3152">
        <v>30329</v>
      </c>
      <c r="B3152" t="s">
        <v>198</v>
      </c>
    </row>
    <row r="3153" spans="1:2">
      <c r="A3153">
        <v>30345</v>
      </c>
      <c r="B3153" t="s">
        <v>198</v>
      </c>
    </row>
    <row r="3154" spans="1:2">
      <c r="A3154">
        <v>30002</v>
      </c>
      <c r="B3154" t="s">
        <v>198</v>
      </c>
    </row>
    <row r="3155" spans="1:2">
      <c r="A3155">
        <v>30030</v>
      </c>
      <c r="B3155" t="s">
        <v>198</v>
      </c>
    </row>
    <row r="3156" spans="1:2">
      <c r="A3156">
        <v>30032</v>
      </c>
      <c r="B3156" t="s">
        <v>198</v>
      </c>
    </row>
    <row r="3157" spans="1:2">
      <c r="A3157">
        <v>30317</v>
      </c>
      <c r="B3157" t="s">
        <v>198</v>
      </c>
    </row>
    <row r="3158" spans="1:2">
      <c r="A3158">
        <v>30324</v>
      </c>
      <c r="B3158" t="s">
        <v>198</v>
      </c>
    </row>
    <row r="3159" spans="1:2">
      <c r="A3159">
        <v>30022</v>
      </c>
      <c r="B3159" t="s">
        <v>198</v>
      </c>
    </row>
    <row r="3160" spans="1:2">
      <c r="A3160">
        <v>30092</v>
      </c>
      <c r="B3160" t="s">
        <v>198</v>
      </c>
    </row>
    <row r="3161" spans="1:2">
      <c r="A3161">
        <v>30075</v>
      </c>
      <c r="B3161" t="s">
        <v>198</v>
      </c>
    </row>
    <row r="3162" spans="1:2">
      <c r="A3162">
        <v>30076</v>
      </c>
      <c r="B3162" t="s">
        <v>198</v>
      </c>
    </row>
    <row r="3163" spans="1:2">
      <c r="A3163">
        <v>30350</v>
      </c>
      <c r="B3163" t="s">
        <v>198</v>
      </c>
    </row>
    <row r="3164" spans="1:2">
      <c r="A3164">
        <v>30005</v>
      </c>
      <c r="B3164" t="s">
        <v>198</v>
      </c>
    </row>
    <row r="3165" spans="1:2">
      <c r="A3165">
        <v>30041</v>
      </c>
      <c r="B3165" t="s">
        <v>198</v>
      </c>
    </row>
    <row r="3166" spans="1:2">
      <c r="A3166">
        <v>30004</v>
      </c>
      <c r="B3166" t="s">
        <v>198</v>
      </c>
    </row>
    <row r="3167" spans="1:2">
      <c r="A3167">
        <v>30009</v>
      </c>
      <c r="B3167" t="s">
        <v>198</v>
      </c>
    </row>
    <row r="3168" spans="1:2">
      <c r="A3168">
        <v>30028</v>
      </c>
      <c r="B3168" t="s">
        <v>198</v>
      </c>
    </row>
    <row r="3169" spans="1:2">
      <c r="A3169">
        <v>30040</v>
      </c>
      <c r="B3169" t="s">
        <v>198</v>
      </c>
    </row>
    <row r="3170" spans="1:2">
      <c r="A3170">
        <v>30115</v>
      </c>
      <c r="B3170" t="s">
        <v>198</v>
      </c>
    </row>
    <row r="3171" spans="1:2">
      <c r="A3171">
        <v>30188</v>
      </c>
      <c r="B3171" t="s">
        <v>198</v>
      </c>
    </row>
    <row r="3172" spans="1:2">
      <c r="A3172">
        <v>30114</v>
      </c>
      <c r="B3172" t="s">
        <v>198</v>
      </c>
    </row>
    <row r="3173" spans="1:2">
      <c r="A3173">
        <v>30189</v>
      </c>
      <c r="B3173" t="s">
        <v>198</v>
      </c>
    </row>
    <row r="3174" spans="1:2">
      <c r="A3174">
        <v>30338</v>
      </c>
      <c r="B3174" t="s">
        <v>198</v>
      </c>
    </row>
    <row r="3175" spans="1:2">
      <c r="A3175">
        <v>30340</v>
      </c>
      <c r="B3175" t="s">
        <v>198</v>
      </c>
    </row>
    <row r="3176" spans="1:2">
      <c r="A3176">
        <v>30341</v>
      </c>
      <c r="B3176" t="s">
        <v>198</v>
      </c>
    </row>
    <row r="3177" spans="1:2">
      <c r="A3177">
        <v>30346</v>
      </c>
      <c r="B3177" t="s">
        <v>198</v>
      </c>
    </row>
    <row r="3178" spans="1:2">
      <c r="A3178">
        <v>30360</v>
      </c>
      <c r="B3178" t="s">
        <v>198</v>
      </c>
    </row>
    <row r="3179" spans="1:2">
      <c r="A3179">
        <v>30319</v>
      </c>
      <c r="B3179" t="s">
        <v>198</v>
      </c>
    </row>
    <row r="3180" spans="1:2">
      <c r="A3180">
        <v>30342</v>
      </c>
      <c r="B3180" t="s">
        <v>198</v>
      </c>
    </row>
    <row r="3181" spans="1:2">
      <c r="A3181">
        <v>30067</v>
      </c>
      <c r="B3181" t="s">
        <v>198</v>
      </c>
    </row>
    <row r="3182" spans="1:2">
      <c r="A3182">
        <v>30068</v>
      </c>
      <c r="B3182" t="s">
        <v>198</v>
      </c>
    </row>
    <row r="3183" spans="1:2">
      <c r="A3183">
        <v>30328</v>
      </c>
      <c r="B3183" t="s">
        <v>198</v>
      </c>
    </row>
    <row r="3184" spans="1:2">
      <c r="A3184">
        <v>30305</v>
      </c>
      <c r="B3184" t="s">
        <v>198</v>
      </c>
    </row>
    <row r="3185" spans="1:2">
      <c r="A3185">
        <v>30327</v>
      </c>
      <c r="B3185" t="s">
        <v>198</v>
      </c>
    </row>
    <row r="3186" spans="1:2">
      <c r="A3186">
        <v>30339</v>
      </c>
      <c r="B3186" t="s">
        <v>198</v>
      </c>
    </row>
    <row r="3187" spans="1:2">
      <c r="A3187">
        <v>30062</v>
      </c>
      <c r="B3187" t="s">
        <v>198</v>
      </c>
    </row>
    <row r="3188" spans="1:2">
      <c r="A3188">
        <v>30066</v>
      </c>
      <c r="B3188" t="s">
        <v>198</v>
      </c>
    </row>
    <row r="3189" spans="1:2">
      <c r="A3189">
        <v>30144</v>
      </c>
      <c r="B3189" t="s">
        <v>198</v>
      </c>
    </row>
    <row r="3190" spans="1:2">
      <c r="A3190">
        <v>30152</v>
      </c>
      <c r="B3190" t="s">
        <v>198</v>
      </c>
    </row>
    <row r="3191" spans="1:2">
      <c r="A3191">
        <v>30008</v>
      </c>
      <c r="B3191" t="s">
        <v>198</v>
      </c>
    </row>
    <row r="3192" spans="1:2">
      <c r="A3192">
        <v>30060</v>
      </c>
      <c r="B3192" t="s">
        <v>198</v>
      </c>
    </row>
    <row r="3193" spans="1:2">
      <c r="A3193">
        <v>30064</v>
      </c>
      <c r="B3193" t="s">
        <v>198</v>
      </c>
    </row>
    <row r="3194" spans="1:2">
      <c r="A3194">
        <v>30080</v>
      </c>
      <c r="B3194" t="s">
        <v>198</v>
      </c>
    </row>
    <row r="3195" spans="1:2">
      <c r="A3195">
        <v>30082</v>
      </c>
      <c r="B3195" t="s">
        <v>198</v>
      </c>
    </row>
    <row r="3196" spans="1:2">
      <c r="A3196">
        <v>30126</v>
      </c>
      <c r="B3196" t="s">
        <v>198</v>
      </c>
    </row>
    <row r="3197" spans="1:2">
      <c r="A3197">
        <v>30047</v>
      </c>
      <c r="B3197" t="s">
        <v>198</v>
      </c>
    </row>
    <row r="3198" spans="1:2">
      <c r="A3198">
        <v>30071</v>
      </c>
      <c r="B3198" t="s">
        <v>198</v>
      </c>
    </row>
    <row r="3199" spans="1:2">
      <c r="A3199">
        <v>30093</v>
      </c>
      <c r="B3199" t="s">
        <v>198</v>
      </c>
    </row>
    <row r="3200" spans="1:2">
      <c r="A3200">
        <v>30044</v>
      </c>
      <c r="B3200" t="s">
        <v>198</v>
      </c>
    </row>
    <row r="3201" spans="1:2">
      <c r="A3201">
        <v>30078</v>
      </c>
      <c r="B3201" t="s">
        <v>198</v>
      </c>
    </row>
    <row r="3202" spans="1:2">
      <c r="A3202">
        <v>30096</v>
      </c>
      <c r="B3202" t="s">
        <v>198</v>
      </c>
    </row>
    <row r="3203" spans="1:2">
      <c r="A3203">
        <v>30097</v>
      </c>
      <c r="B3203" t="s">
        <v>198</v>
      </c>
    </row>
    <row r="3204" spans="1:2">
      <c r="A3204">
        <v>30024</v>
      </c>
      <c r="B3204" t="s">
        <v>198</v>
      </c>
    </row>
    <row r="3205" spans="1:2">
      <c r="A3205">
        <v>30043</v>
      </c>
      <c r="B3205" t="s">
        <v>198</v>
      </c>
    </row>
    <row r="3206" spans="1:2">
      <c r="A3206">
        <v>30046</v>
      </c>
      <c r="B3206" t="s">
        <v>198</v>
      </c>
    </row>
    <row r="3207" spans="1:2">
      <c r="A3207">
        <v>30017</v>
      </c>
      <c r="B3207" t="s">
        <v>198</v>
      </c>
    </row>
    <row r="3208" spans="1:2">
      <c r="A3208">
        <v>30019</v>
      </c>
      <c r="B3208" t="s">
        <v>198</v>
      </c>
    </row>
    <row r="3209" spans="1:2">
      <c r="A3209">
        <v>30045</v>
      </c>
      <c r="B3209" t="s">
        <v>198</v>
      </c>
    </row>
    <row r="3210" spans="1:2">
      <c r="A3210">
        <v>30620</v>
      </c>
      <c r="B3210" t="s">
        <v>198</v>
      </c>
    </row>
    <row r="3211" spans="1:2">
      <c r="A3211">
        <v>30680</v>
      </c>
      <c r="B3211" t="s">
        <v>198</v>
      </c>
    </row>
    <row r="3212" spans="1:2">
      <c r="A3212">
        <v>30011</v>
      </c>
      <c r="B3212" t="s">
        <v>198</v>
      </c>
    </row>
    <row r="3213" spans="1:2">
      <c r="A3213">
        <v>30517</v>
      </c>
      <c r="B3213" t="s">
        <v>198</v>
      </c>
    </row>
    <row r="3214" spans="1:2">
      <c r="A3214">
        <v>30548</v>
      </c>
      <c r="B3214" t="s">
        <v>198</v>
      </c>
    </row>
    <row r="3215" spans="1:2">
      <c r="A3215">
        <v>30518</v>
      </c>
      <c r="B3215" t="s">
        <v>198</v>
      </c>
    </row>
    <row r="3216" spans="1:2">
      <c r="A3216">
        <v>30504</v>
      </c>
      <c r="B3216" t="s">
        <v>198</v>
      </c>
    </row>
    <row r="3217" spans="1:2">
      <c r="A3217">
        <v>30519</v>
      </c>
      <c r="B3217" t="s">
        <v>198</v>
      </c>
    </row>
    <row r="3218" spans="1:2">
      <c r="A3218">
        <v>30542</v>
      </c>
      <c r="B3218" t="s">
        <v>198</v>
      </c>
    </row>
    <row r="3219" spans="1:2">
      <c r="A3219">
        <v>30566</v>
      </c>
      <c r="B3219" t="s">
        <v>198</v>
      </c>
    </row>
    <row r="3220" spans="1:2">
      <c r="A3220">
        <v>30054</v>
      </c>
      <c r="B3220" t="s">
        <v>198</v>
      </c>
    </row>
    <row r="3221" spans="1:2">
      <c r="A3221">
        <v>30079</v>
      </c>
      <c r="B3221" t="s">
        <v>198</v>
      </c>
    </row>
    <row r="3222" spans="1:2">
      <c r="A3222">
        <v>30306</v>
      </c>
      <c r="B3222" t="s">
        <v>198</v>
      </c>
    </row>
    <row r="3223" spans="1:2">
      <c r="A3223">
        <v>30307</v>
      </c>
      <c r="B3223" t="s">
        <v>198</v>
      </c>
    </row>
    <row r="3224" spans="1:2">
      <c r="A3224">
        <v>30333</v>
      </c>
      <c r="B3224" t="s">
        <v>198</v>
      </c>
    </row>
    <row r="3225" spans="1:2">
      <c r="A3225">
        <v>30016</v>
      </c>
      <c r="B3225" t="s">
        <v>198</v>
      </c>
    </row>
    <row r="3226" spans="1:2">
      <c r="A3226">
        <v>30252</v>
      </c>
      <c r="B3226" t="s">
        <v>198</v>
      </c>
    </row>
    <row r="3227" spans="1:2">
      <c r="A3227">
        <v>30253</v>
      </c>
      <c r="B3227" t="s">
        <v>198</v>
      </c>
    </row>
    <row r="3228" spans="1:2">
      <c r="A3228">
        <v>30281</v>
      </c>
      <c r="B3228" t="s">
        <v>198</v>
      </c>
    </row>
    <row r="3229" spans="1:2">
      <c r="A3229">
        <v>30310</v>
      </c>
      <c r="B3229" t="s">
        <v>198</v>
      </c>
    </row>
    <row r="3230" spans="1:2">
      <c r="A3230">
        <v>30315</v>
      </c>
      <c r="B3230" t="s">
        <v>198</v>
      </c>
    </row>
    <row r="3231" spans="1:2">
      <c r="A3231">
        <v>30316</v>
      </c>
      <c r="B3231" t="s">
        <v>198</v>
      </c>
    </row>
    <row r="3232" spans="1:2">
      <c r="A3232">
        <v>30311</v>
      </c>
      <c r="B3232" t="s">
        <v>198</v>
      </c>
    </row>
    <row r="3233" spans="1:2">
      <c r="A3233">
        <v>30331</v>
      </c>
      <c r="B3233" t="s">
        <v>198</v>
      </c>
    </row>
    <row r="3234" spans="1:2">
      <c r="A3234">
        <v>30344</v>
      </c>
      <c r="B3234" t="s">
        <v>198</v>
      </c>
    </row>
    <row r="3235" spans="1:2">
      <c r="A3235">
        <v>30314</v>
      </c>
      <c r="B3235" t="s">
        <v>198</v>
      </c>
    </row>
    <row r="3236" spans="1:2">
      <c r="A3236">
        <v>30318</v>
      </c>
      <c r="B3236" t="s">
        <v>198</v>
      </c>
    </row>
    <row r="3237" spans="1:2">
      <c r="A3237">
        <v>30122</v>
      </c>
      <c r="B3237" t="s">
        <v>198</v>
      </c>
    </row>
    <row r="3238" spans="1:2">
      <c r="A3238">
        <v>30135</v>
      </c>
      <c r="B3238" t="s">
        <v>198</v>
      </c>
    </row>
    <row r="3239" spans="1:2">
      <c r="A3239">
        <v>30168</v>
      </c>
      <c r="B3239" t="s">
        <v>198</v>
      </c>
    </row>
    <row r="3240" spans="1:2">
      <c r="A3240">
        <v>30106</v>
      </c>
      <c r="B3240" t="s">
        <v>198</v>
      </c>
    </row>
    <row r="3241" spans="1:2">
      <c r="A3241">
        <v>30127</v>
      </c>
      <c r="B3241" t="s">
        <v>198</v>
      </c>
    </row>
    <row r="3242" spans="1:2">
      <c r="A3242">
        <v>30134</v>
      </c>
      <c r="B3242" t="s">
        <v>198</v>
      </c>
    </row>
    <row r="3243" spans="1:2">
      <c r="A3243">
        <v>30141</v>
      </c>
      <c r="B3243" t="s">
        <v>198</v>
      </c>
    </row>
    <row r="3244" spans="1:2">
      <c r="A3244">
        <v>30132</v>
      </c>
      <c r="B3244" t="s">
        <v>198</v>
      </c>
    </row>
    <row r="3245" spans="1:2">
      <c r="A3245">
        <v>30157</v>
      </c>
      <c r="B3245" t="s">
        <v>198</v>
      </c>
    </row>
    <row r="3246" spans="1:2">
      <c r="A3246">
        <v>30101</v>
      </c>
      <c r="B3246" t="s">
        <v>198</v>
      </c>
    </row>
    <row r="3247" spans="1:2">
      <c r="A3247">
        <v>30102</v>
      </c>
      <c r="B3247" t="s">
        <v>198</v>
      </c>
    </row>
    <row r="3248" spans="1:2">
      <c r="A3248">
        <v>30260</v>
      </c>
      <c r="B3248" t="s">
        <v>198</v>
      </c>
    </row>
    <row r="3249" spans="1:2">
      <c r="A3249">
        <v>30297</v>
      </c>
      <c r="B3249" t="s">
        <v>198</v>
      </c>
    </row>
    <row r="3250" spans="1:2">
      <c r="A3250">
        <v>30501</v>
      </c>
      <c r="B3250" t="s">
        <v>198</v>
      </c>
    </row>
    <row r="3251" spans="1:2">
      <c r="A3251">
        <v>30003</v>
      </c>
      <c r="B3251" t="s">
        <v>198</v>
      </c>
    </row>
    <row r="3252" spans="1:2">
      <c r="A3252">
        <v>30010</v>
      </c>
      <c r="B3252" t="s">
        <v>198</v>
      </c>
    </row>
    <row r="3253" spans="1:2">
      <c r="A3253">
        <v>30023</v>
      </c>
      <c r="B3253" t="s">
        <v>198</v>
      </c>
    </row>
    <row r="3254" spans="1:2">
      <c r="A3254">
        <v>30026</v>
      </c>
      <c r="B3254" t="s">
        <v>198</v>
      </c>
    </row>
    <row r="3255" spans="1:2">
      <c r="A3255">
        <v>30029</v>
      </c>
      <c r="B3255" t="s">
        <v>198</v>
      </c>
    </row>
    <row r="3256" spans="1:2">
      <c r="A3256">
        <v>30031</v>
      </c>
      <c r="B3256" t="s">
        <v>198</v>
      </c>
    </row>
    <row r="3257" spans="1:2">
      <c r="A3257">
        <v>30036</v>
      </c>
      <c r="B3257" t="s">
        <v>198</v>
      </c>
    </row>
    <row r="3258" spans="1:2">
      <c r="A3258">
        <v>30037</v>
      </c>
      <c r="B3258" t="s">
        <v>198</v>
      </c>
    </row>
    <row r="3259" spans="1:2">
      <c r="A3259">
        <v>30042</v>
      </c>
      <c r="B3259" t="s">
        <v>198</v>
      </c>
    </row>
    <row r="3260" spans="1:2">
      <c r="A3260">
        <v>30048</v>
      </c>
      <c r="B3260" t="s">
        <v>198</v>
      </c>
    </row>
    <row r="3261" spans="1:2">
      <c r="A3261">
        <v>30049</v>
      </c>
      <c r="B3261" t="s">
        <v>198</v>
      </c>
    </row>
    <row r="3262" spans="1:2">
      <c r="A3262">
        <v>30072</v>
      </c>
      <c r="B3262" t="s">
        <v>198</v>
      </c>
    </row>
    <row r="3263" spans="1:2">
      <c r="A3263">
        <v>30074</v>
      </c>
      <c r="B3263" t="s">
        <v>198</v>
      </c>
    </row>
    <row r="3264" spans="1:2">
      <c r="A3264">
        <v>30085</v>
      </c>
      <c r="B3264" t="s">
        <v>198</v>
      </c>
    </row>
    <row r="3265" spans="1:2">
      <c r="A3265">
        <v>30086</v>
      </c>
      <c r="B3265" t="s">
        <v>198</v>
      </c>
    </row>
    <row r="3266" spans="1:2">
      <c r="A3266">
        <v>30091</v>
      </c>
      <c r="B3266" t="s">
        <v>198</v>
      </c>
    </row>
    <row r="3267" spans="1:2">
      <c r="A3267">
        <v>30095</v>
      </c>
      <c r="B3267" t="s">
        <v>198</v>
      </c>
    </row>
    <row r="3268" spans="1:2">
      <c r="A3268">
        <v>30098</v>
      </c>
      <c r="B3268" t="s">
        <v>198</v>
      </c>
    </row>
    <row r="3269" spans="1:2">
      <c r="A3269">
        <v>30099</v>
      </c>
      <c r="B3269" t="s">
        <v>198</v>
      </c>
    </row>
    <row r="3270" spans="1:2">
      <c r="A3270">
        <v>30356</v>
      </c>
      <c r="B3270" t="s">
        <v>198</v>
      </c>
    </row>
    <row r="3271" spans="1:2">
      <c r="A3271">
        <v>30359</v>
      </c>
      <c r="B3271" t="s">
        <v>198</v>
      </c>
    </row>
    <row r="3272" spans="1:2">
      <c r="A3272">
        <v>30362</v>
      </c>
      <c r="B3272" t="s">
        <v>198</v>
      </c>
    </row>
    <row r="3273" spans="1:2">
      <c r="A3273">
        <v>30366</v>
      </c>
      <c r="B3273" t="s">
        <v>198</v>
      </c>
    </row>
    <row r="3274" spans="1:2">
      <c r="A3274">
        <v>31119</v>
      </c>
      <c r="B3274" t="s">
        <v>198</v>
      </c>
    </row>
    <row r="3275" spans="1:2">
      <c r="A3275">
        <v>31141</v>
      </c>
      <c r="B3275" t="s">
        <v>198</v>
      </c>
    </row>
    <row r="3276" spans="1:2">
      <c r="A3276">
        <v>31145</v>
      </c>
      <c r="B3276" t="s">
        <v>198</v>
      </c>
    </row>
    <row r="3277" spans="1:2">
      <c r="A3277">
        <v>31146</v>
      </c>
      <c r="B3277" t="s">
        <v>198</v>
      </c>
    </row>
    <row r="3278" spans="1:2">
      <c r="A3278">
        <v>19145</v>
      </c>
      <c r="B3278" t="s">
        <v>198</v>
      </c>
    </row>
    <row r="3279" spans="1:2">
      <c r="A3279">
        <v>19146</v>
      </c>
      <c r="B3279" t="s">
        <v>198</v>
      </c>
    </row>
    <row r="3280" spans="1:2">
      <c r="A3280">
        <v>19147</v>
      </c>
      <c r="B3280" t="s">
        <v>198</v>
      </c>
    </row>
    <row r="3281" spans="1:2">
      <c r="A3281">
        <v>19148</v>
      </c>
      <c r="B3281" t="s">
        <v>198</v>
      </c>
    </row>
    <row r="3282" spans="1:2">
      <c r="A3282">
        <v>33004</v>
      </c>
      <c r="B3282" t="s">
        <v>198</v>
      </c>
    </row>
    <row r="3283" spans="1:2">
      <c r="A3283">
        <v>33009</v>
      </c>
      <c r="B3283" t="s">
        <v>198</v>
      </c>
    </row>
    <row r="3284" spans="1:2">
      <c r="A3284">
        <v>33010</v>
      </c>
      <c r="B3284" t="s">
        <v>198</v>
      </c>
    </row>
    <row r="3285" spans="1:2">
      <c r="A3285">
        <v>33012</v>
      </c>
      <c r="B3285" t="s">
        <v>198</v>
      </c>
    </row>
    <row r="3286" spans="1:2">
      <c r="A3286">
        <v>33013</v>
      </c>
      <c r="B3286" t="s">
        <v>198</v>
      </c>
    </row>
    <row r="3287" spans="1:2">
      <c r="A3287">
        <v>33014</v>
      </c>
      <c r="B3287" t="s">
        <v>198</v>
      </c>
    </row>
    <row r="3288" spans="1:2">
      <c r="A3288">
        <v>33015</v>
      </c>
      <c r="B3288" t="s">
        <v>198</v>
      </c>
    </row>
    <row r="3289" spans="1:2">
      <c r="A3289">
        <v>33016</v>
      </c>
      <c r="B3289" t="s">
        <v>198</v>
      </c>
    </row>
    <row r="3290" spans="1:2">
      <c r="A3290">
        <v>33018</v>
      </c>
      <c r="B3290" t="s">
        <v>198</v>
      </c>
    </row>
    <row r="3291" spans="1:2">
      <c r="A3291">
        <v>33019</v>
      </c>
      <c r="B3291" t="s">
        <v>198</v>
      </c>
    </row>
    <row r="3292" spans="1:2">
      <c r="A3292">
        <v>33020</v>
      </c>
      <c r="B3292" t="s">
        <v>198</v>
      </c>
    </row>
    <row r="3293" spans="1:2">
      <c r="A3293">
        <v>33021</v>
      </c>
      <c r="B3293" t="s">
        <v>198</v>
      </c>
    </row>
    <row r="3294" spans="1:2">
      <c r="A3294">
        <v>33023</v>
      </c>
      <c r="B3294" t="s">
        <v>198</v>
      </c>
    </row>
    <row r="3295" spans="1:2">
      <c r="A3295">
        <v>33024</v>
      </c>
      <c r="B3295" t="s">
        <v>198</v>
      </c>
    </row>
    <row r="3296" spans="1:2">
      <c r="A3296">
        <v>33025</v>
      </c>
      <c r="B3296" t="s">
        <v>198</v>
      </c>
    </row>
    <row r="3297" spans="1:2">
      <c r="A3297">
        <v>33026</v>
      </c>
      <c r="B3297" t="s">
        <v>198</v>
      </c>
    </row>
    <row r="3298" spans="1:2">
      <c r="A3298">
        <v>33027</v>
      </c>
      <c r="B3298" t="s">
        <v>198</v>
      </c>
    </row>
    <row r="3299" spans="1:2">
      <c r="A3299">
        <v>33028</v>
      </c>
      <c r="B3299" t="s">
        <v>198</v>
      </c>
    </row>
    <row r="3300" spans="1:2">
      <c r="A3300">
        <v>33029</v>
      </c>
      <c r="B3300" t="s">
        <v>198</v>
      </c>
    </row>
    <row r="3301" spans="1:2">
      <c r="A3301">
        <v>33030</v>
      </c>
      <c r="B3301" t="s">
        <v>198</v>
      </c>
    </row>
    <row r="3302" spans="1:2">
      <c r="A3302">
        <v>33031</v>
      </c>
      <c r="B3302" t="s">
        <v>198</v>
      </c>
    </row>
    <row r="3303" spans="1:2">
      <c r="A3303">
        <v>33032</v>
      </c>
      <c r="B3303" t="s">
        <v>198</v>
      </c>
    </row>
    <row r="3304" spans="1:2">
      <c r="A3304">
        <v>33033</v>
      </c>
      <c r="B3304" t="s">
        <v>198</v>
      </c>
    </row>
    <row r="3305" spans="1:2">
      <c r="A3305">
        <v>33054</v>
      </c>
      <c r="B3305" t="s">
        <v>198</v>
      </c>
    </row>
    <row r="3306" spans="1:2">
      <c r="A3306">
        <v>33055</v>
      </c>
      <c r="B3306" t="s">
        <v>198</v>
      </c>
    </row>
    <row r="3307" spans="1:2">
      <c r="A3307">
        <v>33056</v>
      </c>
      <c r="B3307" t="s">
        <v>198</v>
      </c>
    </row>
    <row r="3308" spans="1:2">
      <c r="A3308">
        <v>33060</v>
      </c>
      <c r="B3308" t="s">
        <v>198</v>
      </c>
    </row>
    <row r="3309" spans="1:2">
      <c r="A3309">
        <v>33062</v>
      </c>
      <c r="B3309" t="s">
        <v>198</v>
      </c>
    </row>
    <row r="3310" spans="1:2">
      <c r="A3310">
        <v>33063</v>
      </c>
      <c r="B3310" t="s">
        <v>198</v>
      </c>
    </row>
    <row r="3311" spans="1:2">
      <c r="A3311">
        <v>33064</v>
      </c>
      <c r="B3311" t="s">
        <v>198</v>
      </c>
    </row>
    <row r="3312" spans="1:2">
      <c r="A3312">
        <v>33065</v>
      </c>
      <c r="B3312" t="s">
        <v>198</v>
      </c>
    </row>
    <row r="3313" spans="1:2">
      <c r="A3313">
        <v>33066</v>
      </c>
      <c r="B3313" t="s">
        <v>198</v>
      </c>
    </row>
    <row r="3314" spans="1:2">
      <c r="A3314">
        <v>33067</v>
      </c>
      <c r="B3314" t="s">
        <v>198</v>
      </c>
    </row>
    <row r="3315" spans="1:2">
      <c r="A3315">
        <v>33068</v>
      </c>
      <c r="B3315" t="s">
        <v>198</v>
      </c>
    </row>
    <row r="3316" spans="1:2">
      <c r="A3316">
        <v>33069</v>
      </c>
      <c r="B3316" t="s">
        <v>198</v>
      </c>
    </row>
    <row r="3317" spans="1:2">
      <c r="A3317">
        <v>33071</v>
      </c>
      <c r="B3317" t="s">
        <v>198</v>
      </c>
    </row>
    <row r="3318" spans="1:2">
      <c r="A3318">
        <v>33073</v>
      </c>
      <c r="B3318" t="s">
        <v>198</v>
      </c>
    </row>
    <row r="3319" spans="1:2">
      <c r="A3319">
        <v>33076</v>
      </c>
      <c r="B3319" t="s">
        <v>198</v>
      </c>
    </row>
    <row r="3320" spans="1:2">
      <c r="A3320">
        <v>33122</v>
      </c>
      <c r="B3320" t="s">
        <v>198</v>
      </c>
    </row>
    <row r="3321" spans="1:2">
      <c r="A3321">
        <v>33125</v>
      </c>
      <c r="B3321" t="s">
        <v>198</v>
      </c>
    </row>
    <row r="3322" spans="1:2">
      <c r="A3322">
        <v>33126</v>
      </c>
      <c r="B3322" t="s">
        <v>198</v>
      </c>
    </row>
    <row r="3323" spans="1:2">
      <c r="A3323">
        <v>33127</v>
      </c>
      <c r="B3323" t="s">
        <v>198</v>
      </c>
    </row>
    <row r="3324" spans="1:2">
      <c r="A3324">
        <v>33128</v>
      </c>
      <c r="B3324" t="s">
        <v>198</v>
      </c>
    </row>
    <row r="3325" spans="1:2">
      <c r="A3325">
        <v>33129</v>
      </c>
      <c r="B3325" t="s">
        <v>198</v>
      </c>
    </row>
    <row r="3326" spans="1:2">
      <c r="A3326">
        <v>33130</v>
      </c>
      <c r="B3326" t="s">
        <v>198</v>
      </c>
    </row>
    <row r="3327" spans="1:2">
      <c r="A3327">
        <v>33131</v>
      </c>
      <c r="B3327" t="s">
        <v>198</v>
      </c>
    </row>
    <row r="3328" spans="1:2">
      <c r="A3328">
        <v>33132</v>
      </c>
      <c r="B3328" t="s">
        <v>198</v>
      </c>
    </row>
    <row r="3329" spans="1:2">
      <c r="A3329">
        <v>33133</v>
      </c>
      <c r="B3329" t="s">
        <v>198</v>
      </c>
    </row>
    <row r="3330" spans="1:2">
      <c r="A3330">
        <v>33134</v>
      </c>
      <c r="B3330" t="s">
        <v>198</v>
      </c>
    </row>
    <row r="3331" spans="1:2">
      <c r="A3331">
        <v>33135</v>
      </c>
      <c r="B3331" t="s">
        <v>198</v>
      </c>
    </row>
    <row r="3332" spans="1:2">
      <c r="A3332">
        <v>33136</v>
      </c>
      <c r="B3332" t="s">
        <v>198</v>
      </c>
    </row>
    <row r="3333" spans="1:2">
      <c r="A3333">
        <v>33137</v>
      </c>
      <c r="B3333" t="s">
        <v>198</v>
      </c>
    </row>
    <row r="3334" spans="1:2">
      <c r="A3334">
        <v>33138</v>
      </c>
      <c r="B3334" t="s">
        <v>198</v>
      </c>
    </row>
    <row r="3335" spans="1:2">
      <c r="A3335">
        <v>33142</v>
      </c>
      <c r="B3335" t="s">
        <v>198</v>
      </c>
    </row>
    <row r="3336" spans="1:2">
      <c r="A3336">
        <v>33143</v>
      </c>
      <c r="B3336" t="s">
        <v>198</v>
      </c>
    </row>
    <row r="3337" spans="1:2">
      <c r="A3337">
        <v>33144</v>
      </c>
      <c r="B3337" t="s">
        <v>198</v>
      </c>
    </row>
    <row r="3338" spans="1:2">
      <c r="A3338">
        <v>33145</v>
      </c>
      <c r="B3338" t="s">
        <v>198</v>
      </c>
    </row>
    <row r="3339" spans="1:2">
      <c r="A3339">
        <v>33146</v>
      </c>
      <c r="B3339" t="s">
        <v>198</v>
      </c>
    </row>
    <row r="3340" spans="1:2">
      <c r="A3340">
        <v>33147</v>
      </c>
      <c r="B3340" t="s">
        <v>198</v>
      </c>
    </row>
    <row r="3341" spans="1:2">
      <c r="A3341">
        <v>33150</v>
      </c>
      <c r="B3341" t="s">
        <v>198</v>
      </c>
    </row>
    <row r="3342" spans="1:2">
      <c r="A3342">
        <v>33155</v>
      </c>
      <c r="B3342" t="s">
        <v>198</v>
      </c>
    </row>
    <row r="3343" spans="1:2">
      <c r="A3343">
        <v>33156</v>
      </c>
      <c r="B3343" t="s">
        <v>198</v>
      </c>
    </row>
    <row r="3344" spans="1:2">
      <c r="A3344">
        <v>33157</v>
      </c>
      <c r="B3344" t="s">
        <v>198</v>
      </c>
    </row>
    <row r="3345" spans="1:2">
      <c r="A3345">
        <v>33158</v>
      </c>
      <c r="B3345" t="s">
        <v>198</v>
      </c>
    </row>
    <row r="3346" spans="1:2">
      <c r="A3346">
        <v>33160</v>
      </c>
      <c r="B3346" t="s">
        <v>198</v>
      </c>
    </row>
    <row r="3347" spans="1:2">
      <c r="A3347">
        <v>33161</v>
      </c>
      <c r="B3347" t="s">
        <v>198</v>
      </c>
    </row>
    <row r="3348" spans="1:2">
      <c r="A3348">
        <v>33162</v>
      </c>
      <c r="B3348" t="s">
        <v>198</v>
      </c>
    </row>
    <row r="3349" spans="1:2">
      <c r="A3349">
        <v>33165</v>
      </c>
      <c r="B3349" t="s">
        <v>198</v>
      </c>
    </row>
    <row r="3350" spans="1:2">
      <c r="A3350">
        <v>33166</v>
      </c>
      <c r="B3350" t="s">
        <v>198</v>
      </c>
    </row>
    <row r="3351" spans="1:2">
      <c r="A3351">
        <v>33167</v>
      </c>
      <c r="B3351" t="s">
        <v>198</v>
      </c>
    </row>
    <row r="3352" spans="1:2">
      <c r="A3352">
        <v>33168</v>
      </c>
      <c r="B3352" t="s">
        <v>198</v>
      </c>
    </row>
    <row r="3353" spans="1:2">
      <c r="A3353">
        <v>33169</v>
      </c>
      <c r="B3353" t="s">
        <v>198</v>
      </c>
    </row>
    <row r="3354" spans="1:2">
      <c r="A3354">
        <v>33172</v>
      </c>
      <c r="B3354" t="s">
        <v>198</v>
      </c>
    </row>
    <row r="3355" spans="1:2">
      <c r="A3355">
        <v>33173</v>
      </c>
      <c r="B3355" t="s">
        <v>198</v>
      </c>
    </row>
    <row r="3356" spans="1:2">
      <c r="A3356">
        <v>33174</v>
      </c>
      <c r="B3356" t="s">
        <v>198</v>
      </c>
    </row>
    <row r="3357" spans="1:2">
      <c r="A3357">
        <v>33175</v>
      </c>
      <c r="B3357" t="s">
        <v>198</v>
      </c>
    </row>
    <row r="3358" spans="1:2">
      <c r="A3358">
        <v>33176</v>
      </c>
      <c r="B3358" t="s">
        <v>198</v>
      </c>
    </row>
    <row r="3359" spans="1:2">
      <c r="A3359">
        <v>33177</v>
      </c>
      <c r="B3359" t="s">
        <v>198</v>
      </c>
    </row>
    <row r="3360" spans="1:2">
      <c r="A3360">
        <v>33178</v>
      </c>
      <c r="B3360" t="s">
        <v>198</v>
      </c>
    </row>
    <row r="3361" spans="1:2">
      <c r="A3361">
        <v>33179</v>
      </c>
      <c r="B3361" t="s">
        <v>198</v>
      </c>
    </row>
    <row r="3362" spans="1:2">
      <c r="A3362">
        <v>33180</v>
      </c>
      <c r="B3362" t="s">
        <v>198</v>
      </c>
    </row>
    <row r="3363" spans="1:2">
      <c r="A3363">
        <v>33181</v>
      </c>
      <c r="B3363" t="s">
        <v>198</v>
      </c>
    </row>
    <row r="3364" spans="1:2">
      <c r="A3364">
        <v>33182</v>
      </c>
      <c r="B3364" t="s">
        <v>198</v>
      </c>
    </row>
    <row r="3365" spans="1:2">
      <c r="A3365">
        <v>33183</v>
      </c>
      <c r="B3365" t="s">
        <v>198</v>
      </c>
    </row>
    <row r="3366" spans="1:2">
      <c r="A3366">
        <v>33184</v>
      </c>
      <c r="B3366" t="s">
        <v>198</v>
      </c>
    </row>
    <row r="3367" spans="1:2">
      <c r="A3367">
        <v>33185</v>
      </c>
      <c r="B3367" t="s">
        <v>198</v>
      </c>
    </row>
    <row r="3368" spans="1:2">
      <c r="A3368">
        <v>33186</v>
      </c>
      <c r="B3368" t="s">
        <v>198</v>
      </c>
    </row>
    <row r="3369" spans="1:2">
      <c r="A3369">
        <v>33189</v>
      </c>
      <c r="B3369" t="s">
        <v>198</v>
      </c>
    </row>
    <row r="3370" spans="1:2">
      <c r="A3370">
        <v>33190</v>
      </c>
      <c r="B3370" t="s">
        <v>198</v>
      </c>
    </row>
    <row r="3371" spans="1:2">
      <c r="A3371">
        <v>33191</v>
      </c>
      <c r="B3371" t="s">
        <v>198</v>
      </c>
    </row>
    <row r="3372" spans="1:2">
      <c r="A3372">
        <v>33192</v>
      </c>
      <c r="B3372" t="s">
        <v>198</v>
      </c>
    </row>
    <row r="3373" spans="1:2">
      <c r="A3373">
        <v>33193</v>
      </c>
      <c r="B3373" t="s">
        <v>198</v>
      </c>
    </row>
    <row r="3374" spans="1:2">
      <c r="A3374">
        <v>33195</v>
      </c>
      <c r="B3374" t="s">
        <v>198</v>
      </c>
    </row>
    <row r="3375" spans="1:2">
      <c r="A3375">
        <v>33301</v>
      </c>
      <c r="B3375" t="s">
        <v>198</v>
      </c>
    </row>
    <row r="3376" spans="1:2">
      <c r="A3376">
        <v>33304</v>
      </c>
      <c r="B3376" t="s">
        <v>198</v>
      </c>
    </row>
    <row r="3377" spans="1:2">
      <c r="A3377">
        <v>33305</v>
      </c>
      <c r="B3377" t="s">
        <v>198</v>
      </c>
    </row>
    <row r="3378" spans="1:2">
      <c r="A3378">
        <v>33306</v>
      </c>
      <c r="B3378" t="s">
        <v>198</v>
      </c>
    </row>
    <row r="3379" spans="1:2">
      <c r="A3379">
        <v>33308</v>
      </c>
      <c r="B3379" t="s">
        <v>198</v>
      </c>
    </row>
    <row r="3380" spans="1:2">
      <c r="A3380">
        <v>33309</v>
      </c>
      <c r="B3380" t="s">
        <v>198</v>
      </c>
    </row>
    <row r="3381" spans="1:2">
      <c r="A3381">
        <v>33311</v>
      </c>
      <c r="B3381" t="s">
        <v>198</v>
      </c>
    </row>
    <row r="3382" spans="1:2">
      <c r="A3382">
        <v>33312</v>
      </c>
      <c r="B3382" t="s">
        <v>198</v>
      </c>
    </row>
    <row r="3383" spans="1:2">
      <c r="A3383">
        <v>33313</v>
      </c>
      <c r="B3383" t="s">
        <v>198</v>
      </c>
    </row>
    <row r="3384" spans="1:2">
      <c r="A3384">
        <v>33314</v>
      </c>
      <c r="B3384" t="s">
        <v>198</v>
      </c>
    </row>
    <row r="3385" spans="1:2">
      <c r="A3385">
        <v>33315</v>
      </c>
      <c r="B3385" t="s">
        <v>198</v>
      </c>
    </row>
    <row r="3386" spans="1:2">
      <c r="A3386">
        <v>33316</v>
      </c>
      <c r="B3386" t="s">
        <v>198</v>
      </c>
    </row>
    <row r="3387" spans="1:2">
      <c r="A3387">
        <v>33317</v>
      </c>
      <c r="B3387" t="s">
        <v>198</v>
      </c>
    </row>
    <row r="3388" spans="1:2">
      <c r="A3388">
        <v>33319</v>
      </c>
      <c r="B3388" t="s">
        <v>198</v>
      </c>
    </row>
    <row r="3389" spans="1:2">
      <c r="A3389">
        <v>33321</v>
      </c>
      <c r="B3389" t="s">
        <v>198</v>
      </c>
    </row>
    <row r="3390" spans="1:2">
      <c r="A3390">
        <v>33322</v>
      </c>
      <c r="B3390" t="s">
        <v>198</v>
      </c>
    </row>
    <row r="3391" spans="1:2">
      <c r="A3391">
        <v>33323</v>
      </c>
      <c r="B3391" t="s">
        <v>198</v>
      </c>
    </row>
    <row r="3392" spans="1:2">
      <c r="A3392">
        <v>33324</v>
      </c>
      <c r="B3392" t="s">
        <v>198</v>
      </c>
    </row>
    <row r="3393" spans="1:2">
      <c r="A3393">
        <v>33325</v>
      </c>
      <c r="B3393" t="s">
        <v>198</v>
      </c>
    </row>
    <row r="3394" spans="1:2">
      <c r="A3394">
        <v>33326</v>
      </c>
      <c r="B3394" t="s">
        <v>198</v>
      </c>
    </row>
    <row r="3395" spans="1:2">
      <c r="A3395">
        <v>33327</v>
      </c>
      <c r="B3395" t="s">
        <v>198</v>
      </c>
    </row>
    <row r="3396" spans="1:2">
      <c r="A3396">
        <v>33328</v>
      </c>
      <c r="B3396" t="s">
        <v>198</v>
      </c>
    </row>
    <row r="3397" spans="1:2">
      <c r="A3397">
        <v>33330</v>
      </c>
      <c r="B3397" t="s">
        <v>198</v>
      </c>
    </row>
    <row r="3398" spans="1:2">
      <c r="A3398">
        <v>33331</v>
      </c>
      <c r="B3398" t="s">
        <v>198</v>
      </c>
    </row>
    <row r="3399" spans="1:2">
      <c r="A3399">
        <v>33332</v>
      </c>
      <c r="B3399" t="s">
        <v>198</v>
      </c>
    </row>
    <row r="3400" spans="1:2">
      <c r="A3400">
        <v>33334</v>
      </c>
      <c r="B3400" t="s">
        <v>198</v>
      </c>
    </row>
    <row r="3401" spans="1:2">
      <c r="A3401">
        <v>33351</v>
      </c>
      <c r="B3401" t="s">
        <v>198</v>
      </c>
    </row>
    <row r="3402" spans="1:2">
      <c r="A3402">
        <v>33401</v>
      </c>
      <c r="B3402" t="s">
        <v>198</v>
      </c>
    </row>
    <row r="3403" spans="1:2">
      <c r="A3403">
        <v>33403</v>
      </c>
      <c r="B3403" t="s">
        <v>198</v>
      </c>
    </row>
    <row r="3404" spans="1:2">
      <c r="A3404">
        <v>33404</v>
      </c>
      <c r="B3404" t="s">
        <v>198</v>
      </c>
    </row>
    <row r="3405" spans="1:2">
      <c r="A3405">
        <v>33405</v>
      </c>
      <c r="B3405" t="s">
        <v>198</v>
      </c>
    </row>
    <row r="3406" spans="1:2">
      <c r="A3406">
        <v>33406</v>
      </c>
      <c r="B3406" t="s">
        <v>198</v>
      </c>
    </row>
    <row r="3407" spans="1:2">
      <c r="A3407">
        <v>33407</v>
      </c>
      <c r="B3407" t="s">
        <v>198</v>
      </c>
    </row>
    <row r="3408" spans="1:2">
      <c r="A3408">
        <v>33408</v>
      </c>
      <c r="B3408" t="s">
        <v>198</v>
      </c>
    </row>
    <row r="3409" spans="1:2">
      <c r="A3409">
        <v>33409</v>
      </c>
      <c r="B3409" t="s">
        <v>198</v>
      </c>
    </row>
    <row r="3410" spans="1:2">
      <c r="A3410">
        <v>33410</v>
      </c>
      <c r="B3410" t="s">
        <v>198</v>
      </c>
    </row>
    <row r="3411" spans="1:2">
      <c r="A3411">
        <v>33411</v>
      </c>
      <c r="B3411" t="s">
        <v>198</v>
      </c>
    </row>
    <row r="3412" spans="1:2">
      <c r="A3412">
        <v>33412</v>
      </c>
      <c r="B3412" t="s">
        <v>198</v>
      </c>
    </row>
    <row r="3413" spans="1:2">
      <c r="A3413">
        <v>33413</v>
      </c>
      <c r="B3413" t="s">
        <v>198</v>
      </c>
    </row>
    <row r="3414" spans="1:2">
      <c r="A3414">
        <v>33414</v>
      </c>
      <c r="B3414" t="s">
        <v>198</v>
      </c>
    </row>
    <row r="3415" spans="1:2">
      <c r="A3415">
        <v>33415</v>
      </c>
      <c r="B3415" t="s">
        <v>198</v>
      </c>
    </row>
    <row r="3416" spans="1:2">
      <c r="A3416">
        <v>33416</v>
      </c>
      <c r="B3416" t="s">
        <v>198</v>
      </c>
    </row>
    <row r="3417" spans="1:2">
      <c r="A3417">
        <v>33417</v>
      </c>
      <c r="B3417" t="s">
        <v>198</v>
      </c>
    </row>
    <row r="3418" spans="1:2">
      <c r="A3418">
        <v>33418</v>
      </c>
      <c r="B3418" t="s">
        <v>198</v>
      </c>
    </row>
    <row r="3419" spans="1:2">
      <c r="A3419">
        <v>33421</v>
      </c>
      <c r="B3419" t="s">
        <v>198</v>
      </c>
    </row>
    <row r="3420" spans="1:2">
      <c r="A3420">
        <v>33426</v>
      </c>
      <c r="B3420" t="s">
        <v>198</v>
      </c>
    </row>
    <row r="3421" spans="1:2">
      <c r="A3421">
        <v>33428</v>
      </c>
      <c r="B3421" t="s">
        <v>198</v>
      </c>
    </row>
    <row r="3422" spans="1:2">
      <c r="A3422">
        <v>33431</v>
      </c>
      <c r="B3422" t="s">
        <v>198</v>
      </c>
    </row>
    <row r="3423" spans="1:2">
      <c r="A3423">
        <v>33432</v>
      </c>
      <c r="B3423" t="s">
        <v>198</v>
      </c>
    </row>
    <row r="3424" spans="1:2">
      <c r="A3424">
        <v>33433</v>
      </c>
      <c r="B3424" t="s">
        <v>198</v>
      </c>
    </row>
    <row r="3425" spans="1:2">
      <c r="A3425">
        <v>33434</v>
      </c>
      <c r="B3425" t="s">
        <v>198</v>
      </c>
    </row>
    <row r="3426" spans="1:2">
      <c r="A3426">
        <v>33435</v>
      </c>
      <c r="B3426" t="s">
        <v>198</v>
      </c>
    </row>
    <row r="3427" spans="1:2">
      <c r="A3427">
        <v>33436</v>
      </c>
      <c r="B3427" t="s">
        <v>198</v>
      </c>
    </row>
    <row r="3428" spans="1:2">
      <c r="A3428">
        <v>33437</v>
      </c>
      <c r="B3428" t="s">
        <v>198</v>
      </c>
    </row>
    <row r="3429" spans="1:2">
      <c r="A3429">
        <v>33444</v>
      </c>
      <c r="B3429" t="s">
        <v>198</v>
      </c>
    </row>
    <row r="3430" spans="1:2">
      <c r="A3430">
        <v>33445</v>
      </c>
      <c r="B3430" t="s">
        <v>198</v>
      </c>
    </row>
    <row r="3431" spans="1:2">
      <c r="A3431">
        <v>33446</v>
      </c>
      <c r="B3431" t="s">
        <v>198</v>
      </c>
    </row>
    <row r="3432" spans="1:2">
      <c r="A3432">
        <v>33449</v>
      </c>
      <c r="B3432" t="s">
        <v>198</v>
      </c>
    </row>
    <row r="3433" spans="1:2">
      <c r="A3433">
        <v>33455</v>
      </c>
      <c r="B3433" t="s">
        <v>198</v>
      </c>
    </row>
    <row r="3434" spans="1:2">
      <c r="A3434">
        <v>33458</v>
      </c>
      <c r="B3434" t="s">
        <v>198</v>
      </c>
    </row>
    <row r="3435" spans="1:2">
      <c r="A3435">
        <v>33460</v>
      </c>
      <c r="B3435" t="s">
        <v>198</v>
      </c>
    </row>
    <row r="3436" spans="1:2">
      <c r="A3436">
        <v>33461</v>
      </c>
      <c r="B3436" t="s">
        <v>198</v>
      </c>
    </row>
    <row r="3437" spans="1:2">
      <c r="A3437">
        <v>33462</v>
      </c>
      <c r="B3437" t="s">
        <v>198</v>
      </c>
    </row>
    <row r="3438" spans="1:2">
      <c r="A3438">
        <v>33463</v>
      </c>
      <c r="B3438" t="s">
        <v>198</v>
      </c>
    </row>
    <row r="3439" spans="1:2">
      <c r="A3439">
        <v>33467</v>
      </c>
      <c r="B3439" t="s">
        <v>198</v>
      </c>
    </row>
    <row r="3440" spans="1:2">
      <c r="A3440">
        <v>33468</v>
      </c>
      <c r="B3440" t="s">
        <v>198</v>
      </c>
    </row>
    <row r="3441" spans="1:2">
      <c r="A3441">
        <v>33469</v>
      </c>
      <c r="B3441" t="s">
        <v>198</v>
      </c>
    </row>
    <row r="3442" spans="1:2">
      <c r="A3442">
        <v>33472</v>
      </c>
      <c r="B3442" t="s">
        <v>198</v>
      </c>
    </row>
    <row r="3443" spans="1:2">
      <c r="A3443">
        <v>33473</v>
      </c>
      <c r="B3443" t="s">
        <v>198</v>
      </c>
    </row>
    <row r="3444" spans="1:2">
      <c r="A3444">
        <v>33477</v>
      </c>
      <c r="B3444" t="s">
        <v>198</v>
      </c>
    </row>
    <row r="3445" spans="1:2">
      <c r="A3445">
        <v>33478</v>
      </c>
      <c r="B3445" t="s">
        <v>198</v>
      </c>
    </row>
    <row r="3446" spans="1:2">
      <c r="A3446">
        <v>33480</v>
      </c>
      <c r="B3446" t="s">
        <v>198</v>
      </c>
    </row>
    <row r="3447" spans="1:2">
      <c r="A3447">
        <v>33482</v>
      </c>
      <c r="B3447" t="s">
        <v>198</v>
      </c>
    </row>
    <row r="3448" spans="1:2">
      <c r="A3448">
        <v>33484</v>
      </c>
      <c r="B3448" t="s">
        <v>198</v>
      </c>
    </row>
    <row r="3449" spans="1:2">
      <c r="A3449">
        <v>33486</v>
      </c>
      <c r="B3449" t="s">
        <v>198</v>
      </c>
    </row>
    <row r="3450" spans="1:2">
      <c r="A3450">
        <v>33487</v>
      </c>
      <c r="B3450" t="s">
        <v>198</v>
      </c>
    </row>
    <row r="3451" spans="1:2">
      <c r="A3451">
        <v>33496</v>
      </c>
      <c r="B3451" t="s">
        <v>198</v>
      </c>
    </row>
    <row r="3452" spans="1:2">
      <c r="A3452">
        <v>33498</v>
      </c>
      <c r="B3452" t="s">
        <v>198</v>
      </c>
    </row>
    <row r="3453" spans="1:2">
      <c r="A3453">
        <v>34997</v>
      </c>
      <c r="B3453" t="s">
        <v>198</v>
      </c>
    </row>
    <row r="3454" spans="1:2">
      <c r="A3454">
        <v>33776</v>
      </c>
      <c r="B3454" t="s">
        <v>198</v>
      </c>
    </row>
    <row r="3455" spans="1:2">
      <c r="A3455">
        <v>34685</v>
      </c>
      <c r="B3455" t="s">
        <v>198</v>
      </c>
    </row>
    <row r="3456" spans="1:2">
      <c r="A3456">
        <v>33812</v>
      </c>
      <c r="B3456" t="s">
        <v>198</v>
      </c>
    </row>
    <row r="3457" spans="1:2">
      <c r="A3457">
        <v>34688</v>
      </c>
      <c r="B3457" t="s">
        <v>198</v>
      </c>
    </row>
    <row r="3458" spans="1:2">
      <c r="A3458">
        <v>33559</v>
      </c>
      <c r="B3458" t="s">
        <v>198</v>
      </c>
    </row>
    <row r="3459" spans="1:2">
      <c r="A3459">
        <v>33714</v>
      </c>
      <c r="B3459" t="s">
        <v>198</v>
      </c>
    </row>
    <row r="3460" spans="1:2">
      <c r="A3460">
        <v>33760</v>
      </c>
      <c r="B3460" t="s">
        <v>198</v>
      </c>
    </row>
    <row r="3461" spans="1:2">
      <c r="A3461">
        <v>33763</v>
      </c>
      <c r="B3461" t="s">
        <v>198</v>
      </c>
    </row>
    <row r="3462" spans="1:2">
      <c r="A3462">
        <v>33778</v>
      </c>
      <c r="B3462" t="s">
        <v>198</v>
      </c>
    </row>
    <row r="3463" spans="1:2">
      <c r="A3463">
        <v>34637</v>
      </c>
      <c r="B3463" t="s">
        <v>198</v>
      </c>
    </row>
    <row r="3464" spans="1:2">
      <c r="A3464">
        <v>33548</v>
      </c>
      <c r="B3464" t="s">
        <v>198</v>
      </c>
    </row>
    <row r="3465" spans="1:2">
      <c r="A3465">
        <v>33549</v>
      </c>
      <c r="B3465" t="s">
        <v>198</v>
      </c>
    </row>
    <row r="3466" spans="1:2">
      <c r="A3466">
        <v>33607</v>
      </c>
      <c r="B3466" t="s">
        <v>198</v>
      </c>
    </row>
    <row r="3467" spans="1:2">
      <c r="A3467">
        <v>33603</v>
      </c>
      <c r="B3467" t="s">
        <v>198</v>
      </c>
    </row>
    <row r="3468" spans="1:2">
      <c r="A3468">
        <v>33634</v>
      </c>
      <c r="B3468" t="s">
        <v>198</v>
      </c>
    </row>
    <row r="3469" spans="1:2">
      <c r="A3469">
        <v>33635</v>
      </c>
      <c r="B3469" t="s">
        <v>198</v>
      </c>
    </row>
    <row r="3470" spans="1:2">
      <c r="A3470">
        <v>33704</v>
      </c>
      <c r="B3470" t="s">
        <v>198</v>
      </c>
    </row>
    <row r="3471" spans="1:2">
      <c r="A3471">
        <v>33707</v>
      </c>
      <c r="B3471" t="s">
        <v>198</v>
      </c>
    </row>
    <row r="3472" spans="1:2">
      <c r="A3472">
        <v>33712</v>
      </c>
      <c r="B3472" t="s">
        <v>198</v>
      </c>
    </row>
    <row r="3473" spans="1:2">
      <c r="A3473">
        <v>33759</v>
      </c>
      <c r="B3473" t="s">
        <v>198</v>
      </c>
    </row>
    <row r="3474" spans="1:2">
      <c r="A3474">
        <v>33774</v>
      </c>
      <c r="B3474" t="s">
        <v>198</v>
      </c>
    </row>
    <row r="3475" spans="1:2">
      <c r="A3475">
        <v>34677</v>
      </c>
      <c r="B3475" t="s">
        <v>198</v>
      </c>
    </row>
    <row r="3476" spans="1:2">
      <c r="A3476">
        <v>33701</v>
      </c>
      <c r="B3476" t="s">
        <v>198</v>
      </c>
    </row>
    <row r="3477" spans="1:2">
      <c r="A3477">
        <v>33770</v>
      </c>
      <c r="B3477" t="s">
        <v>198</v>
      </c>
    </row>
    <row r="3478" spans="1:2">
      <c r="A3478">
        <v>34691</v>
      </c>
      <c r="B3478" t="s">
        <v>198</v>
      </c>
    </row>
    <row r="3479" spans="1:2">
      <c r="A3479">
        <v>33606</v>
      </c>
      <c r="B3479" t="s">
        <v>198</v>
      </c>
    </row>
    <row r="3480" spans="1:2">
      <c r="A3480">
        <v>33609</v>
      </c>
      <c r="B3480" t="s">
        <v>198</v>
      </c>
    </row>
    <row r="3481" spans="1:2">
      <c r="A3481">
        <v>33755</v>
      </c>
      <c r="B3481" t="s">
        <v>198</v>
      </c>
    </row>
    <row r="3482" spans="1:2">
      <c r="A3482">
        <v>33777</v>
      </c>
      <c r="B3482" t="s">
        <v>198</v>
      </c>
    </row>
    <row r="3483" spans="1:2">
      <c r="A3483">
        <v>33563</v>
      </c>
      <c r="B3483" t="s">
        <v>198</v>
      </c>
    </row>
    <row r="3484" spans="1:2">
      <c r="A3484">
        <v>33702</v>
      </c>
      <c r="B3484" t="s">
        <v>198</v>
      </c>
    </row>
    <row r="3485" spans="1:2">
      <c r="A3485">
        <v>33709</v>
      </c>
      <c r="B3485" t="s">
        <v>198</v>
      </c>
    </row>
    <row r="3486" spans="1:2">
      <c r="A3486">
        <v>33764</v>
      </c>
      <c r="B3486" t="s">
        <v>198</v>
      </c>
    </row>
    <row r="3487" spans="1:2">
      <c r="A3487">
        <v>33782</v>
      </c>
      <c r="B3487" t="s">
        <v>198</v>
      </c>
    </row>
    <row r="3488" spans="1:2">
      <c r="A3488">
        <v>34654</v>
      </c>
      <c r="B3488" t="s">
        <v>198</v>
      </c>
    </row>
    <row r="3489" spans="1:2">
      <c r="A3489">
        <v>33510</v>
      </c>
      <c r="B3489" t="s">
        <v>198</v>
      </c>
    </row>
    <row r="3490" spans="1:2">
      <c r="A3490">
        <v>33565</v>
      </c>
      <c r="B3490" t="s">
        <v>198</v>
      </c>
    </row>
    <row r="3491" spans="1:2">
      <c r="A3491">
        <v>33616</v>
      </c>
      <c r="B3491" t="s">
        <v>198</v>
      </c>
    </row>
    <row r="3492" spans="1:2">
      <c r="A3492">
        <v>33703</v>
      </c>
      <c r="B3492" t="s">
        <v>198</v>
      </c>
    </row>
    <row r="3493" spans="1:2">
      <c r="A3493">
        <v>33716</v>
      </c>
      <c r="B3493" t="s">
        <v>198</v>
      </c>
    </row>
    <row r="3494" spans="1:2">
      <c r="A3494">
        <v>33773</v>
      </c>
      <c r="B3494" t="s">
        <v>198</v>
      </c>
    </row>
    <row r="3495" spans="1:2">
      <c r="A3495">
        <v>33781</v>
      </c>
      <c r="B3495" t="s">
        <v>198</v>
      </c>
    </row>
    <row r="3496" spans="1:2">
      <c r="A3496">
        <v>33637</v>
      </c>
      <c r="B3496" t="s">
        <v>198</v>
      </c>
    </row>
    <row r="3497" spans="1:2">
      <c r="A3497">
        <v>33761</v>
      </c>
      <c r="B3497" t="s">
        <v>198</v>
      </c>
    </row>
    <row r="3498" spans="1:2">
      <c r="A3498">
        <v>33771</v>
      </c>
      <c r="B3498" t="s">
        <v>198</v>
      </c>
    </row>
    <row r="3499" spans="1:2">
      <c r="A3499">
        <v>34652</v>
      </c>
      <c r="B3499" t="s">
        <v>198</v>
      </c>
    </row>
    <row r="3500" spans="1:2">
      <c r="A3500">
        <v>33545</v>
      </c>
      <c r="B3500" t="s">
        <v>198</v>
      </c>
    </row>
    <row r="3501" spans="1:2">
      <c r="A3501">
        <v>33572</v>
      </c>
      <c r="B3501" t="s">
        <v>198</v>
      </c>
    </row>
    <row r="3502" spans="1:2">
      <c r="A3502">
        <v>34695</v>
      </c>
      <c r="B3502" t="s">
        <v>198</v>
      </c>
    </row>
    <row r="3503" spans="1:2">
      <c r="A3503">
        <v>33612</v>
      </c>
      <c r="B3503" t="s">
        <v>198</v>
      </c>
    </row>
    <row r="3504" spans="1:2">
      <c r="A3504">
        <v>33617</v>
      </c>
      <c r="B3504" t="s">
        <v>198</v>
      </c>
    </row>
    <row r="3505" spans="1:2">
      <c r="A3505">
        <v>33629</v>
      </c>
      <c r="B3505" t="s">
        <v>198</v>
      </c>
    </row>
    <row r="3506" spans="1:2">
      <c r="A3506">
        <v>33705</v>
      </c>
      <c r="B3506" t="s">
        <v>198</v>
      </c>
    </row>
    <row r="3507" spans="1:2">
      <c r="A3507">
        <v>33811</v>
      </c>
      <c r="B3507" t="s">
        <v>198</v>
      </c>
    </row>
    <row r="3508" spans="1:2">
      <c r="A3508">
        <v>33558</v>
      </c>
      <c r="B3508" t="s">
        <v>198</v>
      </c>
    </row>
    <row r="3509" spans="1:2">
      <c r="A3509">
        <v>33566</v>
      </c>
      <c r="B3509" t="s">
        <v>198</v>
      </c>
    </row>
    <row r="3510" spans="1:2">
      <c r="A3510">
        <v>33618</v>
      </c>
      <c r="B3510" t="s">
        <v>198</v>
      </c>
    </row>
    <row r="3511" spans="1:2">
      <c r="A3511">
        <v>34684</v>
      </c>
      <c r="B3511" t="s">
        <v>198</v>
      </c>
    </row>
    <row r="3512" spans="1:2">
      <c r="A3512">
        <v>34689</v>
      </c>
      <c r="B3512" t="s">
        <v>198</v>
      </c>
    </row>
    <row r="3513" spans="1:2">
      <c r="A3513">
        <v>33604</v>
      </c>
      <c r="B3513" t="s">
        <v>198</v>
      </c>
    </row>
    <row r="3514" spans="1:2">
      <c r="A3514">
        <v>33611</v>
      </c>
      <c r="B3514" t="s">
        <v>198</v>
      </c>
    </row>
    <row r="3515" spans="1:2">
      <c r="A3515">
        <v>33613</v>
      </c>
      <c r="B3515" t="s">
        <v>198</v>
      </c>
    </row>
    <row r="3516" spans="1:2">
      <c r="A3516">
        <v>34653</v>
      </c>
      <c r="B3516" t="s">
        <v>198</v>
      </c>
    </row>
    <row r="3517" spans="1:2">
      <c r="A3517">
        <v>33569</v>
      </c>
      <c r="B3517" t="s">
        <v>198</v>
      </c>
    </row>
    <row r="3518" spans="1:2">
      <c r="A3518">
        <v>33594</v>
      </c>
      <c r="B3518" t="s">
        <v>198</v>
      </c>
    </row>
    <row r="3519" spans="1:2">
      <c r="A3519">
        <v>33615</v>
      </c>
      <c r="B3519" t="s">
        <v>198</v>
      </c>
    </row>
    <row r="3520" spans="1:2">
      <c r="A3520">
        <v>33710</v>
      </c>
      <c r="B3520" t="s">
        <v>198</v>
      </c>
    </row>
    <row r="3521" spans="1:2">
      <c r="A3521">
        <v>33772</v>
      </c>
      <c r="B3521" t="s">
        <v>198</v>
      </c>
    </row>
    <row r="3522" spans="1:2">
      <c r="A3522">
        <v>34639</v>
      </c>
      <c r="B3522" t="s">
        <v>198</v>
      </c>
    </row>
    <row r="3523" spans="1:2">
      <c r="A3523">
        <v>33610</v>
      </c>
      <c r="B3523" t="s">
        <v>198</v>
      </c>
    </row>
    <row r="3524" spans="1:2">
      <c r="A3524">
        <v>33803</v>
      </c>
      <c r="B3524" t="s">
        <v>198</v>
      </c>
    </row>
    <row r="3525" spans="1:2">
      <c r="A3525">
        <v>34683</v>
      </c>
      <c r="B3525" t="s">
        <v>198</v>
      </c>
    </row>
    <row r="3526" spans="1:2">
      <c r="A3526">
        <v>33544</v>
      </c>
      <c r="B3526" t="s">
        <v>198</v>
      </c>
    </row>
    <row r="3527" spans="1:2">
      <c r="A3527">
        <v>33556</v>
      </c>
      <c r="B3527" t="s">
        <v>198</v>
      </c>
    </row>
    <row r="3528" spans="1:2">
      <c r="A3528">
        <v>33801</v>
      </c>
      <c r="B3528" t="s">
        <v>198</v>
      </c>
    </row>
    <row r="3529" spans="1:2">
      <c r="A3529">
        <v>34667</v>
      </c>
      <c r="B3529" t="s">
        <v>198</v>
      </c>
    </row>
    <row r="3530" spans="1:2">
      <c r="A3530">
        <v>33584</v>
      </c>
      <c r="B3530" t="s">
        <v>198</v>
      </c>
    </row>
    <row r="3531" spans="1:2">
      <c r="A3531">
        <v>33596</v>
      </c>
      <c r="B3531" t="s">
        <v>198</v>
      </c>
    </row>
    <row r="3532" spans="1:2">
      <c r="A3532">
        <v>33602</v>
      </c>
      <c r="B3532" t="s">
        <v>198</v>
      </c>
    </row>
    <row r="3533" spans="1:2">
      <c r="A3533">
        <v>33619</v>
      </c>
      <c r="B3533" t="s">
        <v>198</v>
      </c>
    </row>
    <row r="3534" spans="1:2">
      <c r="A3534">
        <v>33626</v>
      </c>
      <c r="B3534" t="s">
        <v>198</v>
      </c>
    </row>
    <row r="3535" spans="1:2">
      <c r="A3535">
        <v>34668</v>
      </c>
      <c r="B3535" t="s">
        <v>198</v>
      </c>
    </row>
    <row r="3536" spans="1:2">
      <c r="A3536">
        <v>33624</v>
      </c>
      <c r="B3536" t="s">
        <v>198</v>
      </c>
    </row>
    <row r="3537" spans="1:2">
      <c r="A3537">
        <v>33625</v>
      </c>
      <c r="B3537" t="s">
        <v>198</v>
      </c>
    </row>
    <row r="3538" spans="1:2">
      <c r="A3538">
        <v>33756</v>
      </c>
      <c r="B3538" t="s">
        <v>198</v>
      </c>
    </row>
    <row r="3539" spans="1:2">
      <c r="A3539">
        <v>33813</v>
      </c>
      <c r="B3539" t="s">
        <v>198</v>
      </c>
    </row>
    <row r="3540" spans="1:2">
      <c r="A3540">
        <v>34638</v>
      </c>
      <c r="B3540" t="s">
        <v>198</v>
      </c>
    </row>
    <row r="3541" spans="1:2">
      <c r="A3541">
        <v>33810</v>
      </c>
      <c r="B3541" t="s">
        <v>198</v>
      </c>
    </row>
    <row r="3542" spans="1:2">
      <c r="A3542">
        <v>33573</v>
      </c>
      <c r="B3542" t="s">
        <v>198</v>
      </c>
    </row>
    <row r="3543" spans="1:2">
      <c r="A3543">
        <v>33713</v>
      </c>
      <c r="B3543" t="s">
        <v>198</v>
      </c>
    </row>
    <row r="3544" spans="1:2">
      <c r="A3544">
        <v>34698</v>
      </c>
      <c r="B3544" t="s">
        <v>198</v>
      </c>
    </row>
    <row r="3545" spans="1:2">
      <c r="A3545">
        <v>33614</v>
      </c>
      <c r="B3545" t="s">
        <v>198</v>
      </c>
    </row>
    <row r="3546" spans="1:2">
      <c r="A3546">
        <v>33511</v>
      </c>
      <c r="B3546" t="s">
        <v>198</v>
      </c>
    </row>
    <row r="3547" spans="1:2">
      <c r="A3547">
        <v>33543</v>
      </c>
      <c r="B3547" t="s">
        <v>198</v>
      </c>
    </row>
    <row r="3548" spans="1:2">
      <c r="A3548">
        <v>33647</v>
      </c>
      <c r="B3548" t="s">
        <v>198</v>
      </c>
    </row>
    <row r="3549" spans="1:2">
      <c r="A3549">
        <v>33578</v>
      </c>
      <c r="B3549" t="s">
        <v>198</v>
      </c>
    </row>
    <row r="3550" spans="1:2">
      <c r="A3550">
        <v>33579</v>
      </c>
      <c r="B3550" t="s">
        <v>198</v>
      </c>
    </row>
    <row r="3551" spans="1:2">
      <c r="A3551">
        <v>34655</v>
      </c>
      <c r="B3551" t="s">
        <v>198</v>
      </c>
    </row>
    <row r="3552" spans="1:2">
      <c r="A3552">
        <v>34286</v>
      </c>
      <c r="B3552" t="s">
        <v>198</v>
      </c>
    </row>
    <row r="3553" spans="1:2">
      <c r="A3553">
        <v>34287</v>
      </c>
      <c r="B3553" t="s">
        <v>198</v>
      </c>
    </row>
    <row r="3554" spans="1:2">
      <c r="A3554">
        <v>34288</v>
      </c>
      <c r="B3554" t="s">
        <v>198</v>
      </c>
    </row>
    <row r="3555" spans="1:2">
      <c r="A3555">
        <v>34289</v>
      </c>
      <c r="B3555" t="s">
        <v>198</v>
      </c>
    </row>
    <row r="3556" spans="1:2">
      <c r="A3556">
        <v>34291</v>
      </c>
      <c r="B3556" t="s">
        <v>198</v>
      </c>
    </row>
    <row r="3557" spans="1:2">
      <c r="A3557">
        <v>34292</v>
      </c>
      <c r="B3557" t="s">
        <v>198</v>
      </c>
    </row>
    <row r="3558" spans="1:2">
      <c r="A3558">
        <v>34229</v>
      </c>
      <c r="B3558" t="s">
        <v>198</v>
      </c>
    </row>
    <row r="3559" spans="1:2">
      <c r="A3559">
        <v>34275</v>
      </c>
      <c r="B3559" t="s">
        <v>198</v>
      </c>
    </row>
    <row r="3560" spans="1:2">
      <c r="A3560">
        <v>34285</v>
      </c>
      <c r="B3560" t="s">
        <v>198</v>
      </c>
    </row>
    <row r="3561" spans="1:2">
      <c r="A3561">
        <v>34293</v>
      </c>
      <c r="B3561" t="s">
        <v>198</v>
      </c>
    </row>
    <row r="3562" spans="1:2">
      <c r="A3562">
        <v>34231</v>
      </c>
      <c r="B3562" t="s">
        <v>198</v>
      </c>
    </row>
    <row r="3563" spans="1:2">
      <c r="A3563">
        <v>34232</v>
      </c>
      <c r="B3563" t="s">
        <v>198</v>
      </c>
    </row>
    <row r="3564" spans="1:2">
      <c r="A3564">
        <v>34233</v>
      </c>
      <c r="B3564" t="s">
        <v>198</v>
      </c>
    </row>
    <row r="3565" spans="1:2">
      <c r="A3565">
        <v>34238</v>
      </c>
      <c r="B3565" t="s">
        <v>198</v>
      </c>
    </row>
    <row r="3566" spans="1:2">
      <c r="A3566">
        <v>34239</v>
      </c>
      <c r="B3566" t="s">
        <v>198</v>
      </c>
    </row>
    <row r="3567" spans="1:2">
      <c r="A3567">
        <v>34240</v>
      </c>
      <c r="B3567" t="s">
        <v>198</v>
      </c>
    </row>
    <row r="3568" spans="1:2">
      <c r="A3568">
        <v>34241</v>
      </c>
      <c r="B3568" t="s">
        <v>198</v>
      </c>
    </row>
    <row r="3569" spans="1:2">
      <c r="A3569">
        <v>34249</v>
      </c>
      <c r="B3569" t="s">
        <v>198</v>
      </c>
    </row>
    <row r="3570" spans="1:2">
      <c r="A3570">
        <v>34277</v>
      </c>
      <c r="B3570" t="s">
        <v>198</v>
      </c>
    </row>
    <row r="3571" spans="1:2">
      <c r="A3571">
        <v>34230</v>
      </c>
      <c r="B3571" t="s">
        <v>198</v>
      </c>
    </row>
    <row r="3572" spans="1:2">
      <c r="A3572">
        <v>34234</v>
      </c>
      <c r="B3572" t="s">
        <v>198</v>
      </c>
    </row>
    <row r="3573" spans="1:2">
      <c r="A3573">
        <v>34235</v>
      </c>
      <c r="B3573" t="s">
        <v>198</v>
      </c>
    </row>
    <row r="3574" spans="1:2">
      <c r="A3574">
        <v>34236</v>
      </c>
      <c r="B3574" t="s">
        <v>198</v>
      </c>
    </row>
    <row r="3575" spans="1:2">
      <c r="A3575">
        <v>34237</v>
      </c>
      <c r="B3575" t="s">
        <v>198</v>
      </c>
    </row>
    <row r="3576" spans="1:2">
      <c r="A3576">
        <v>34243</v>
      </c>
      <c r="B3576" t="s">
        <v>198</v>
      </c>
    </row>
    <row r="3577" spans="1:2">
      <c r="A3577">
        <v>34201</v>
      </c>
      <c r="B3577" t="s">
        <v>198</v>
      </c>
    </row>
    <row r="3578" spans="1:2">
      <c r="A3578">
        <v>34202</v>
      </c>
      <c r="B3578" t="s">
        <v>198</v>
      </c>
    </row>
    <row r="3579" spans="1:2">
      <c r="A3579">
        <v>34203</v>
      </c>
      <c r="B3579" t="s">
        <v>198</v>
      </c>
    </row>
    <row r="3580" spans="1:2">
      <c r="A3580">
        <v>34208</v>
      </c>
      <c r="B3580" t="s">
        <v>198</v>
      </c>
    </row>
    <row r="3581" spans="1:2">
      <c r="A3581">
        <v>34211</v>
      </c>
      <c r="B3581" t="s">
        <v>198</v>
      </c>
    </row>
    <row r="3582" spans="1:2">
      <c r="A3582">
        <v>34212</v>
      </c>
      <c r="B3582" t="s">
        <v>198</v>
      </c>
    </row>
    <row r="3583" spans="1:2">
      <c r="A3583">
        <v>34205</v>
      </c>
      <c r="B3583" t="s">
        <v>198</v>
      </c>
    </row>
    <row r="3584" spans="1:2">
      <c r="A3584">
        <v>34207</v>
      </c>
      <c r="B3584" t="s">
        <v>198</v>
      </c>
    </row>
    <row r="3585" spans="1:2">
      <c r="A3585">
        <v>34209</v>
      </c>
      <c r="B3585" t="s">
        <v>198</v>
      </c>
    </row>
    <row r="3586" spans="1:2">
      <c r="A3586">
        <v>34210</v>
      </c>
      <c r="B3586" t="s">
        <v>198</v>
      </c>
    </row>
    <row r="3587" spans="1:2">
      <c r="A3587">
        <v>33765</v>
      </c>
      <c r="B3587" t="s">
        <v>198</v>
      </c>
    </row>
    <row r="3588" spans="1:2">
      <c r="A3588">
        <v>33762</v>
      </c>
      <c r="B3588" t="s">
        <v>198</v>
      </c>
    </row>
    <row r="3589" spans="1:2">
      <c r="A3589">
        <v>33711</v>
      </c>
      <c r="B3589" t="s">
        <v>198</v>
      </c>
    </row>
    <row r="3590" spans="1:2">
      <c r="A3590">
        <v>33605</v>
      </c>
      <c r="B3590" t="s">
        <v>198</v>
      </c>
    </row>
    <row r="3591" spans="1:2">
      <c r="A3591">
        <v>33534</v>
      </c>
      <c r="B3591" t="s">
        <v>198</v>
      </c>
    </row>
    <row r="3592" spans="1:2">
      <c r="A3592">
        <v>33547</v>
      </c>
      <c r="B3592" t="s">
        <v>198</v>
      </c>
    </row>
    <row r="3593" spans="1:2">
      <c r="A3593">
        <v>33567</v>
      </c>
      <c r="B3593" t="s">
        <v>198</v>
      </c>
    </row>
    <row r="3594" spans="1:2">
      <c r="A3594">
        <v>33570</v>
      </c>
      <c r="B3594" t="s">
        <v>198</v>
      </c>
    </row>
    <row r="3595" spans="1:2">
      <c r="A3595">
        <v>33598</v>
      </c>
      <c r="B3595" t="s">
        <v>198</v>
      </c>
    </row>
    <row r="3596" spans="1:2">
      <c r="A3596">
        <v>34221</v>
      </c>
      <c r="B3596" t="s">
        <v>198</v>
      </c>
    </row>
    <row r="3597" spans="1:2">
      <c r="A3597">
        <v>33946</v>
      </c>
      <c r="B3597" t="s">
        <v>198</v>
      </c>
    </row>
    <row r="3598" spans="1:2">
      <c r="A3598">
        <v>33947</v>
      </c>
      <c r="B3598" t="s">
        <v>198</v>
      </c>
    </row>
    <row r="3599" spans="1:2">
      <c r="A3599">
        <v>33981</v>
      </c>
      <c r="B3599" t="s">
        <v>198</v>
      </c>
    </row>
    <row r="3600" spans="1:2">
      <c r="A3600">
        <v>33948</v>
      </c>
      <c r="B3600" t="s">
        <v>198</v>
      </c>
    </row>
    <row r="3601" spans="1:2">
      <c r="A3601">
        <v>33952</v>
      </c>
      <c r="B3601" t="s">
        <v>198</v>
      </c>
    </row>
    <row r="3602" spans="1:2">
      <c r="A3602">
        <v>33980</v>
      </c>
      <c r="B3602" t="s">
        <v>198</v>
      </c>
    </row>
    <row r="3603" spans="1:2">
      <c r="A3603">
        <v>33903</v>
      </c>
      <c r="B3603" t="s">
        <v>198</v>
      </c>
    </row>
    <row r="3604" spans="1:2">
      <c r="A3604">
        <v>33917</v>
      </c>
      <c r="B3604" t="s">
        <v>198</v>
      </c>
    </row>
    <row r="3605" spans="1:2">
      <c r="A3605">
        <v>33950</v>
      </c>
      <c r="B3605" t="s">
        <v>198</v>
      </c>
    </row>
    <row r="3606" spans="1:2">
      <c r="A3606">
        <v>33955</v>
      </c>
      <c r="B3606" t="s">
        <v>198</v>
      </c>
    </row>
    <row r="3607" spans="1:2">
      <c r="A3607">
        <v>33914</v>
      </c>
      <c r="B3607" t="s">
        <v>198</v>
      </c>
    </row>
    <row r="3608" spans="1:2">
      <c r="A3608">
        <v>33922</v>
      </c>
      <c r="B3608" t="s">
        <v>198</v>
      </c>
    </row>
    <row r="3609" spans="1:2">
      <c r="A3609">
        <v>33956</v>
      </c>
      <c r="B3609" t="s">
        <v>198</v>
      </c>
    </row>
    <row r="3610" spans="1:2">
      <c r="A3610">
        <v>33991</v>
      </c>
      <c r="B3610" t="s">
        <v>198</v>
      </c>
    </row>
    <row r="3611" spans="1:2">
      <c r="A3611">
        <v>33904</v>
      </c>
      <c r="B3611" t="s">
        <v>198</v>
      </c>
    </row>
    <row r="3612" spans="1:2">
      <c r="A3612">
        <v>33909</v>
      </c>
      <c r="B3612" t="s">
        <v>198</v>
      </c>
    </row>
    <row r="3613" spans="1:2">
      <c r="A3613">
        <v>33990</v>
      </c>
      <c r="B3613" t="s">
        <v>198</v>
      </c>
    </row>
    <row r="3614" spans="1:2">
      <c r="A3614">
        <v>33993</v>
      </c>
      <c r="B3614" t="s">
        <v>198</v>
      </c>
    </row>
    <row r="3615" spans="1:2">
      <c r="A3615">
        <v>33905</v>
      </c>
      <c r="B3615" t="s">
        <v>198</v>
      </c>
    </row>
    <row r="3616" spans="1:2">
      <c r="A3616">
        <v>33916</v>
      </c>
      <c r="B3616" t="s">
        <v>198</v>
      </c>
    </row>
    <row r="3617" spans="1:2">
      <c r="A3617">
        <v>33966</v>
      </c>
      <c r="B3617" t="s">
        <v>198</v>
      </c>
    </row>
    <row r="3618" spans="1:2">
      <c r="A3618">
        <v>33971</v>
      </c>
      <c r="B3618" t="s">
        <v>198</v>
      </c>
    </row>
    <row r="3619" spans="1:2">
      <c r="A3619">
        <v>33901</v>
      </c>
      <c r="B3619" t="s">
        <v>198</v>
      </c>
    </row>
    <row r="3620" spans="1:2">
      <c r="A3620">
        <v>33907</v>
      </c>
      <c r="B3620" t="s">
        <v>198</v>
      </c>
    </row>
    <row r="3621" spans="1:2">
      <c r="A3621">
        <v>33912</v>
      </c>
      <c r="B3621" t="s">
        <v>198</v>
      </c>
    </row>
    <row r="3622" spans="1:2">
      <c r="A3622">
        <v>33919</v>
      </c>
      <c r="B3622" t="s">
        <v>198</v>
      </c>
    </row>
    <row r="3623" spans="1:2">
      <c r="A3623">
        <v>33908</v>
      </c>
      <c r="B3623" t="s">
        <v>198</v>
      </c>
    </row>
    <row r="3624" spans="1:2">
      <c r="A3624">
        <v>33931</v>
      </c>
      <c r="B3624" t="s">
        <v>198</v>
      </c>
    </row>
    <row r="3625" spans="1:2">
      <c r="A3625">
        <v>33957</v>
      </c>
      <c r="B3625" t="s">
        <v>198</v>
      </c>
    </row>
    <row r="3626" spans="1:2">
      <c r="A3626">
        <v>33967</v>
      </c>
      <c r="B3626" t="s">
        <v>198</v>
      </c>
    </row>
    <row r="3627" spans="1:2">
      <c r="A3627">
        <v>33913</v>
      </c>
      <c r="B3627" t="s">
        <v>198</v>
      </c>
    </row>
    <row r="3628" spans="1:2">
      <c r="A3628">
        <v>33928</v>
      </c>
      <c r="B3628" t="s">
        <v>198</v>
      </c>
    </row>
    <row r="3629" spans="1:2">
      <c r="A3629">
        <v>33965</v>
      </c>
      <c r="B3629" t="s">
        <v>198</v>
      </c>
    </row>
    <row r="3630" spans="1:2">
      <c r="A3630">
        <v>34134</v>
      </c>
      <c r="B3630" t="s">
        <v>198</v>
      </c>
    </row>
    <row r="3631" spans="1:2">
      <c r="A3631">
        <v>34109</v>
      </c>
      <c r="B3631" t="s">
        <v>198</v>
      </c>
    </row>
    <row r="3632" spans="1:2">
      <c r="A3632">
        <v>34110</v>
      </c>
      <c r="B3632" t="s">
        <v>198</v>
      </c>
    </row>
    <row r="3633" spans="1:2">
      <c r="A3633">
        <v>34119</v>
      </c>
      <c r="B3633" t="s">
        <v>198</v>
      </c>
    </row>
    <row r="3634" spans="1:2">
      <c r="A3634">
        <v>34135</v>
      </c>
      <c r="B3634" t="s">
        <v>198</v>
      </c>
    </row>
    <row r="3635" spans="1:2">
      <c r="A3635">
        <v>34108</v>
      </c>
      <c r="B3635" t="s">
        <v>198</v>
      </c>
    </row>
    <row r="3636" spans="1:2">
      <c r="A3636">
        <v>34104</v>
      </c>
      <c r="B3636" t="s">
        <v>198</v>
      </c>
    </row>
    <row r="3637" spans="1:2">
      <c r="A3637">
        <v>34105</v>
      </c>
      <c r="B3637" t="s">
        <v>198</v>
      </c>
    </row>
    <row r="3638" spans="1:2">
      <c r="A3638">
        <v>34112</v>
      </c>
      <c r="B3638" t="s">
        <v>198</v>
      </c>
    </row>
    <row r="3639" spans="1:2">
      <c r="A3639">
        <v>34116</v>
      </c>
      <c r="B3639" t="s">
        <v>198</v>
      </c>
    </row>
    <row r="3640" spans="1:2">
      <c r="A3640">
        <v>36109</v>
      </c>
      <c r="B3640" t="s">
        <v>198</v>
      </c>
    </row>
    <row r="3641" spans="1:2">
      <c r="A3641">
        <v>36110</v>
      </c>
      <c r="B3641" t="s">
        <v>198</v>
      </c>
    </row>
    <row r="3642" spans="1:2">
      <c r="A3642">
        <v>36117</v>
      </c>
      <c r="B3642" t="s">
        <v>198</v>
      </c>
    </row>
    <row r="3643" spans="1:2">
      <c r="A3643">
        <v>36025</v>
      </c>
      <c r="B3643" t="s">
        <v>198</v>
      </c>
    </row>
    <row r="3644" spans="1:2">
      <c r="A3644">
        <v>36054</v>
      </c>
      <c r="B3644" t="s">
        <v>198</v>
      </c>
    </row>
    <row r="3645" spans="1:2">
      <c r="A3645">
        <v>36066</v>
      </c>
      <c r="B3645" t="s">
        <v>198</v>
      </c>
    </row>
    <row r="3646" spans="1:2">
      <c r="A3646">
        <v>36104</v>
      </c>
      <c r="B3646" t="s">
        <v>198</v>
      </c>
    </row>
    <row r="3647" spans="1:2">
      <c r="A3647">
        <v>36106</v>
      </c>
      <c r="B3647" t="s">
        <v>198</v>
      </c>
    </row>
    <row r="3648" spans="1:2">
      <c r="A3648">
        <v>36107</v>
      </c>
      <c r="B3648" t="s">
        <v>198</v>
      </c>
    </row>
    <row r="3649" spans="1:2">
      <c r="A3649">
        <v>36108</v>
      </c>
      <c r="B3649" t="s">
        <v>198</v>
      </c>
    </row>
    <row r="3650" spans="1:2">
      <c r="A3650">
        <v>36111</v>
      </c>
      <c r="B3650" t="s">
        <v>198</v>
      </c>
    </row>
    <row r="3651" spans="1:2">
      <c r="A3651">
        <v>36064</v>
      </c>
      <c r="B3651" t="s">
        <v>198</v>
      </c>
    </row>
    <row r="3652" spans="1:2">
      <c r="A3652">
        <v>36116</v>
      </c>
      <c r="B3652" t="s">
        <v>198</v>
      </c>
    </row>
    <row r="3653" spans="1:2">
      <c r="A3653">
        <v>35004</v>
      </c>
      <c r="B3653" t="s">
        <v>198</v>
      </c>
    </row>
    <row r="3654" spans="1:2">
      <c r="A3654">
        <v>35094</v>
      </c>
      <c r="B3654" t="s">
        <v>198</v>
      </c>
    </row>
    <row r="3655" spans="1:2">
      <c r="A3655">
        <v>35242</v>
      </c>
      <c r="B3655" t="s">
        <v>198</v>
      </c>
    </row>
    <row r="3656" spans="1:2">
      <c r="A3656">
        <v>35243</v>
      </c>
      <c r="B3656" t="s">
        <v>198</v>
      </c>
    </row>
    <row r="3657" spans="1:2">
      <c r="A3657">
        <v>35206</v>
      </c>
      <c r="B3657" t="s">
        <v>198</v>
      </c>
    </row>
    <row r="3658" spans="1:2">
      <c r="A3658">
        <v>35210</v>
      </c>
      <c r="B3658" t="s">
        <v>198</v>
      </c>
    </row>
    <row r="3659" spans="1:2">
      <c r="A3659">
        <v>35212</v>
      </c>
      <c r="B3659" t="s">
        <v>198</v>
      </c>
    </row>
    <row r="3660" spans="1:2">
      <c r="A3660">
        <v>35213</v>
      </c>
      <c r="B3660" t="s">
        <v>198</v>
      </c>
    </row>
    <row r="3661" spans="1:2">
      <c r="A3661">
        <v>35222</v>
      </c>
      <c r="B3661" t="s">
        <v>198</v>
      </c>
    </row>
    <row r="3662" spans="1:2">
      <c r="A3662">
        <v>35223</v>
      </c>
      <c r="B3662" t="s">
        <v>198</v>
      </c>
    </row>
    <row r="3663" spans="1:2">
      <c r="A3663">
        <v>35215</v>
      </c>
      <c r="B3663" t="s">
        <v>198</v>
      </c>
    </row>
    <row r="3664" spans="1:2">
      <c r="A3664">
        <v>35217</v>
      </c>
      <c r="B3664" t="s">
        <v>198</v>
      </c>
    </row>
    <row r="3665" spans="1:2">
      <c r="A3665">
        <v>35235</v>
      </c>
      <c r="B3665" t="s">
        <v>198</v>
      </c>
    </row>
    <row r="3666" spans="1:2">
      <c r="A3666">
        <v>35068</v>
      </c>
      <c r="B3666" t="s">
        <v>198</v>
      </c>
    </row>
    <row r="3667" spans="1:2">
      <c r="A3667">
        <v>35204</v>
      </c>
      <c r="B3667" t="s">
        <v>198</v>
      </c>
    </row>
    <row r="3668" spans="1:2">
      <c r="A3668">
        <v>35205</v>
      </c>
      <c r="B3668" t="s">
        <v>198</v>
      </c>
    </row>
    <row r="3669" spans="1:2">
      <c r="A3669">
        <v>35207</v>
      </c>
      <c r="B3669" t="s">
        <v>198</v>
      </c>
    </row>
    <row r="3670" spans="1:2">
      <c r="A3670">
        <v>35208</v>
      </c>
      <c r="B3670" t="s">
        <v>198</v>
      </c>
    </row>
    <row r="3671" spans="1:2">
      <c r="A3671">
        <v>35209</v>
      </c>
      <c r="B3671" t="s">
        <v>198</v>
      </c>
    </row>
    <row r="3672" spans="1:2">
      <c r="A3672">
        <v>35211</v>
      </c>
      <c r="B3672" t="s">
        <v>198</v>
      </c>
    </row>
    <row r="3673" spans="1:2">
      <c r="A3673">
        <v>35214</v>
      </c>
      <c r="B3673" t="s">
        <v>198</v>
      </c>
    </row>
    <row r="3674" spans="1:2">
      <c r="A3674">
        <v>35218</v>
      </c>
      <c r="B3674" t="s">
        <v>198</v>
      </c>
    </row>
    <row r="3675" spans="1:2">
      <c r="A3675">
        <v>35221</v>
      </c>
      <c r="B3675" t="s">
        <v>198</v>
      </c>
    </row>
    <row r="3676" spans="1:2">
      <c r="A3676">
        <v>35234</v>
      </c>
      <c r="B3676" t="s">
        <v>198</v>
      </c>
    </row>
    <row r="3677" spans="1:2">
      <c r="A3677">
        <v>35020</v>
      </c>
      <c r="B3677" t="s">
        <v>198</v>
      </c>
    </row>
    <row r="3678" spans="1:2">
      <c r="A3678">
        <v>35061</v>
      </c>
      <c r="B3678" t="s">
        <v>198</v>
      </c>
    </row>
    <row r="3679" spans="1:2">
      <c r="A3679">
        <v>35064</v>
      </c>
      <c r="B3679" t="s">
        <v>198</v>
      </c>
    </row>
    <row r="3680" spans="1:2">
      <c r="A3680">
        <v>35127</v>
      </c>
      <c r="B3680" t="s">
        <v>198</v>
      </c>
    </row>
    <row r="3681" spans="1:2">
      <c r="A3681">
        <v>35224</v>
      </c>
      <c r="B3681" t="s">
        <v>198</v>
      </c>
    </row>
    <row r="3682" spans="1:2">
      <c r="A3682">
        <v>35228</v>
      </c>
      <c r="B3682" t="s">
        <v>198</v>
      </c>
    </row>
    <row r="3683" spans="1:2">
      <c r="A3683">
        <v>35216</v>
      </c>
      <c r="B3683" t="s">
        <v>198</v>
      </c>
    </row>
    <row r="3684" spans="1:2">
      <c r="A3684">
        <v>35226</v>
      </c>
      <c r="B3684" t="s">
        <v>198</v>
      </c>
    </row>
    <row r="3685" spans="1:2">
      <c r="A3685">
        <v>35244</v>
      </c>
      <c r="B3685" t="s">
        <v>198</v>
      </c>
    </row>
    <row r="3686" spans="1:2">
      <c r="A3686">
        <v>35043</v>
      </c>
      <c r="B3686" t="s">
        <v>198</v>
      </c>
    </row>
    <row r="3687" spans="1:2">
      <c r="A3687">
        <v>35124</v>
      </c>
      <c r="B3687" t="s">
        <v>198</v>
      </c>
    </row>
    <row r="3688" spans="1:2">
      <c r="A3688">
        <v>35022</v>
      </c>
      <c r="B3688" t="s">
        <v>198</v>
      </c>
    </row>
    <row r="3689" spans="1:2">
      <c r="A3689">
        <v>35007</v>
      </c>
      <c r="B3689" t="s">
        <v>198</v>
      </c>
    </row>
    <row r="3690" spans="1:2">
      <c r="A3690">
        <v>35114</v>
      </c>
      <c r="B3690" t="s">
        <v>198</v>
      </c>
    </row>
    <row r="3691" spans="1:2">
      <c r="A3691">
        <v>95616</v>
      </c>
      <c r="B3691" t="s">
        <v>198</v>
      </c>
    </row>
    <row r="3692" spans="1:2">
      <c r="A3692">
        <v>95618</v>
      </c>
      <c r="B3692" t="s">
        <v>198</v>
      </c>
    </row>
    <row r="3693" spans="1:2">
      <c r="A3693">
        <v>95605</v>
      </c>
      <c r="B3693" t="s">
        <v>198</v>
      </c>
    </row>
    <row r="3694" spans="1:2">
      <c r="A3694">
        <v>95691</v>
      </c>
      <c r="B3694" t="s">
        <v>198</v>
      </c>
    </row>
    <row r="3695" spans="1:2">
      <c r="A3695">
        <v>95818</v>
      </c>
      <c r="B3695" t="s">
        <v>198</v>
      </c>
    </row>
    <row r="3696" spans="1:2">
      <c r="A3696">
        <v>95816</v>
      </c>
      <c r="B3696" t="s">
        <v>198</v>
      </c>
    </row>
    <row r="3697" spans="1:2">
      <c r="A3697">
        <v>95815</v>
      </c>
      <c r="B3697" t="s">
        <v>198</v>
      </c>
    </row>
    <row r="3698" spans="1:2">
      <c r="A3698">
        <v>95838</v>
      </c>
      <c r="B3698" t="s">
        <v>198</v>
      </c>
    </row>
    <row r="3699" spans="1:2">
      <c r="A3699">
        <v>95811</v>
      </c>
      <c r="B3699" t="s">
        <v>198</v>
      </c>
    </row>
    <row r="3700" spans="1:2">
      <c r="A3700">
        <v>95833</v>
      </c>
      <c r="B3700" t="s">
        <v>198</v>
      </c>
    </row>
    <row r="3701" spans="1:2">
      <c r="A3701">
        <v>95834</v>
      </c>
      <c r="B3701" t="s">
        <v>198</v>
      </c>
    </row>
    <row r="3702" spans="1:2">
      <c r="A3702">
        <v>95673</v>
      </c>
      <c r="B3702" t="s">
        <v>198</v>
      </c>
    </row>
    <row r="3703" spans="1:2">
      <c r="A3703">
        <v>95835</v>
      </c>
      <c r="B3703" t="s">
        <v>198</v>
      </c>
    </row>
    <row r="3704" spans="1:2">
      <c r="A3704">
        <v>95660</v>
      </c>
      <c r="B3704" t="s">
        <v>198</v>
      </c>
    </row>
    <row r="3705" spans="1:2">
      <c r="A3705">
        <v>95843</v>
      </c>
      <c r="B3705" t="s">
        <v>198</v>
      </c>
    </row>
    <row r="3706" spans="1:2">
      <c r="A3706">
        <v>95747</v>
      </c>
      <c r="B3706" t="s">
        <v>198</v>
      </c>
    </row>
    <row r="3707" spans="1:2">
      <c r="A3707">
        <v>95677</v>
      </c>
      <c r="B3707" t="s">
        <v>198</v>
      </c>
    </row>
    <row r="3708" spans="1:2">
      <c r="A3708">
        <v>95765</v>
      </c>
      <c r="B3708" t="s">
        <v>198</v>
      </c>
    </row>
    <row r="3709" spans="1:2">
      <c r="A3709">
        <v>95650</v>
      </c>
      <c r="B3709" t="s">
        <v>198</v>
      </c>
    </row>
    <row r="3710" spans="1:2">
      <c r="A3710">
        <v>95746</v>
      </c>
      <c r="B3710" t="s">
        <v>198</v>
      </c>
    </row>
    <row r="3711" spans="1:2">
      <c r="A3711">
        <v>95662</v>
      </c>
      <c r="B3711" t="s">
        <v>198</v>
      </c>
    </row>
    <row r="3712" spans="1:2">
      <c r="A3712">
        <v>95661</v>
      </c>
      <c r="B3712" t="s">
        <v>198</v>
      </c>
    </row>
    <row r="3713" spans="1:2">
      <c r="A3713">
        <v>95678</v>
      </c>
      <c r="B3713" t="s">
        <v>198</v>
      </c>
    </row>
    <row r="3714" spans="1:2">
      <c r="A3714">
        <v>95610</v>
      </c>
      <c r="B3714" t="s">
        <v>198</v>
      </c>
    </row>
    <row r="3715" spans="1:2">
      <c r="A3715">
        <v>95621</v>
      </c>
      <c r="B3715" t="s">
        <v>198</v>
      </c>
    </row>
    <row r="3716" spans="1:2">
      <c r="A3716">
        <v>95821</v>
      </c>
      <c r="B3716" t="s">
        <v>198</v>
      </c>
    </row>
    <row r="3717" spans="1:2">
      <c r="A3717">
        <v>95841</v>
      </c>
      <c r="B3717" t="s">
        <v>198</v>
      </c>
    </row>
    <row r="3718" spans="1:2">
      <c r="A3718">
        <v>95842</v>
      </c>
      <c r="B3718" t="s">
        <v>198</v>
      </c>
    </row>
    <row r="3719" spans="1:2">
      <c r="A3719">
        <v>95608</v>
      </c>
      <c r="B3719" t="s">
        <v>198</v>
      </c>
    </row>
    <row r="3720" spans="1:2">
      <c r="A3720">
        <v>95628</v>
      </c>
      <c r="B3720" t="s">
        <v>198</v>
      </c>
    </row>
    <row r="3721" spans="1:2">
      <c r="A3721">
        <v>95630</v>
      </c>
      <c r="B3721" t="s">
        <v>198</v>
      </c>
    </row>
    <row r="3722" spans="1:2">
      <c r="A3722">
        <v>95670</v>
      </c>
      <c r="B3722" t="s">
        <v>198</v>
      </c>
    </row>
    <row r="3723" spans="1:2">
      <c r="A3723">
        <v>95742</v>
      </c>
      <c r="B3723" t="s">
        <v>198</v>
      </c>
    </row>
    <row r="3724" spans="1:2">
      <c r="A3724">
        <v>95655</v>
      </c>
      <c r="B3724" t="s">
        <v>198</v>
      </c>
    </row>
    <row r="3725" spans="1:2">
      <c r="A3725">
        <v>95826</v>
      </c>
      <c r="B3725" t="s">
        <v>198</v>
      </c>
    </row>
    <row r="3726" spans="1:2">
      <c r="A3726">
        <v>95827</v>
      </c>
      <c r="B3726" t="s">
        <v>198</v>
      </c>
    </row>
    <row r="3727" spans="1:2">
      <c r="A3727">
        <v>95864</v>
      </c>
      <c r="B3727" t="s">
        <v>198</v>
      </c>
    </row>
    <row r="3728" spans="1:2">
      <c r="A3728">
        <v>95817</v>
      </c>
      <c r="B3728" t="s">
        <v>198</v>
      </c>
    </row>
    <row r="3729" spans="1:2">
      <c r="A3729">
        <v>95819</v>
      </c>
      <c r="B3729" t="s">
        <v>198</v>
      </c>
    </row>
    <row r="3730" spans="1:2">
      <c r="A3730">
        <v>95825</v>
      </c>
      <c r="B3730" t="s">
        <v>198</v>
      </c>
    </row>
    <row r="3731" spans="1:2">
      <c r="A3731">
        <v>95820</v>
      </c>
      <c r="B3731" t="s">
        <v>198</v>
      </c>
    </row>
    <row r="3732" spans="1:2">
      <c r="A3732">
        <v>95824</v>
      </c>
      <c r="B3732" t="s">
        <v>198</v>
      </c>
    </row>
    <row r="3733" spans="1:2">
      <c r="A3733">
        <v>95822</v>
      </c>
      <c r="B3733" t="s">
        <v>198</v>
      </c>
    </row>
    <row r="3734" spans="1:2">
      <c r="A3734">
        <v>95831</v>
      </c>
      <c r="B3734" t="s">
        <v>198</v>
      </c>
    </row>
    <row r="3735" spans="1:2">
      <c r="A3735">
        <v>95758</v>
      </c>
      <c r="B3735" t="s">
        <v>198</v>
      </c>
    </row>
    <row r="3736" spans="1:2">
      <c r="A3736">
        <v>95832</v>
      </c>
      <c r="B3736" t="s">
        <v>198</v>
      </c>
    </row>
    <row r="3737" spans="1:2">
      <c r="A3737">
        <v>95757</v>
      </c>
      <c r="B3737" t="s">
        <v>198</v>
      </c>
    </row>
    <row r="3738" spans="1:2">
      <c r="A3738">
        <v>95823</v>
      </c>
      <c r="B3738" t="s">
        <v>198</v>
      </c>
    </row>
    <row r="3739" spans="1:2">
      <c r="A3739">
        <v>95828</v>
      </c>
      <c r="B3739" t="s">
        <v>198</v>
      </c>
    </row>
    <row r="3740" spans="1:2">
      <c r="A3740">
        <v>95624</v>
      </c>
      <c r="B3740" t="s">
        <v>198</v>
      </c>
    </row>
    <row r="3741" spans="1:2">
      <c r="A3741">
        <v>95829</v>
      </c>
      <c r="B3741" t="s">
        <v>198</v>
      </c>
    </row>
    <row r="3742" spans="1:2">
      <c r="A3742">
        <v>95830</v>
      </c>
      <c r="B3742" t="s">
        <v>198</v>
      </c>
    </row>
    <row r="3743" spans="1:2">
      <c r="A3743">
        <v>84302</v>
      </c>
      <c r="B3743" t="s">
        <v>198</v>
      </c>
    </row>
    <row r="3744" spans="1:2">
      <c r="A3744">
        <v>84340</v>
      </c>
      <c r="B3744" t="s">
        <v>198</v>
      </c>
    </row>
    <row r="3745" spans="1:2">
      <c r="A3745">
        <v>84414</v>
      </c>
      <c r="B3745" t="s">
        <v>198</v>
      </c>
    </row>
    <row r="3746" spans="1:2">
      <c r="A3746">
        <v>84404</v>
      </c>
      <c r="B3746" t="s">
        <v>198</v>
      </c>
    </row>
    <row r="3747" spans="1:2">
      <c r="A3747">
        <v>84401</v>
      </c>
      <c r="B3747" t="s">
        <v>198</v>
      </c>
    </row>
    <row r="3748" spans="1:2">
      <c r="A3748">
        <v>84315</v>
      </c>
      <c r="B3748" t="s">
        <v>198</v>
      </c>
    </row>
    <row r="3749" spans="1:2">
      <c r="A3749">
        <v>84067</v>
      </c>
      <c r="B3749" t="s">
        <v>198</v>
      </c>
    </row>
    <row r="3750" spans="1:2">
      <c r="A3750">
        <v>84403</v>
      </c>
      <c r="B3750" t="s">
        <v>198</v>
      </c>
    </row>
    <row r="3751" spans="1:2">
      <c r="A3751">
        <v>84408</v>
      </c>
      <c r="B3751" t="s">
        <v>198</v>
      </c>
    </row>
    <row r="3752" spans="1:2">
      <c r="A3752">
        <v>84405</v>
      </c>
      <c r="B3752" t="s">
        <v>198</v>
      </c>
    </row>
    <row r="3753" spans="1:2">
      <c r="A3753">
        <v>84075</v>
      </c>
      <c r="B3753" t="s">
        <v>198</v>
      </c>
    </row>
    <row r="3754" spans="1:2">
      <c r="A3754">
        <v>84074</v>
      </c>
      <c r="B3754" t="s">
        <v>198</v>
      </c>
    </row>
    <row r="3755" spans="1:2">
      <c r="A3755">
        <v>84041</v>
      </c>
      <c r="B3755" t="s">
        <v>198</v>
      </c>
    </row>
    <row r="3756" spans="1:2">
      <c r="A3756">
        <v>84037</v>
      </c>
      <c r="B3756" t="s">
        <v>198</v>
      </c>
    </row>
    <row r="3757" spans="1:2">
      <c r="A3757">
        <v>84025</v>
      </c>
      <c r="B3757" t="s">
        <v>198</v>
      </c>
    </row>
    <row r="3758" spans="1:2">
      <c r="A3758">
        <v>84040</v>
      </c>
      <c r="B3758" t="s">
        <v>198</v>
      </c>
    </row>
    <row r="3759" spans="1:2">
      <c r="A3759">
        <v>84014</v>
      </c>
      <c r="B3759" t="s">
        <v>198</v>
      </c>
    </row>
    <row r="3760" spans="1:2">
      <c r="A3760">
        <v>84087</v>
      </c>
      <c r="B3760" t="s">
        <v>198</v>
      </c>
    </row>
    <row r="3761" spans="1:2">
      <c r="A3761">
        <v>84010</v>
      </c>
      <c r="B3761" t="s">
        <v>198</v>
      </c>
    </row>
    <row r="3762" spans="1:2">
      <c r="A3762">
        <v>84054</v>
      </c>
      <c r="B3762" t="s">
        <v>198</v>
      </c>
    </row>
    <row r="3763" spans="1:2">
      <c r="A3763">
        <v>84116</v>
      </c>
      <c r="B3763" t="s">
        <v>198</v>
      </c>
    </row>
    <row r="3764" spans="1:2">
      <c r="A3764">
        <v>84044</v>
      </c>
      <c r="B3764" t="s">
        <v>198</v>
      </c>
    </row>
    <row r="3765" spans="1:2">
      <c r="A3765">
        <v>84104</v>
      </c>
      <c r="B3765" t="s">
        <v>198</v>
      </c>
    </row>
    <row r="3766" spans="1:2">
      <c r="A3766">
        <v>84128</v>
      </c>
      <c r="B3766" t="s">
        <v>198</v>
      </c>
    </row>
    <row r="3767" spans="1:2">
      <c r="A3767">
        <v>84119</v>
      </c>
      <c r="B3767" t="s">
        <v>198</v>
      </c>
    </row>
    <row r="3768" spans="1:2">
      <c r="A3768">
        <v>84120</v>
      </c>
      <c r="B3768" t="s">
        <v>198</v>
      </c>
    </row>
    <row r="3769" spans="1:2">
      <c r="A3769">
        <v>84102</v>
      </c>
      <c r="B3769" t="s">
        <v>198</v>
      </c>
    </row>
    <row r="3770" spans="1:2">
      <c r="A3770">
        <v>84103</v>
      </c>
      <c r="B3770" t="s">
        <v>198</v>
      </c>
    </row>
    <row r="3771" spans="1:2">
      <c r="A3771">
        <v>84112</v>
      </c>
      <c r="B3771" t="s">
        <v>198</v>
      </c>
    </row>
    <row r="3772" spans="1:2">
      <c r="A3772">
        <v>84108</v>
      </c>
      <c r="B3772" t="s">
        <v>198</v>
      </c>
    </row>
    <row r="3773" spans="1:2">
      <c r="A3773">
        <v>84109</v>
      </c>
      <c r="B3773" t="s">
        <v>198</v>
      </c>
    </row>
    <row r="3774" spans="1:2">
      <c r="A3774">
        <v>84105</v>
      </c>
      <c r="B3774" t="s">
        <v>198</v>
      </c>
    </row>
    <row r="3775" spans="1:2">
      <c r="A3775">
        <v>84115</v>
      </c>
      <c r="B3775" t="s">
        <v>198</v>
      </c>
    </row>
    <row r="3776" spans="1:2">
      <c r="A3776">
        <v>84106</v>
      </c>
      <c r="B3776" t="s">
        <v>198</v>
      </c>
    </row>
    <row r="3777" spans="1:2">
      <c r="A3777">
        <v>84098</v>
      </c>
      <c r="B3777" t="s">
        <v>198</v>
      </c>
    </row>
    <row r="3778" spans="1:2">
      <c r="A3778">
        <v>84129</v>
      </c>
      <c r="B3778" t="s">
        <v>198</v>
      </c>
    </row>
    <row r="3779" spans="1:2">
      <c r="A3779">
        <v>84123</v>
      </c>
      <c r="B3779" t="s">
        <v>198</v>
      </c>
    </row>
    <row r="3780" spans="1:2">
      <c r="A3780">
        <v>84107</v>
      </c>
      <c r="B3780" t="s">
        <v>198</v>
      </c>
    </row>
    <row r="3781" spans="1:2">
      <c r="A3781">
        <v>84118</v>
      </c>
      <c r="B3781" t="s">
        <v>198</v>
      </c>
    </row>
    <row r="3782" spans="1:2">
      <c r="A3782">
        <v>84117</v>
      </c>
      <c r="B3782" t="s">
        <v>198</v>
      </c>
    </row>
    <row r="3783" spans="1:2">
      <c r="A3783">
        <v>84124</v>
      </c>
      <c r="B3783" t="s">
        <v>198</v>
      </c>
    </row>
    <row r="3784" spans="1:2">
      <c r="A3784">
        <v>84081</v>
      </c>
      <c r="B3784" t="s">
        <v>198</v>
      </c>
    </row>
    <row r="3785" spans="1:2">
      <c r="A3785">
        <v>84084</v>
      </c>
      <c r="B3785" t="s">
        <v>198</v>
      </c>
    </row>
    <row r="3786" spans="1:2">
      <c r="A3786">
        <v>84047</v>
      </c>
      <c r="B3786" t="s">
        <v>198</v>
      </c>
    </row>
    <row r="3787" spans="1:2">
      <c r="A3787">
        <v>84070</v>
      </c>
      <c r="B3787" t="s">
        <v>198</v>
      </c>
    </row>
    <row r="3788" spans="1:2">
      <c r="A3788">
        <v>84094</v>
      </c>
      <c r="B3788" t="s">
        <v>198</v>
      </c>
    </row>
    <row r="3789" spans="1:2">
      <c r="A3789">
        <v>84088</v>
      </c>
      <c r="B3789" t="s">
        <v>198</v>
      </c>
    </row>
    <row r="3790" spans="1:2">
      <c r="A3790">
        <v>84009</v>
      </c>
      <c r="B3790" t="s">
        <v>198</v>
      </c>
    </row>
    <row r="3791" spans="1:2">
      <c r="A3791">
        <v>84095</v>
      </c>
      <c r="B3791" t="s">
        <v>198</v>
      </c>
    </row>
    <row r="3792" spans="1:2">
      <c r="A3792">
        <v>84096</v>
      </c>
      <c r="B3792" t="s">
        <v>198</v>
      </c>
    </row>
    <row r="3793" spans="1:2">
      <c r="A3793">
        <v>84065</v>
      </c>
      <c r="B3793" t="s">
        <v>198</v>
      </c>
    </row>
    <row r="3794" spans="1:2">
      <c r="A3794">
        <v>84020</v>
      </c>
      <c r="B3794" t="s">
        <v>198</v>
      </c>
    </row>
    <row r="3795" spans="1:2">
      <c r="A3795">
        <v>84121</v>
      </c>
      <c r="B3795" t="s">
        <v>198</v>
      </c>
    </row>
    <row r="3796" spans="1:2">
      <c r="A3796">
        <v>84092</v>
      </c>
      <c r="B3796" t="s">
        <v>198</v>
      </c>
    </row>
    <row r="3797" spans="1:2">
      <c r="A3797">
        <v>84093</v>
      </c>
      <c r="B3797" t="s">
        <v>198</v>
      </c>
    </row>
    <row r="3798" spans="1:2">
      <c r="A3798">
        <v>84004</v>
      </c>
      <c r="B3798" t="s">
        <v>198</v>
      </c>
    </row>
    <row r="3799" spans="1:2">
      <c r="A3799">
        <v>84043</v>
      </c>
      <c r="B3799" t="s">
        <v>198</v>
      </c>
    </row>
    <row r="3800" spans="1:2">
      <c r="A3800">
        <v>84005</v>
      </c>
      <c r="B3800" t="s">
        <v>198</v>
      </c>
    </row>
    <row r="3801" spans="1:2">
      <c r="A3801">
        <v>84045</v>
      </c>
      <c r="B3801" t="s">
        <v>198</v>
      </c>
    </row>
    <row r="3802" spans="1:2">
      <c r="A3802">
        <v>84003</v>
      </c>
      <c r="B3802" t="s">
        <v>198</v>
      </c>
    </row>
    <row r="3803" spans="1:2">
      <c r="A3803">
        <v>84062</v>
      </c>
      <c r="B3803" t="s">
        <v>198</v>
      </c>
    </row>
    <row r="3804" spans="1:2">
      <c r="A3804">
        <v>84602</v>
      </c>
      <c r="B3804" t="s">
        <v>198</v>
      </c>
    </row>
    <row r="3805" spans="1:2">
      <c r="A3805">
        <v>84604</v>
      </c>
      <c r="B3805" t="s">
        <v>198</v>
      </c>
    </row>
    <row r="3806" spans="1:2">
      <c r="A3806">
        <v>84042</v>
      </c>
      <c r="B3806" t="s">
        <v>198</v>
      </c>
    </row>
    <row r="3807" spans="1:2">
      <c r="A3807">
        <v>84057</v>
      </c>
      <c r="B3807" t="s">
        <v>198</v>
      </c>
    </row>
    <row r="3808" spans="1:2">
      <c r="A3808">
        <v>84058</v>
      </c>
      <c r="B3808" t="s">
        <v>198</v>
      </c>
    </row>
    <row r="3809" spans="1:2">
      <c r="A3809">
        <v>84097</v>
      </c>
      <c r="B3809" t="s">
        <v>198</v>
      </c>
    </row>
    <row r="3810" spans="1:2">
      <c r="A3810">
        <v>84059</v>
      </c>
      <c r="B3810" t="s">
        <v>198</v>
      </c>
    </row>
    <row r="3811" spans="1:2">
      <c r="A3811">
        <v>84601</v>
      </c>
      <c r="B3811" t="s">
        <v>198</v>
      </c>
    </row>
    <row r="3812" spans="1:2">
      <c r="A3812">
        <v>84606</v>
      </c>
      <c r="B3812" t="s">
        <v>198</v>
      </c>
    </row>
    <row r="3813" spans="1:2">
      <c r="A3813">
        <v>84663</v>
      </c>
      <c r="B3813" t="s">
        <v>198</v>
      </c>
    </row>
    <row r="3814" spans="1:2">
      <c r="A3814">
        <v>84664</v>
      </c>
      <c r="B3814" t="s">
        <v>198</v>
      </c>
    </row>
    <row r="3815" spans="1:2">
      <c r="A3815">
        <v>84032</v>
      </c>
      <c r="B3815" t="s">
        <v>198</v>
      </c>
    </row>
    <row r="3816" spans="1:2">
      <c r="A3816">
        <v>84660</v>
      </c>
      <c r="B3816" t="s">
        <v>198</v>
      </c>
    </row>
    <row r="3817" spans="1:2">
      <c r="A3817">
        <v>84651</v>
      </c>
      <c r="B3817" t="s">
        <v>198</v>
      </c>
    </row>
    <row r="3818" spans="1:2">
      <c r="A3818">
        <v>84653</v>
      </c>
      <c r="B3818" t="s">
        <v>198</v>
      </c>
    </row>
    <row r="3819" spans="1:2">
      <c r="A3819">
        <v>84655</v>
      </c>
      <c r="B3819" t="s">
        <v>198</v>
      </c>
    </row>
    <row r="3820" spans="1:2">
      <c r="A3820">
        <v>90091</v>
      </c>
      <c r="B3820" t="s">
        <v>198</v>
      </c>
    </row>
    <row r="3821" spans="1:2">
      <c r="A3821">
        <v>90202</v>
      </c>
      <c r="B3821" t="s">
        <v>198</v>
      </c>
    </row>
    <row r="3822" spans="1:2">
      <c r="A3822">
        <v>90239</v>
      </c>
      <c r="B3822" t="s">
        <v>198</v>
      </c>
    </row>
    <row r="3823" spans="1:2">
      <c r="A3823">
        <v>90607</v>
      </c>
      <c r="B3823" t="s">
        <v>198</v>
      </c>
    </row>
    <row r="3824" spans="1:2">
      <c r="A3824">
        <v>90608</v>
      </c>
      <c r="B3824" t="s">
        <v>198</v>
      </c>
    </row>
    <row r="3825" spans="1:2">
      <c r="A3825">
        <v>90609</v>
      </c>
      <c r="B3825" t="s">
        <v>198</v>
      </c>
    </row>
    <row r="3826" spans="1:2">
      <c r="A3826">
        <v>90610</v>
      </c>
      <c r="B3826" t="s">
        <v>198</v>
      </c>
    </row>
    <row r="3827" spans="1:2">
      <c r="A3827">
        <v>90624</v>
      </c>
      <c r="B3827" t="s">
        <v>198</v>
      </c>
    </row>
    <row r="3828" spans="1:2">
      <c r="A3828">
        <v>90632</v>
      </c>
      <c r="B3828" t="s">
        <v>198</v>
      </c>
    </row>
    <row r="3829" spans="1:2">
      <c r="A3829">
        <v>90633</v>
      </c>
      <c r="B3829" t="s">
        <v>198</v>
      </c>
    </row>
    <row r="3830" spans="1:2">
      <c r="A3830">
        <v>90637</v>
      </c>
      <c r="B3830" t="s">
        <v>198</v>
      </c>
    </row>
    <row r="3831" spans="1:2">
      <c r="A3831">
        <v>90639</v>
      </c>
      <c r="B3831" t="s">
        <v>198</v>
      </c>
    </row>
    <row r="3832" spans="1:2">
      <c r="A3832">
        <v>90651</v>
      </c>
      <c r="B3832" t="s">
        <v>198</v>
      </c>
    </row>
    <row r="3833" spans="1:2">
      <c r="A3833">
        <v>90652</v>
      </c>
      <c r="B3833" t="s">
        <v>198</v>
      </c>
    </row>
    <row r="3834" spans="1:2">
      <c r="A3834">
        <v>90661</v>
      </c>
      <c r="B3834" t="s">
        <v>198</v>
      </c>
    </row>
    <row r="3835" spans="1:2">
      <c r="A3835">
        <v>90662</v>
      </c>
      <c r="B3835" t="s">
        <v>198</v>
      </c>
    </row>
    <row r="3836" spans="1:2">
      <c r="A3836">
        <v>90671</v>
      </c>
      <c r="B3836" t="s">
        <v>198</v>
      </c>
    </row>
    <row r="3837" spans="1:2">
      <c r="A3837">
        <v>90702</v>
      </c>
      <c r="B3837" t="s">
        <v>198</v>
      </c>
    </row>
    <row r="3838" spans="1:2">
      <c r="A3838">
        <v>90707</v>
      </c>
      <c r="B3838" t="s">
        <v>198</v>
      </c>
    </row>
    <row r="3839" spans="1:2">
      <c r="A3839">
        <v>91714</v>
      </c>
      <c r="B3839" t="s">
        <v>198</v>
      </c>
    </row>
    <row r="3840" spans="1:2">
      <c r="A3840">
        <v>91715</v>
      </c>
      <c r="B3840" t="s">
        <v>198</v>
      </c>
    </row>
    <row r="3841" spans="1:2">
      <c r="A3841">
        <v>91716</v>
      </c>
      <c r="B3841" t="s">
        <v>198</v>
      </c>
    </row>
    <row r="3842" spans="1:2">
      <c r="A3842">
        <v>91734</v>
      </c>
      <c r="B3842" t="s">
        <v>198</v>
      </c>
    </row>
    <row r="3843" spans="1:2">
      <c r="A3843">
        <v>91735</v>
      </c>
      <c r="B3843" t="s">
        <v>198</v>
      </c>
    </row>
    <row r="3844" spans="1:2">
      <c r="A3844">
        <v>91747</v>
      </c>
      <c r="B3844" t="s">
        <v>198</v>
      </c>
    </row>
    <row r="3845" spans="1:2">
      <c r="A3845">
        <v>91749</v>
      </c>
      <c r="B3845" t="s">
        <v>198</v>
      </c>
    </row>
    <row r="3846" spans="1:2">
      <c r="A3846">
        <v>91756</v>
      </c>
      <c r="B3846" t="s">
        <v>198</v>
      </c>
    </row>
    <row r="3847" spans="1:2">
      <c r="A3847">
        <v>91771</v>
      </c>
      <c r="B3847" t="s">
        <v>198</v>
      </c>
    </row>
    <row r="3848" spans="1:2">
      <c r="A3848">
        <v>91772</v>
      </c>
      <c r="B3848" t="s">
        <v>198</v>
      </c>
    </row>
    <row r="3849" spans="1:2">
      <c r="A3849">
        <v>91778</v>
      </c>
      <c r="B3849" t="s">
        <v>198</v>
      </c>
    </row>
    <row r="3850" spans="1:2">
      <c r="A3850">
        <v>91793</v>
      </c>
      <c r="B3850" t="s">
        <v>198</v>
      </c>
    </row>
    <row r="3851" spans="1:2">
      <c r="A3851">
        <v>91802</v>
      </c>
      <c r="B3851" t="s">
        <v>198</v>
      </c>
    </row>
    <row r="3852" spans="1:2">
      <c r="A3852">
        <v>91804</v>
      </c>
      <c r="B3852" t="s">
        <v>198</v>
      </c>
    </row>
    <row r="3853" spans="1:2">
      <c r="A3853">
        <v>91896</v>
      </c>
      <c r="B3853" t="s">
        <v>198</v>
      </c>
    </row>
    <row r="3854" spans="1:2">
      <c r="A3854">
        <v>91899</v>
      </c>
      <c r="B3854" t="s">
        <v>198</v>
      </c>
    </row>
    <row r="3855" spans="1:2">
      <c r="A3855">
        <v>92836</v>
      </c>
      <c r="B3855" t="s">
        <v>198</v>
      </c>
    </row>
    <row r="3856" spans="1:2">
      <c r="A3856">
        <v>92837</v>
      </c>
      <c r="B3856" t="s">
        <v>198</v>
      </c>
    </row>
    <row r="3857" spans="1:2">
      <c r="A3857">
        <v>92838</v>
      </c>
      <c r="B3857" t="s">
        <v>198</v>
      </c>
    </row>
    <row r="3858" spans="1:2">
      <c r="A3858">
        <v>94023</v>
      </c>
      <c r="B3858" t="s">
        <v>198</v>
      </c>
    </row>
    <row r="3859" spans="1:2">
      <c r="A3859">
        <v>94035</v>
      </c>
      <c r="B3859" t="s">
        <v>198</v>
      </c>
    </row>
    <row r="3860" spans="1:2">
      <c r="A3860">
        <v>94039</v>
      </c>
      <c r="B3860" t="s">
        <v>198</v>
      </c>
    </row>
    <row r="3861" spans="1:2">
      <c r="A3861">
        <v>94042</v>
      </c>
      <c r="B3861" t="s">
        <v>198</v>
      </c>
    </row>
    <row r="3862" spans="1:2">
      <c r="A3862">
        <v>94064</v>
      </c>
      <c r="B3862" t="s">
        <v>198</v>
      </c>
    </row>
    <row r="3863" spans="1:2">
      <c r="A3863">
        <v>94088</v>
      </c>
      <c r="B3863" t="s">
        <v>198</v>
      </c>
    </row>
    <row r="3864" spans="1:2">
      <c r="A3864">
        <v>94125</v>
      </c>
      <c r="B3864" t="s">
        <v>198</v>
      </c>
    </row>
    <row r="3865" spans="1:2">
      <c r="A3865">
        <v>94140</v>
      </c>
      <c r="B3865" t="s">
        <v>198</v>
      </c>
    </row>
    <row r="3866" spans="1:2">
      <c r="A3866">
        <v>94141</v>
      </c>
      <c r="B3866" t="s">
        <v>198</v>
      </c>
    </row>
    <row r="3867" spans="1:2">
      <c r="A3867">
        <v>94143</v>
      </c>
      <c r="B3867" t="s">
        <v>198</v>
      </c>
    </row>
    <row r="3868" spans="1:2">
      <c r="A3868">
        <v>94146</v>
      </c>
      <c r="B3868" t="s">
        <v>198</v>
      </c>
    </row>
    <row r="3869" spans="1:2">
      <c r="A3869">
        <v>94147</v>
      </c>
      <c r="B3869" t="s">
        <v>198</v>
      </c>
    </row>
    <row r="3870" spans="1:2">
      <c r="A3870">
        <v>94159</v>
      </c>
      <c r="B3870" t="s">
        <v>198</v>
      </c>
    </row>
    <row r="3871" spans="1:2">
      <c r="A3871">
        <v>94172</v>
      </c>
      <c r="B3871" t="s">
        <v>198</v>
      </c>
    </row>
    <row r="3872" spans="1:2">
      <c r="A3872">
        <v>94177</v>
      </c>
      <c r="B3872" t="s">
        <v>198</v>
      </c>
    </row>
    <row r="3873" spans="1:2">
      <c r="A3873">
        <v>94188</v>
      </c>
      <c r="B3873" t="s">
        <v>198</v>
      </c>
    </row>
    <row r="3874" spans="1:2">
      <c r="A3874">
        <v>94302</v>
      </c>
      <c r="B3874" t="s">
        <v>198</v>
      </c>
    </row>
    <row r="3875" spans="1:2">
      <c r="A3875">
        <v>94309</v>
      </c>
      <c r="B3875" t="s">
        <v>198</v>
      </c>
    </row>
    <row r="3876" spans="1:2">
      <c r="A3876">
        <v>94537</v>
      </c>
      <c r="B3876" t="s">
        <v>198</v>
      </c>
    </row>
    <row r="3877" spans="1:2">
      <c r="A3877">
        <v>94540</v>
      </c>
      <c r="B3877" t="s">
        <v>198</v>
      </c>
    </row>
    <row r="3878" spans="1:2">
      <c r="A3878">
        <v>94543</v>
      </c>
      <c r="B3878" t="s">
        <v>198</v>
      </c>
    </row>
    <row r="3879" spans="1:2">
      <c r="A3879">
        <v>94557</v>
      </c>
      <c r="B3879" t="s">
        <v>198</v>
      </c>
    </row>
    <row r="3880" spans="1:2">
      <c r="A3880">
        <v>94604</v>
      </c>
      <c r="B3880" t="s">
        <v>198</v>
      </c>
    </row>
    <row r="3881" spans="1:2">
      <c r="A3881">
        <v>94614</v>
      </c>
      <c r="B3881" t="s">
        <v>198</v>
      </c>
    </row>
    <row r="3882" spans="1:2">
      <c r="A3882">
        <v>94615</v>
      </c>
      <c r="B3882" t="s">
        <v>198</v>
      </c>
    </row>
    <row r="3883" spans="1:2">
      <c r="A3883">
        <v>94617</v>
      </c>
      <c r="B3883" t="s">
        <v>198</v>
      </c>
    </row>
    <row r="3884" spans="1:2">
      <c r="A3884">
        <v>94620</v>
      </c>
      <c r="B3884" t="s">
        <v>198</v>
      </c>
    </row>
    <row r="3885" spans="1:2">
      <c r="A3885">
        <v>94623</v>
      </c>
      <c r="B3885" t="s">
        <v>198</v>
      </c>
    </row>
    <row r="3886" spans="1:2">
      <c r="A3886">
        <v>94624</v>
      </c>
      <c r="B3886" t="s">
        <v>198</v>
      </c>
    </row>
    <row r="3887" spans="1:2">
      <c r="A3887">
        <v>94649</v>
      </c>
      <c r="B3887" t="s">
        <v>198</v>
      </c>
    </row>
    <row r="3888" spans="1:2">
      <c r="A3888">
        <v>94659</v>
      </c>
      <c r="B3888" t="s">
        <v>198</v>
      </c>
    </row>
    <row r="3889" spans="1:2">
      <c r="A3889">
        <v>94660</v>
      </c>
      <c r="B3889" t="s">
        <v>198</v>
      </c>
    </row>
    <row r="3890" spans="1:2">
      <c r="A3890">
        <v>94661</v>
      </c>
      <c r="B3890" t="s">
        <v>198</v>
      </c>
    </row>
    <row r="3891" spans="1:2">
      <c r="A3891">
        <v>94662</v>
      </c>
      <c r="B3891" t="s">
        <v>198</v>
      </c>
    </row>
    <row r="3892" spans="1:2">
      <c r="A3892">
        <v>94666</v>
      </c>
      <c r="B3892" t="s">
        <v>198</v>
      </c>
    </row>
    <row r="3893" spans="1:2">
      <c r="A3893">
        <v>94701</v>
      </c>
      <c r="B3893" t="s">
        <v>198</v>
      </c>
    </row>
    <row r="3894" spans="1:2">
      <c r="A3894">
        <v>94802</v>
      </c>
      <c r="B3894" t="s">
        <v>198</v>
      </c>
    </row>
    <row r="3895" spans="1:2">
      <c r="A3895">
        <v>94807</v>
      </c>
      <c r="B3895" t="s">
        <v>198</v>
      </c>
    </row>
    <row r="3896" spans="1:2">
      <c r="A3896">
        <v>94808</v>
      </c>
      <c r="B3896" t="s">
        <v>198</v>
      </c>
    </row>
    <row r="3897" spans="1:2">
      <c r="A3897">
        <v>94820</v>
      </c>
      <c r="B3897" t="s">
        <v>198</v>
      </c>
    </row>
    <row r="3898" spans="1:2">
      <c r="A3898">
        <v>94850</v>
      </c>
      <c r="B3898" t="s">
        <v>198</v>
      </c>
    </row>
    <row r="3899" spans="1:2">
      <c r="A3899">
        <v>95009</v>
      </c>
      <c r="B3899" t="s">
        <v>198</v>
      </c>
    </row>
    <row r="3900" spans="1:2">
      <c r="A3900">
        <v>95011</v>
      </c>
      <c r="B3900" t="s">
        <v>198</v>
      </c>
    </row>
    <row r="3901" spans="1:2">
      <c r="A3901">
        <v>95031</v>
      </c>
      <c r="B3901" t="s">
        <v>198</v>
      </c>
    </row>
    <row r="3902" spans="1:2">
      <c r="A3902">
        <v>95036</v>
      </c>
      <c r="B3902" t="s">
        <v>198</v>
      </c>
    </row>
    <row r="3903" spans="1:2">
      <c r="A3903">
        <v>95052</v>
      </c>
      <c r="B3903" t="s">
        <v>198</v>
      </c>
    </row>
    <row r="3904" spans="1:2">
      <c r="A3904">
        <v>95053</v>
      </c>
      <c r="B3904" t="s">
        <v>198</v>
      </c>
    </row>
    <row r="3905" spans="1:2">
      <c r="A3905">
        <v>95055</v>
      </c>
      <c r="B3905" t="s">
        <v>198</v>
      </c>
    </row>
    <row r="3906" spans="1:2">
      <c r="A3906">
        <v>95056</v>
      </c>
      <c r="B3906" t="s">
        <v>198</v>
      </c>
    </row>
    <row r="3907" spans="1:2">
      <c r="A3907">
        <v>95071</v>
      </c>
      <c r="B3907" t="s">
        <v>198</v>
      </c>
    </row>
    <row r="3908" spans="1:2">
      <c r="A3908">
        <v>95101</v>
      </c>
      <c r="B3908" t="s">
        <v>198</v>
      </c>
    </row>
    <row r="3909" spans="1:2">
      <c r="A3909">
        <v>95103</v>
      </c>
      <c r="B3909" t="s">
        <v>198</v>
      </c>
    </row>
    <row r="3910" spans="1:2">
      <c r="A3910">
        <v>95106</v>
      </c>
      <c r="B3910" t="s">
        <v>198</v>
      </c>
    </row>
    <row r="3911" spans="1:2">
      <c r="A3911">
        <v>95108</v>
      </c>
      <c r="B3911" t="s">
        <v>198</v>
      </c>
    </row>
    <row r="3912" spans="1:2">
      <c r="A3912">
        <v>95109</v>
      </c>
      <c r="B3912" t="s">
        <v>198</v>
      </c>
    </row>
    <row r="3913" spans="1:2">
      <c r="A3913">
        <v>95115</v>
      </c>
      <c r="B3913" t="s">
        <v>198</v>
      </c>
    </row>
    <row r="3914" spans="1:2">
      <c r="A3914">
        <v>95150</v>
      </c>
      <c r="B3914" t="s">
        <v>198</v>
      </c>
    </row>
    <row r="3915" spans="1:2">
      <c r="A3915">
        <v>95152</v>
      </c>
      <c r="B3915" t="s">
        <v>198</v>
      </c>
    </row>
    <row r="3916" spans="1:2">
      <c r="A3916">
        <v>95153</v>
      </c>
      <c r="B3916" t="s">
        <v>198</v>
      </c>
    </row>
    <row r="3917" spans="1:2">
      <c r="A3917">
        <v>95154</v>
      </c>
      <c r="B3917" t="s">
        <v>198</v>
      </c>
    </row>
    <row r="3918" spans="1:2">
      <c r="A3918">
        <v>95155</v>
      </c>
      <c r="B3918" t="s">
        <v>198</v>
      </c>
    </row>
    <row r="3919" spans="1:2">
      <c r="A3919">
        <v>95156</v>
      </c>
      <c r="B3919" t="s">
        <v>198</v>
      </c>
    </row>
    <row r="3920" spans="1:2">
      <c r="A3920">
        <v>95157</v>
      </c>
      <c r="B3920" t="s">
        <v>198</v>
      </c>
    </row>
    <row r="3921" spans="1:2">
      <c r="A3921">
        <v>95158</v>
      </c>
      <c r="B3921" t="s">
        <v>198</v>
      </c>
    </row>
    <row r="3922" spans="1:2">
      <c r="A3922">
        <v>95159</v>
      </c>
      <c r="B3922" t="s">
        <v>198</v>
      </c>
    </row>
    <row r="3923" spans="1:2">
      <c r="A3923">
        <v>95161</v>
      </c>
      <c r="B3923" t="s">
        <v>198</v>
      </c>
    </row>
    <row r="3924" spans="1:2">
      <c r="A3924">
        <v>95164</v>
      </c>
      <c r="B3924" t="s">
        <v>198</v>
      </c>
    </row>
    <row r="3925" spans="1:2">
      <c r="A3925">
        <v>95170</v>
      </c>
      <c r="B3925" t="s">
        <v>198</v>
      </c>
    </row>
    <row r="3926" spans="1:2">
      <c r="A3926">
        <v>95172</v>
      </c>
      <c r="B3926" t="s">
        <v>198</v>
      </c>
    </row>
    <row r="3927" spans="1:2">
      <c r="A3927">
        <v>95173</v>
      </c>
      <c r="B3927" t="s">
        <v>198</v>
      </c>
    </row>
    <row r="3928" spans="1:2">
      <c r="A3928">
        <v>95190</v>
      </c>
      <c r="B3928" t="s">
        <v>198</v>
      </c>
    </row>
    <row r="3929" spans="1:2">
      <c r="A3929">
        <v>95191</v>
      </c>
      <c r="B3929" t="s">
        <v>198</v>
      </c>
    </row>
    <row r="3930" spans="1:2">
      <c r="A3930">
        <v>95192</v>
      </c>
      <c r="B3930" t="s">
        <v>198</v>
      </c>
    </row>
    <row r="3931" spans="1:2">
      <c r="A3931">
        <v>95193</v>
      </c>
      <c r="B3931" t="s">
        <v>198</v>
      </c>
    </row>
    <row r="3932" spans="1:2">
      <c r="A3932">
        <v>95194</v>
      </c>
      <c r="B3932" t="s">
        <v>198</v>
      </c>
    </row>
    <row r="3933" spans="1:2">
      <c r="A3933">
        <v>95196</v>
      </c>
      <c r="B3933" t="s">
        <v>198</v>
      </c>
    </row>
    <row r="3934" spans="1:2">
      <c r="A3934">
        <v>94572</v>
      </c>
      <c r="B3934" t="s">
        <v>198</v>
      </c>
    </row>
    <row r="3935" spans="1:2">
      <c r="A3935">
        <v>94564</v>
      </c>
      <c r="B3935" t="s">
        <v>198</v>
      </c>
    </row>
    <row r="3936" spans="1:2">
      <c r="A3936">
        <v>94547</v>
      </c>
      <c r="B3936" t="s">
        <v>198</v>
      </c>
    </row>
    <row r="3937" spans="1:2">
      <c r="A3937">
        <v>94525</v>
      </c>
      <c r="B3937" t="s">
        <v>198</v>
      </c>
    </row>
    <row r="3938" spans="1:2">
      <c r="A3938">
        <v>94505</v>
      </c>
      <c r="B3938" t="s">
        <v>198</v>
      </c>
    </row>
    <row r="3939" spans="1:2">
      <c r="A3939">
        <v>94509</v>
      </c>
      <c r="B3939" t="s">
        <v>198</v>
      </c>
    </row>
    <row r="3940" spans="1:2">
      <c r="A3940">
        <v>94513</v>
      </c>
      <c r="B3940" t="s">
        <v>198</v>
      </c>
    </row>
    <row r="3941" spans="1:2">
      <c r="A3941">
        <v>94531</v>
      </c>
      <c r="B3941" t="s">
        <v>198</v>
      </c>
    </row>
    <row r="3942" spans="1:2">
      <c r="A3942">
        <v>94561</v>
      </c>
      <c r="B3942" t="s">
        <v>198</v>
      </c>
    </row>
    <row r="3943" spans="1:2">
      <c r="A3943">
        <v>94517</v>
      </c>
      <c r="B3943" t="s">
        <v>198</v>
      </c>
    </row>
    <row r="3944" spans="1:2">
      <c r="A3944">
        <v>94518</v>
      </c>
      <c r="B3944" t="s">
        <v>198</v>
      </c>
    </row>
    <row r="3945" spans="1:2">
      <c r="A3945">
        <v>94519</v>
      </c>
      <c r="B3945" t="s">
        <v>198</v>
      </c>
    </row>
    <row r="3946" spans="1:2">
      <c r="A3946">
        <v>94520</v>
      </c>
      <c r="B3946" t="s">
        <v>198</v>
      </c>
    </row>
    <row r="3947" spans="1:2">
      <c r="A3947">
        <v>94521</v>
      </c>
      <c r="B3947" t="s">
        <v>198</v>
      </c>
    </row>
    <row r="3948" spans="1:2">
      <c r="A3948">
        <v>94522</v>
      </c>
      <c r="B3948" t="s">
        <v>198</v>
      </c>
    </row>
    <row r="3949" spans="1:2">
      <c r="A3949">
        <v>94524</v>
      </c>
      <c r="B3949" t="s">
        <v>198</v>
      </c>
    </row>
    <row r="3950" spans="1:2">
      <c r="A3950">
        <v>94527</v>
      </c>
      <c r="B3950" t="s">
        <v>198</v>
      </c>
    </row>
    <row r="3951" spans="1:2">
      <c r="A3951">
        <v>94565</v>
      </c>
      <c r="B3951" t="s">
        <v>198</v>
      </c>
    </row>
    <row r="3952" spans="1:2">
      <c r="A3952">
        <v>94590</v>
      </c>
      <c r="B3952" t="s">
        <v>198</v>
      </c>
    </row>
    <row r="3953" spans="1:2">
      <c r="A3953">
        <v>94591</v>
      </c>
      <c r="B3953" t="s">
        <v>198</v>
      </c>
    </row>
    <row r="3954" spans="1:2">
      <c r="A3954">
        <v>94534</v>
      </c>
      <c r="B3954" t="s">
        <v>198</v>
      </c>
    </row>
    <row r="3955" spans="1:2">
      <c r="A3955">
        <v>94533</v>
      </c>
      <c r="B3955" t="s">
        <v>198</v>
      </c>
    </row>
    <row r="3956" spans="1:2">
      <c r="A3956">
        <v>95687</v>
      </c>
      <c r="B3956" t="s">
        <v>198</v>
      </c>
    </row>
    <row r="3957" spans="1:2">
      <c r="A3957">
        <v>95688</v>
      </c>
      <c r="B3957" t="s">
        <v>198</v>
      </c>
    </row>
    <row r="3958" spans="1:2">
      <c r="A3958">
        <v>7765</v>
      </c>
      <c r="B3958" t="s">
        <v>198</v>
      </c>
    </row>
    <row r="3959" spans="1:2">
      <c r="A3959">
        <v>8541</v>
      </c>
      <c r="B3959" t="s">
        <v>198</v>
      </c>
    </row>
    <row r="3960" spans="1:2">
      <c r="A3960">
        <v>8862</v>
      </c>
      <c r="B3960" t="s">
        <v>198</v>
      </c>
    </row>
    <row r="3961" spans="1:2">
      <c r="A3961">
        <v>8989</v>
      </c>
      <c r="B3961" t="s">
        <v>198</v>
      </c>
    </row>
    <row r="3962" spans="1:2">
      <c r="A3962">
        <v>7703</v>
      </c>
      <c r="B3962" t="s">
        <v>198</v>
      </c>
    </row>
    <row r="3963" spans="1:2">
      <c r="A3963">
        <v>8899</v>
      </c>
      <c r="B3963" t="s">
        <v>198</v>
      </c>
    </row>
    <row r="3964" spans="1:2">
      <c r="A3964">
        <v>8818</v>
      </c>
      <c r="B3964" t="s">
        <v>198</v>
      </c>
    </row>
    <row r="3965" spans="1:2">
      <c r="A3965">
        <v>7799</v>
      </c>
      <c r="B3965" t="s">
        <v>198</v>
      </c>
    </row>
    <row r="3966" spans="1:2">
      <c r="A3966">
        <v>8553</v>
      </c>
      <c r="B3966" t="s">
        <v>198</v>
      </c>
    </row>
    <row r="3967" spans="1:2">
      <c r="A3967">
        <v>8528</v>
      </c>
      <c r="B3967" t="s">
        <v>198</v>
      </c>
    </row>
    <row r="3968" spans="1:2">
      <c r="A3968">
        <v>8906</v>
      </c>
      <c r="B3968" t="s">
        <v>198</v>
      </c>
    </row>
    <row r="3969" spans="1:2">
      <c r="A3969">
        <v>8875</v>
      </c>
      <c r="B3969" t="s">
        <v>198</v>
      </c>
    </row>
    <row r="3970" spans="1:2">
      <c r="A3970">
        <v>8855</v>
      </c>
      <c r="B3970" t="s">
        <v>198</v>
      </c>
    </row>
    <row r="3971" spans="1:2">
      <c r="A3971">
        <v>8903</v>
      </c>
      <c r="B3971" t="s">
        <v>198</v>
      </c>
    </row>
    <row r="3972" spans="1:2">
      <c r="A3972">
        <v>8933</v>
      </c>
      <c r="B3972" t="s">
        <v>198</v>
      </c>
    </row>
    <row r="3973" spans="1:2">
      <c r="A3973">
        <v>8504</v>
      </c>
      <c r="B3973" t="s">
        <v>198</v>
      </c>
    </row>
    <row r="3974" spans="1:2">
      <c r="A3974">
        <v>8890</v>
      </c>
      <c r="B3974" t="s">
        <v>198</v>
      </c>
    </row>
    <row r="3975" spans="1:2">
      <c r="A3975">
        <v>7715</v>
      </c>
      <c r="B3975" t="s">
        <v>198</v>
      </c>
    </row>
    <row r="3976" spans="1:2">
      <c r="A3976">
        <v>7710</v>
      </c>
      <c r="B3976" t="s">
        <v>198</v>
      </c>
    </row>
    <row r="3977" spans="1:2">
      <c r="A3977">
        <v>8871</v>
      </c>
      <c r="B3977" t="s">
        <v>198</v>
      </c>
    </row>
    <row r="3978" spans="1:2">
      <c r="A3978">
        <v>8543</v>
      </c>
      <c r="B3978" t="s">
        <v>198</v>
      </c>
    </row>
    <row r="3979" spans="1:2">
      <c r="A3979">
        <v>7752</v>
      </c>
      <c r="B3979" t="s">
        <v>198</v>
      </c>
    </row>
    <row r="3980" spans="1:2">
      <c r="A3980">
        <v>11555</v>
      </c>
      <c r="B3980" t="s">
        <v>198</v>
      </c>
    </row>
    <row r="3981" spans="1:2">
      <c r="A3981">
        <v>11571</v>
      </c>
      <c r="B3981" t="s">
        <v>198</v>
      </c>
    </row>
    <row r="3982" spans="1:2">
      <c r="A3982">
        <v>11551</v>
      </c>
      <c r="B3982" t="s">
        <v>198</v>
      </c>
    </row>
    <row r="3983" spans="1:2">
      <c r="A3983">
        <v>11599</v>
      </c>
      <c r="B3983" t="s">
        <v>198</v>
      </c>
    </row>
    <row r="3984" spans="1:2">
      <c r="A3984">
        <v>11531</v>
      </c>
      <c r="B3984" t="s">
        <v>198</v>
      </c>
    </row>
    <row r="3985" spans="1:2">
      <c r="A3985">
        <v>11002</v>
      </c>
      <c r="B3985" t="s">
        <v>198</v>
      </c>
    </row>
    <row r="3986" spans="1:2">
      <c r="A3986">
        <v>11022</v>
      </c>
      <c r="B3986" t="s">
        <v>198</v>
      </c>
    </row>
    <row r="3987" spans="1:2">
      <c r="A3987">
        <v>11582</v>
      </c>
      <c r="B3987" t="s">
        <v>198</v>
      </c>
    </row>
    <row r="3988" spans="1:2">
      <c r="A3988">
        <v>11707</v>
      </c>
      <c r="B3988" t="s">
        <v>198</v>
      </c>
    </row>
    <row r="3989" spans="1:2">
      <c r="A3989">
        <v>11775</v>
      </c>
      <c r="B3989" t="s">
        <v>198</v>
      </c>
    </row>
    <row r="3990" spans="1:2">
      <c r="A3990">
        <v>11773</v>
      </c>
      <c r="B3990" t="s">
        <v>198</v>
      </c>
    </row>
    <row r="3991" spans="1:2">
      <c r="A3991">
        <v>11760</v>
      </c>
      <c r="B3991" t="s">
        <v>198</v>
      </c>
    </row>
    <row r="3992" spans="1:2">
      <c r="A3992">
        <v>11853</v>
      </c>
      <c r="B3992" t="s">
        <v>198</v>
      </c>
    </row>
    <row r="3993" spans="1:2">
      <c r="A3993">
        <v>11815</v>
      </c>
      <c r="B3993" t="s">
        <v>198</v>
      </c>
    </row>
    <row r="3994" spans="1:2">
      <c r="A3994">
        <v>11802</v>
      </c>
      <c r="B3994" t="s">
        <v>198</v>
      </c>
    </row>
    <row r="3995" spans="1:2">
      <c r="A3995">
        <v>11737</v>
      </c>
      <c r="B3995" t="s">
        <v>198</v>
      </c>
    </row>
    <row r="3996" spans="1:2">
      <c r="A3996">
        <v>19049</v>
      </c>
      <c r="B3996" t="s">
        <v>198</v>
      </c>
    </row>
    <row r="3997" spans="1:2">
      <c r="A3997">
        <v>19058</v>
      </c>
      <c r="B3997" t="s">
        <v>198</v>
      </c>
    </row>
    <row r="3998" spans="1:2">
      <c r="A3998">
        <v>19099</v>
      </c>
      <c r="B3998" t="s">
        <v>198</v>
      </c>
    </row>
    <row r="3999" spans="1:2">
      <c r="A3999">
        <v>19155</v>
      </c>
      <c r="B3999" t="s">
        <v>198</v>
      </c>
    </row>
    <row r="4000" spans="1:2">
      <c r="A4000">
        <v>19160</v>
      </c>
      <c r="B4000" t="s">
        <v>198</v>
      </c>
    </row>
    <row r="4001" spans="1:2">
      <c r="A4001">
        <v>19019</v>
      </c>
      <c r="B4001" t="s">
        <v>198</v>
      </c>
    </row>
    <row r="4002" spans="1:2">
      <c r="A4002">
        <v>19179</v>
      </c>
      <c r="B4002" t="s">
        <v>198</v>
      </c>
    </row>
    <row r="4003" spans="1:2">
      <c r="A4003">
        <v>19105</v>
      </c>
      <c r="B4003" t="s">
        <v>198</v>
      </c>
    </row>
    <row r="4004" spans="1:2">
      <c r="A4004">
        <v>19108</v>
      </c>
      <c r="B4004" t="s">
        <v>198</v>
      </c>
    </row>
    <row r="4005" spans="1:2">
      <c r="A4005">
        <v>19171</v>
      </c>
      <c r="B4005" t="s">
        <v>198</v>
      </c>
    </row>
    <row r="4006" spans="1:2">
      <c r="A4006">
        <v>19172</v>
      </c>
      <c r="B4006" t="s">
        <v>198</v>
      </c>
    </row>
    <row r="4007" spans="1:2">
      <c r="A4007">
        <v>19173</v>
      </c>
      <c r="B4007" t="s">
        <v>198</v>
      </c>
    </row>
    <row r="4008" spans="1:2">
      <c r="A4008">
        <v>19175</v>
      </c>
      <c r="B4008" t="s">
        <v>198</v>
      </c>
    </row>
    <row r="4009" spans="1:2">
      <c r="A4009">
        <v>19181</v>
      </c>
      <c r="B4009" t="s">
        <v>198</v>
      </c>
    </row>
    <row r="4010" spans="1:2">
      <c r="A4010">
        <v>19182</v>
      </c>
      <c r="B4010" t="s">
        <v>198</v>
      </c>
    </row>
    <row r="4011" spans="1:2">
      <c r="A4011">
        <v>19183</v>
      </c>
      <c r="B4011" t="s">
        <v>198</v>
      </c>
    </row>
    <row r="4012" spans="1:2">
      <c r="A4012">
        <v>19187</v>
      </c>
      <c r="B4012" t="s">
        <v>198</v>
      </c>
    </row>
    <row r="4013" spans="1:2">
      <c r="A4013">
        <v>19190</v>
      </c>
      <c r="B4013" t="s">
        <v>198</v>
      </c>
    </row>
    <row r="4014" spans="1:2">
      <c r="A4014">
        <v>19191</v>
      </c>
      <c r="B4014" t="s">
        <v>198</v>
      </c>
    </row>
    <row r="4015" spans="1:2">
      <c r="A4015">
        <v>19192</v>
      </c>
      <c r="B4015" t="s">
        <v>198</v>
      </c>
    </row>
    <row r="4016" spans="1:2">
      <c r="A4016">
        <v>19195</v>
      </c>
      <c r="B4016" t="s">
        <v>198</v>
      </c>
    </row>
    <row r="4017" spans="1:2">
      <c r="A4017">
        <v>19196</v>
      </c>
      <c r="B4017" t="s">
        <v>198</v>
      </c>
    </row>
    <row r="4018" spans="1:2">
      <c r="A4018">
        <v>19197</v>
      </c>
      <c r="B4018" t="s">
        <v>198</v>
      </c>
    </row>
    <row r="4019" spans="1:2">
      <c r="A4019">
        <v>19255</v>
      </c>
      <c r="B4019" t="s">
        <v>198</v>
      </c>
    </row>
    <row r="4020" spans="1:2">
      <c r="A4020">
        <v>19093</v>
      </c>
      <c r="B4020" t="s">
        <v>198</v>
      </c>
    </row>
    <row r="4021" spans="1:2">
      <c r="A4021">
        <v>19161</v>
      </c>
      <c r="B4021" t="s">
        <v>198</v>
      </c>
    </row>
    <row r="4022" spans="1:2">
      <c r="A4022">
        <v>19162</v>
      </c>
      <c r="B4022" t="s">
        <v>198</v>
      </c>
    </row>
    <row r="4023" spans="1:2">
      <c r="A4023">
        <v>19170</v>
      </c>
      <c r="B4023" t="s">
        <v>198</v>
      </c>
    </row>
    <row r="4024" spans="1:2">
      <c r="A4024">
        <v>19177</v>
      </c>
      <c r="B4024" t="s">
        <v>198</v>
      </c>
    </row>
    <row r="4025" spans="1:2">
      <c r="A4025">
        <v>19178</v>
      </c>
      <c r="B4025" t="s">
        <v>198</v>
      </c>
    </row>
    <row r="4026" spans="1:2">
      <c r="A4026">
        <v>19184</v>
      </c>
      <c r="B4026" t="s">
        <v>198</v>
      </c>
    </row>
    <row r="4027" spans="1:2">
      <c r="A4027">
        <v>19188</v>
      </c>
      <c r="B4027" t="s">
        <v>198</v>
      </c>
    </row>
    <row r="4028" spans="1:2">
      <c r="A4028">
        <v>19193</v>
      </c>
      <c r="B4028" t="s">
        <v>198</v>
      </c>
    </row>
    <row r="4029" spans="1:2">
      <c r="A4029">
        <v>19194</v>
      </c>
      <c r="B4029" t="s">
        <v>198</v>
      </c>
    </row>
    <row r="4030" spans="1:2">
      <c r="A4030">
        <v>19244</v>
      </c>
      <c r="B4030" t="s">
        <v>198</v>
      </c>
    </row>
    <row r="4031" spans="1:2">
      <c r="A4031">
        <v>19113</v>
      </c>
      <c r="B4031" t="s">
        <v>198</v>
      </c>
    </row>
    <row r="4032" spans="1:2">
      <c r="A4032">
        <v>19176</v>
      </c>
      <c r="B4032" t="s">
        <v>198</v>
      </c>
    </row>
    <row r="4033" spans="1:2">
      <c r="A4033">
        <v>19098</v>
      </c>
      <c r="B4033" t="s">
        <v>198</v>
      </c>
    </row>
    <row r="4034" spans="1:2">
      <c r="A4034">
        <v>19091</v>
      </c>
      <c r="B4034" t="s">
        <v>198</v>
      </c>
    </row>
    <row r="4035" spans="1:2">
      <c r="A4035">
        <v>19353</v>
      </c>
      <c r="B4035" t="s">
        <v>198</v>
      </c>
    </row>
    <row r="4036" spans="1:2">
      <c r="A4036">
        <v>19381</v>
      </c>
      <c r="B4036" t="s">
        <v>198</v>
      </c>
    </row>
    <row r="4037" spans="1:2">
      <c r="A4037">
        <v>19016</v>
      </c>
      <c r="B4037" t="s">
        <v>198</v>
      </c>
    </row>
    <row r="4038" spans="1:2">
      <c r="A4038">
        <v>33034</v>
      </c>
      <c r="B4038" t="s">
        <v>198</v>
      </c>
    </row>
    <row r="4039" spans="1:2">
      <c r="A4039">
        <v>33035</v>
      </c>
      <c r="B4039" t="s">
        <v>198</v>
      </c>
    </row>
    <row r="4040" spans="1:2">
      <c r="A4040">
        <v>34946</v>
      </c>
      <c r="B4040" t="s">
        <v>198</v>
      </c>
    </row>
    <row r="4041" spans="1:2">
      <c r="A4041">
        <v>34947</v>
      </c>
      <c r="B4041" t="s">
        <v>198</v>
      </c>
    </row>
    <row r="4042" spans="1:2">
      <c r="A4042">
        <v>34949</v>
      </c>
      <c r="B4042" t="s">
        <v>198</v>
      </c>
    </row>
    <row r="4043" spans="1:2">
      <c r="A4043">
        <v>34950</v>
      </c>
      <c r="B4043" t="s">
        <v>198</v>
      </c>
    </row>
    <row r="4044" spans="1:2">
      <c r="A4044">
        <v>34951</v>
      </c>
      <c r="B4044" t="s">
        <v>198</v>
      </c>
    </row>
    <row r="4045" spans="1:2">
      <c r="A4045">
        <v>34956</v>
      </c>
      <c r="B4045" t="s">
        <v>198</v>
      </c>
    </row>
    <row r="4046" spans="1:2">
      <c r="A4046">
        <v>34957</v>
      </c>
      <c r="B4046" t="s">
        <v>198</v>
      </c>
    </row>
    <row r="4047" spans="1:2">
      <c r="A4047">
        <v>34982</v>
      </c>
      <c r="B4047" t="s">
        <v>198</v>
      </c>
    </row>
    <row r="4048" spans="1:2">
      <c r="A4048">
        <v>34987</v>
      </c>
      <c r="B4048" t="s">
        <v>198</v>
      </c>
    </row>
    <row r="4049" spans="1:2">
      <c r="A4049">
        <v>34990</v>
      </c>
      <c r="B4049" t="s">
        <v>198</v>
      </c>
    </row>
    <row r="4050" spans="1:2">
      <c r="A4050">
        <v>34994</v>
      </c>
      <c r="B4050" t="s">
        <v>198</v>
      </c>
    </row>
    <row r="4051" spans="1:2">
      <c r="A4051">
        <v>34996</v>
      </c>
      <c r="B4051" t="s">
        <v>198</v>
      </c>
    </row>
    <row r="4052" spans="1:2">
      <c r="A4052">
        <v>73065</v>
      </c>
      <c r="B4052" t="s">
        <v>198</v>
      </c>
    </row>
    <row r="4053" spans="1:2">
      <c r="A4053">
        <v>73097</v>
      </c>
      <c r="B4053" t="s">
        <v>198</v>
      </c>
    </row>
    <row r="4054" spans="1:2">
      <c r="A4054">
        <v>73169</v>
      </c>
      <c r="B4054" t="s">
        <v>198</v>
      </c>
    </row>
    <row r="4055" spans="1:2">
      <c r="A4055">
        <v>73173</v>
      </c>
      <c r="B4055" t="s">
        <v>198</v>
      </c>
    </row>
    <row r="4056" spans="1:2">
      <c r="A4056">
        <v>73072</v>
      </c>
      <c r="B4056" t="s">
        <v>198</v>
      </c>
    </row>
    <row r="4057" spans="1:2">
      <c r="A4057">
        <v>73069</v>
      </c>
      <c r="B4057" t="s">
        <v>198</v>
      </c>
    </row>
    <row r="4058" spans="1:2">
      <c r="A4058">
        <v>73068</v>
      </c>
      <c r="B4058" t="s">
        <v>198</v>
      </c>
    </row>
    <row r="4059" spans="1:2">
      <c r="A4059">
        <v>73071</v>
      </c>
      <c r="B4059" t="s">
        <v>198</v>
      </c>
    </row>
    <row r="4060" spans="1:2">
      <c r="A4060">
        <v>73064</v>
      </c>
      <c r="B4060" t="s">
        <v>198</v>
      </c>
    </row>
    <row r="4061" spans="1:2">
      <c r="A4061">
        <v>73099</v>
      </c>
      <c r="B4061" t="s">
        <v>198</v>
      </c>
    </row>
    <row r="4062" spans="1:2">
      <c r="A4062">
        <v>73078</v>
      </c>
      <c r="B4062" t="s">
        <v>198</v>
      </c>
    </row>
    <row r="4063" spans="1:2">
      <c r="A4063">
        <v>73142</v>
      </c>
      <c r="B4063" t="s">
        <v>198</v>
      </c>
    </row>
    <row r="4064" spans="1:2">
      <c r="A4064">
        <v>73012</v>
      </c>
      <c r="B4064" t="s">
        <v>198</v>
      </c>
    </row>
    <row r="4065" spans="1:2">
      <c r="A4065">
        <v>73003</v>
      </c>
      <c r="B4065" t="s">
        <v>198</v>
      </c>
    </row>
    <row r="4066" spans="1:2">
      <c r="A4066">
        <v>73025</v>
      </c>
      <c r="B4066" t="s">
        <v>198</v>
      </c>
    </row>
    <row r="4067" spans="1:2">
      <c r="A4067">
        <v>73034</v>
      </c>
      <c r="B4067" t="s">
        <v>198</v>
      </c>
    </row>
    <row r="4068" spans="1:2">
      <c r="A4068">
        <v>73013</v>
      </c>
      <c r="B4068" t="s">
        <v>198</v>
      </c>
    </row>
    <row r="4069" spans="1:2">
      <c r="A4069">
        <v>73114</v>
      </c>
      <c r="B4069" t="s">
        <v>198</v>
      </c>
    </row>
    <row r="4070" spans="1:2">
      <c r="A4070">
        <v>73131</v>
      </c>
      <c r="B4070" t="s">
        <v>198</v>
      </c>
    </row>
    <row r="4071" spans="1:2">
      <c r="A4071">
        <v>73134</v>
      </c>
      <c r="B4071" t="s">
        <v>198</v>
      </c>
    </row>
    <row r="4072" spans="1:2">
      <c r="A4072">
        <v>73162</v>
      </c>
      <c r="B4072" t="s">
        <v>198</v>
      </c>
    </row>
    <row r="4073" spans="1:2">
      <c r="A4073">
        <v>73120</v>
      </c>
      <c r="B4073" t="s">
        <v>198</v>
      </c>
    </row>
    <row r="4074" spans="1:2">
      <c r="A4074">
        <v>73122</v>
      </c>
      <c r="B4074" t="s">
        <v>198</v>
      </c>
    </row>
    <row r="4075" spans="1:2">
      <c r="A4075">
        <v>73132</v>
      </c>
      <c r="B4075" t="s">
        <v>198</v>
      </c>
    </row>
    <row r="4076" spans="1:2">
      <c r="A4076">
        <v>73112</v>
      </c>
      <c r="B4076" t="s">
        <v>198</v>
      </c>
    </row>
    <row r="4077" spans="1:2">
      <c r="A4077">
        <v>73116</v>
      </c>
      <c r="B4077" t="s">
        <v>198</v>
      </c>
    </row>
    <row r="4078" spans="1:2">
      <c r="A4078">
        <v>73008</v>
      </c>
      <c r="B4078" t="s">
        <v>198</v>
      </c>
    </row>
    <row r="4079" spans="1:2">
      <c r="A4079">
        <v>73127</v>
      </c>
      <c r="B4079" t="s">
        <v>198</v>
      </c>
    </row>
    <row r="4080" spans="1:2">
      <c r="A4080">
        <v>73128</v>
      </c>
      <c r="B4080" t="s">
        <v>198</v>
      </c>
    </row>
    <row r="4081" spans="1:2">
      <c r="A4081">
        <v>73179</v>
      </c>
      <c r="B4081" t="s">
        <v>198</v>
      </c>
    </row>
    <row r="4082" spans="1:2">
      <c r="A4082">
        <v>73107</v>
      </c>
      <c r="B4082" t="s">
        <v>198</v>
      </c>
    </row>
    <row r="4083" spans="1:2">
      <c r="A4083">
        <v>73108</v>
      </c>
      <c r="B4083" t="s">
        <v>198</v>
      </c>
    </row>
    <row r="4084" spans="1:2">
      <c r="A4084">
        <v>73119</v>
      </c>
      <c r="B4084" t="s">
        <v>198</v>
      </c>
    </row>
    <row r="4085" spans="1:2">
      <c r="A4085">
        <v>73102</v>
      </c>
      <c r="B4085" t="s">
        <v>198</v>
      </c>
    </row>
    <row r="4086" spans="1:2">
      <c r="A4086">
        <v>73103</v>
      </c>
      <c r="B4086" t="s">
        <v>198</v>
      </c>
    </row>
    <row r="4087" spans="1:2">
      <c r="A4087">
        <v>73106</v>
      </c>
      <c r="B4087" t="s">
        <v>198</v>
      </c>
    </row>
    <row r="4088" spans="1:2">
      <c r="A4088">
        <v>73118</v>
      </c>
      <c r="B4088" t="s">
        <v>198</v>
      </c>
    </row>
    <row r="4089" spans="1:2">
      <c r="A4089">
        <v>73109</v>
      </c>
      <c r="B4089" t="s">
        <v>198</v>
      </c>
    </row>
    <row r="4090" spans="1:2">
      <c r="A4090">
        <v>73139</v>
      </c>
      <c r="B4090" t="s">
        <v>198</v>
      </c>
    </row>
    <row r="4091" spans="1:2">
      <c r="A4091">
        <v>73159</v>
      </c>
      <c r="B4091" t="s">
        <v>198</v>
      </c>
    </row>
    <row r="4092" spans="1:2">
      <c r="A4092">
        <v>73170</v>
      </c>
      <c r="B4092" t="s">
        <v>198</v>
      </c>
    </row>
    <row r="4093" spans="1:2">
      <c r="A4093">
        <v>73160</v>
      </c>
      <c r="B4093" t="s">
        <v>198</v>
      </c>
    </row>
    <row r="4094" spans="1:2">
      <c r="A4094">
        <v>73104</v>
      </c>
      <c r="B4094" t="s">
        <v>198</v>
      </c>
    </row>
    <row r="4095" spans="1:2">
      <c r="A4095">
        <v>73105</v>
      </c>
      <c r="B4095" t="s">
        <v>198</v>
      </c>
    </row>
    <row r="4096" spans="1:2">
      <c r="A4096">
        <v>73111</v>
      </c>
      <c r="B4096" t="s">
        <v>198</v>
      </c>
    </row>
    <row r="4097" spans="1:2">
      <c r="A4097">
        <v>73117</v>
      </c>
      <c r="B4097" t="s">
        <v>198</v>
      </c>
    </row>
    <row r="4098" spans="1:2">
      <c r="A4098">
        <v>73129</v>
      </c>
      <c r="B4098" t="s">
        <v>198</v>
      </c>
    </row>
    <row r="4099" spans="1:2">
      <c r="A4099">
        <v>73135</v>
      </c>
      <c r="B4099" t="s">
        <v>198</v>
      </c>
    </row>
    <row r="4100" spans="1:2">
      <c r="A4100">
        <v>73149</v>
      </c>
      <c r="B4100" t="s">
        <v>198</v>
      </c>
    </row>
    <row r="4101" spans="1:2">
      <c r="A4101">
        <v>73150</v>
      </c>
      <c r="B4101" t="s">
        <v>198</v>
      </c>
    </row>
    <row r="4102" spans="1:2">
      <c r="A4102">
        <v>73165</v>
      </c>
      <c r="B4102" t="s">
        <v>198</v>
      </c>
    </row>
    <row r="4103" spans="1:2">
      <c r="A4103">
        <v>73020</v>
      </c>
      <c r="B4103" t="s">
        <v>198</v>
      </c>
    </row>
    <row r="4104" spans="1:2">
      <c r="A4104">
        <v>73066</v>
      </c>
      <c r="B4104" t="s">
        <v>198</v>
      </c>
    </row>
    <row r="4105" spans="1:2">
      <c r="A4105">
        <v>73084</v>
      </c>
      <c r="B4105" t="s">
        <v>198</v>
      </c>
    </row>
    <row r="4106" spans="1:2">
      <c r="A4106">
        <v>73121</v>
      </c>
      <c r="B4106" t="s">
        <v>198</v>
      </c>
    </row>
    <row r="4107" spans="1:2">
      <c r="A4107">
        <v>73130</v>
      </c>
      <c r="B4107" t="s">
        <v>198</v>
      </c>
    </row>
    <row r="4108" spans="1:2">
      <c r="A4108">
        <v>73141</v>
      </c>
      <c r="B4108" t="s">
        <v>198</v>
      </c>
    </row>
    <row r="4109" spans="1:2">
      <c r="A4109">
        <v>73151</v>
      </c>
      <c r="B4109" t="s">
        <v>198</v>
      </c>
    </row>
    <row r="4110" spans="1:2">
      <c r="A4110">
        <v>85078</v>
      </c>
      <c r="B4110" t="s">
        <v>198</v>
      </c>
    </row>
    <row r="4111" spans="1:2">
      <c r="A4111">
        <v>85046</v>
      </c>
      <c r="B4111" t="s">
        <v>198</v>
      </c>
    </row>
    <row r="4112" spans="1:2">
      <c r="A4112">
        <v>85071</v>
      </c>
      <c r="B4112" t="s">
        <v>198</v>
      </c>
    </row>
    <row r="4113" spans="1:2">
      <c r="A4113">
        <v>85068</v>
      </c>
      <c r="B4113" t="s">
        <v>198</v>
      </c>
    </row>
    <row r="4114" spans="1:2">
      <c r="A4114">
        <v>85080</v>
      </c>
      <c r="B4114" t="s">
        <v>198</v>
      </c>
    </row>
    <row r="4115" spans="1:2">
      <c r="A4115">
        <v>85385</v>
      </c>
      <c r="B4115" t="s">
        <v>198</v>
      </c>
    </row>
    <row r="4116" spans="1:2">
      <c r="A4116">
        <v>85376</v>
      </c>
      <c r="B4116" t="s">
        <v>198</v>
      </c>
    </row>
    <row r="4117" spans="1:2">
      <c r="A4117">
        <v>85312</v>
      </c>
      <c r="B4117" t="s">
        <v>198</v>
      </c>
    </row>
    <row r="4118" spans="1:2">
      <c r="A4118">
        <v>85311</v>
      </c>
      <c r="B4118" t="s">
        <v>198</v>
      </c>
    </row>
    <row r="4119" spans="1:2">
      <c r="A4119">
        <v>85005</v>
      </c>
      <c r="B4119" t="s">
        <v>198</v>
      </c>
    </row>
    <row r="4120" spans="1:2">
      <c r="A4120">
        <v>85329</v>
      </c>
      <c r="B4120" t="s">
        <v>198</v>
      </c>
    </row>
    <row r="4121" spans="1:2">
      <c r="A4121">
        <v>85372</v>
      </c>
      <c r="B4121" t="s">
        <v>198</v>
      </c>
    </row>
    <row r="4122" spans="1:2">
      <c r="A4122">
        <v>85066</v>
      </c>
      <c r="B4122" t="s">
        <v>198</v>
      </c>
    </row>
    <row r="4123" spans="1:2">
      <c r="A4123">
        <v>85076</v>
      </c>
      <c r="B4123" t="s">
        <v>198</v>
      </c>
    </row>
    <row r="4124" spans="1:2">
      <c r="A4124">
        <v>85127</v>
      </c>
      <c r="B4124" t="s">
        <v>198</v>
      </c>
    </row>
    <row r="4125" spans="1:2">
      <c r="A4125">
        <v>85211</v>
      </c>
      <c r="B4125" t="s">
        <v>198</v>
      </c>
    </row>
    <row r="4126" spans="1:2">
      <c r="A4126">
        <v>85275</v>
      </c>
      <c r="B4126" t="s">
        <v>198</v>
      </c>
    </row>
    <row r="4127" spans="1:2">
      <c r="A4127">
        <v>85274</v>
      </c>
      <c r="B4127" t="s">
        <v>198</v>
      </c>
    </row>
    <row r="4128" spans="1:2">
      <c r="A4128">
        <v>85214</v>
      </c>
      <c r="B4128" t="s">
        <v>198</v>
      </c>
    </row>
    <row r="4129" spans="1:2">
      <c r="A4129">
        <v>85246</v>
      </c>
      <c r="B4129" t="s">
        <v>198</v>
      </c>
    </row>
    <row r="4130" spans="1:2">
      <c r="A4130">
        <v>85216</v>
      </c>
      <c r="B4130" t="s">
        <v>198</v>
      </c>
    </row>
    <row r="4131" spans="1:2">
      <c r="A4131">
        <v>85299</v>
      </c>
      <c r="B4131" t="s">
        <v>198</v>
      </c>
    </row>
    <row r="4132" spans="1:2">
      <c r="A4132">
        <v>85236</v>
      </c>
      <c r="B4132" t="s">
        <v>198</v>
      </c>
    </row>
    <row r="4133" spans="1:2">
      <c r="A4133">
        <v>85244</v>
      </c>
      <c r="B4133" t="s">
        <v>198</v>
      </c>
    </row>
    <row r="4134" spans="1:2">
      <c r="A4134">
        <v>85067</v>
      </c>
      <c r="B4134" t="s">
        <v>198</v>
      </c>
    </row>
    <row r="4135" spans="1:2">
      <c r="A4135">
        <v>85011</v>
      </c>
      <c r="B4135" t="s">
        <v>198</v>
      </c>
    </row>
    <row r="4136" spans="1:2">
      <c r="A4136">
        <v>85064</v>
      </c>
      <c r="B4136" t="s">
        <v>198</v>
      </c>
    </row>
    <row r="4137" spans="1:2">
      <c r="A4137">
        <v>85060</v>
      </c>
      <c r="B4137" t="s">
        <v>198</v>
      </c>
    </row>
    <row r="4138" spans="1:2">
      <c r="A4138">
        <v>85010</v>
      </c>
      <c r="B4138" t="s">
        <v>198</v>
      </c>
    </row>
    <row r="4139" spans="1:2">
      <c r="A4139">
        <v>85026</v>
      </c>
      <c r="B4139" t="s">
        <v>198</v>
      </c>
    </row>
    <row r="4140" spans="1:2">
      <c r="A4140">
        <v>85063</v>
      </c>
      <c r="B4140" t="s">
        <v>198</v>
      </c>
    </row>
    <row r="4141" spans="1:2">
      <c r="A4141">
        <v>85061</v>
      </c>
      <c r="B4141" t="s">
        <v>198</v>
      </c>
    </row>
    <row r="4142" spans="1:2">
      <c r="A4142">
        <v>85267</v>
      </c>
      <c r="B4142" t="s">
        <v>198</v>
      </c>
    </row>
    <row r="4143" spans="1:2">
      <c r="A4143">
        <v>85252</v>
      </c>
      <c r="B4143" t="s">
        <v>198</v>
      </c>
    </row>
    <row r="4144" spans="1:2">
      <c r="A4144">
        <v>85271</v>
      </c>
      <c r="B4144" t="s">
        <v>198</v>
      </c>
    </row>
    <row r="4145" spans="1:2">
      <c r="A4145">
        <v>85269</v>
      </c>
      <c r="B4145" t="s">
        <v>198</v>
      </c>
    </row>
    <row r="4146" spans="1:2">
      <c r="A4146">
        <v>85277</v>
      </c>
      <c r="B4146" t="s">
        <v>198</v>
      </c>
    </row>
    <row r="4147" spans="1:2">
      <c r="A4147">
        <v>85280</v>
      </c>
      <c r="B4147" t="s">
        <v>198</v>
      </c>
    </row>
    <row r="4148" spans="1:2">
      <c r="A4148">
        <v>85287</v>
      </c>
      <c r="B4148" t="s">
        <v>198</v>
      </c>
    </row>
    <row r="4149" spans="1:2">
      <c r="A4149">
        <v>85285</v>
      </c>
      <c r="B4149" t="s">
        <v>198</v>
      </c>
    </row>
    <row r="4150" spans="1:2">
      <c r="A4150">
        <v>85338</v>
      </c>
      <c r="B4150" t="s">
        <v>198</v>
      </c>
    </row>
    <row r="4151" spans="1:2">
      <c r="A4151">
        <v>85396</v>
      </c>
      <c r="B4151" t="s">
        <v>198</v>
      </c>
    </row>
    <row r="4152" spans="1:2">
      <c r="A4152">
        <v>21233</v>
      </c>
      <c r="B4152" t="s">
        <v>198</v>
      </c>
    </row>
    <row r="4153" spans="1:2">
      <c r="A4153">
        <v>21263</v>
      </c>
      <c r="B4153" t="s">
        <v>198</v>
      </c>
    </row>
    <row r="4154" spans="1:2">
      <c r="A4154">
        <v>21273</v>
      </c>
      <c r="B4154" t="s">
        <v>198</v>
      </c>
    </row>
    <row r="4155" spans="1:2">
      <c r="A4155">
        <v>21275</v>
      </c>
      <c r="B4155" t="s">
        <v>198</v>
      </c>
    </row>
    <row r="4156" spans="1:2">
      <c r="A4156">
        <v>21278</v>
      </c>
      <c r="B4156" t="s">
        <v>198</v>
      </c>
    </row>
    <row r="4157" spans="1:2">
      <c r="A4157">
        <v>21279</v>
      </c>
      <c r="B4157" t="s">
        <v>198</v>
      </c>
    </row>
    <row r="4158" spans="1:2">
      <c r="A4158">
        <v>21297</v>
      </c>
      <c r="B4158" t="s">
        <v>198</v>
      </c>
    </row>
    <row r="4159" spans="1:2">
      <c r="A4159">
        <v>21298</v>
      </c>
      <c r="B4159" t="s">
        <v>198</v>
      </c>
    </row>
    <row r="4160" spans="1:2">
      <c r="A4160">
        <v>21139</v>
      </c>
      <c r="B4160" t="s">
        <v>198</v>
      </c>
    </row>
    <row r="4161" spans="1:2">
      <c r="A4161">
        <v>21270</v>
      </c>
      <c r="B4161" t="s">
        <v>198</v>
      </c>
    </row>
    <row r="4162" spans="1:2">
      <c r="A4162">
        <v>21282</v>
      </c>
      <c r="B4162" t="s">
        <v>198</v>
      </c>
    </row>
    <row r="4163" spans="1:2">
      <c r="A4163">
        <v>21285</v>
      </c>
      <c r="B4163" t="s">
        <v>198</v>
      </c>
    </row>
    <row r="4164" spans="1:2">
      <c r="A4164">
        <v>21290</v>
      </c>
      <c r="B4164" t="s">
        <v>198</v>
      </c>
    </row>
    <row r="4165" spans="1:2">
      <c r="A4165">
        <v>21264</v>
      </c>
      <c r="B4165" t="s">
        <v>198</v>
      </c>
    </row>
    <row r="4166" spans="1:2">
      <c r="A4166">
        <v>20719</v>
      </c>
      <c r="B4166" t="s">
        <v>198</v>
      </c>
    </row>
    <row r="4167" spans="1:2">
      <c r="A4167">
        <v>20741</v>
      </c>
      <c r="B4167" t="s">
        <v>198</v>
      </c>
    </row>
    <row r="4168" spans="1:2">
      <c r="A4168">
        <v>20697</v>
      </c>
      <c r="B4168" t="s">
        <v>198</v>
      </c>
    </row>
    <row r="4169" spans="1:2">
      <c r="A4169">
        <v>20704</v>
      </c>
      <c r="B4169" t="s">
        <v>198</v>
      </c>
    </row>
    <row r="4170" spans="1:2">
      <c r="A4170">
        <v>20726</v>
      </c>
      <c r="B4170" t="s">
        <v>198</v>
      </c>
    </row>
    <row r="4171" spans="1:2">
      <c r="A4171">
        <v>20797</v>
      </c>
      <c r="B4171" t="s">
        <v>198</v>
      </c>
    </row>
    <row r="4172" spans="1:2">
      <c r="A4172">
        <v>20847</v>
      </c>
      <c r="B4172" t="s">
        <v>198</v>
      </c>
    </row>
    <row r="4173" spans="1:2">
      <c r="A4173">
        <v>20848</v>
      </c>
      <c r="B4173" t="s">
        <v>198</v>
      </c>
    </row>
    <row r="4174" spans="1:2">
      <c r="A4174">
        <v>20857</v>
      </c>
      <c r="B4174" t="s">
        <v>198</v>
      </c>
    </row>
    <row r="4175" spans="1:2">
      <c r="A4175">
        <v>20907</v>
      </c>
      <c r="B4175" t="s">
        <v>198</v>
      </c>
    </row>
    <row r="4176" spans="1:2">
      <c r="A4176">
        <v>20911</v>
      </c>
      <c r="B4176" t="s">
        <v>198</v>
      </c>
    </row>
    <row r="4177" spans="1:2">
      <c r="A4177">
        <v>20918</v>
      </c>
      <c r="B4177" t="s">
        <v>198</v>
      </c>
    </row>
    <row r="4178" spans="1:2">
      <c r="A4178">
        <v>20830</v>
      </c>
      <c r="B4178" t="s">
        <v>198</v>
      </c>
    </row>
    <row r="4179" spans="1:2">
      <c r="A4179">
        <v>20884</v>
      </c>
      <c r="B4179" t="s">
        <v>198</v>
      </c>
    </row>
    <row r="4180" spans="1:2">
      <c r="A4180">
        <v>20885</v>
      </c>
      <c r="B4180" t="s">
        <v>198</v>
      </c>
    </row>
    <row r="4181" spans="1:2">
      <c r="A4181">
        <v>20898</v>
      </c>
      <c r="B4181" t="s">
        <v>198</v>
      </c>
    </row>
    <row r="4182" spans="1:2">
      <c r="A4182">
        <v>20859</v>
      </c>
      <c r="B4182" t="s">
        <v>198</v>
      </c>
    </row>
    <row r="4183" spans="1:2">
      <c r="A4183">
        <v>20875</v>
      </c>
      <c r="B4183" t="s">
        <v>198</v>
      </c>
    </row>
    <row r="4184" spans="1:2">
      <c r="A4184">
        <v>20883</v>
      </c>
      <c r="B4184" t="s">
        <v>198</v>
      </c>
    </row>
    <row r="4185" spans="1:2">
      <c r="A4185">
        <v>20899</v>
      </c>
      <c r="B4185" t="s">
        <v>198</v>
      </c>
    </row>
    <row r="4186" spans="1:2">
      <c r="A4186">
        <v>20827</v>
      </c>
      <c r="B4186" t="s">
        <v>198</v>
      </c>
    </row>
    <row r="4187" spans="1:2">
      <c r="A4187">
        <v>20196</v>
      </c>
      <c r="B4187" t="s">
        <v>198</v>
      </c>
    </row>
    <row r="4188" spans="1:2">
      <c r="A4188">
        <v>95620</v>
      </c>
      <c r="B4188" t="s">
        <v>198</v>
      </c>
    </row>
    <row r="4189" spans="1:2">
      <c r="A4189">
        <v>95695</v>
      </c>
      <c r="B4189" t="s">
        <v>198</v>
      </c>
    </row>
    <row r="4190" spans="1:2">
      <c r="A4190">
        <v>95776</v>
      </c>
      <c r="B4190" t="s">
        <v>198</v>
      </c>
    </row>
    <row r="4191" spans="1:2">
      <c r="A4191">
        <v>95648</v>
      </c>
      <c r="B4191" t="s">
        <v>198</v>
      </c>
    </row>
    <row r="4192" spans="1:2">
      <c r="A4192">
        <v>95632</v>
      </c>
      <c r="B4192" t="s">
        <v>198</v>
      </c>
    </row>
    <row r="4193" spans="1:2">
      <c r="A4193">
        <v>95242</v>
      </c>
      <c r="B4193" t="s">
        <v>198</v>
      </c>
    </row>
    <row r="4194" spans="1:2">
      <c r="A4194">
        <v>95240</v>
      </c>
      <c r="B4194" t="s">
        <v>198</v>
      </c>
    </row>
    <row r="4195" spans="1:2">
      <c r="A4195">
        <v>92008</v>
      </c>
      <c r="B4195" t="s">
        <v>198</v>
      </c>
    </row>
    <row r="4196" spans="1:2">
      <c r="A4196">
        <v>92010</v>
      </c>
      <c r="B4196" t="s">
        <v>198</v>
      </c>
    </row>
    <row r="4197" spans="1:2">
      <c r="A4197">
        <v>92011</v>
      </c>
      <c r="B4197" t="s">
        <v>198</v>
      </c>
    </row>
    <row r="4198" spans="1:2">
      <c r="A4198">
        <v>80040</v>
      </c>
      <c r="B4198" t="s">
        <v>198</v>
      </c>
    </row>
    <row r="4199" spans="1:2">
      <c r="A4199">
        <v>80042</v>
      </c>
      <c r="B4199" t="s">
        <v>198</v>
      </c>
    </row>
    <row r="4200" spans="1:2">
      <c r="A4200">
        <v>80045</v>
      </c>
      <c r="B4200" t="s">
        <v>198</v>
      </c>
    </row>
    <row r="4201" spans="1:2">
      <c r="A4201">
        <v>80010</v>
      </c>
      <c r="B4201" t="s">
        <v>198</v>
      </c>
    </row>
    <row r="4202" spans="1:2">
      <c r="A4202">
        <v>80011</v>
      </c>
      <c r="B4202" t="s">
        <v>198</v>
      </c>
    </row>
    <row r="4203" spans="1:2">
      <c r="A4203">
        <v>80047</v>
      </c>
      <c r="B4203" t="s">
        <v>198</v>
      </c>
    </row>
    <row r="4204" spans="1:2">
      <c r="A4204">
        <v>80041</v>
      </c>
      <c r="B4204" t="s">
        <v>198</v>
      </c>
    </row>
    <row r="4205" spans="1:2">
      <c r="A4205">
        <v>80044</v>
      </c>
      <c r="B4205" t="s">
        <v>198</v>
      </c>
    </row>
    <row r="4206" spans="1:2">
      <c r="A4206">
        <v>80012</v>
      </c>
      <c r="B4206" t="s">
        <v>198</v>
      </c>
    </row>
    <row r="4207" spans="1:2">
      <c r="A4207">
        <v>80017</v>
      </c>
      <c r="B4207" t="s">
        <v>198</v>
      </c>
    </row>
    <row r="4208" spans="1:2">
      <c r="A4208">
        <v>80014</v>
      </c>
      <c r="B4208" t="s">
        <v>198</v>
      </c>
    </row>
    <row r="4209" spans="1:2">
      <c r="A4209">
        <v>80013</v>
      </c>
      <c r="B4209" t="s">
        <v>198</v>
      </c>
    </row>
    <row r="4210" spans="1:2">
      <c r="A4210">
        <v>80046</v>
      </c>
      <c r="B4210" t="s">
        <v>198</v>
      </c>
    </row>
    <row r="4211" spans="1:2">
      <c r="A4211">
        <v>80015</v>
      </c>
      <c r="B4211" t="s">
        <v>198</v>
      </c>
    </row>
    <row r="4212" spans="1:2">
      <c r="A4212">
        <v>80016</v>
      </c>
      <c r="B4212" t="s">
        <v>198</v>
      </c>
    </row>
    <row r="4213" spans="1:2">
      <c r="A4213">
        <v>80603</v>
      </c>
      <c r="B4213" t="s">
        <v>198</v>
      </c>
    </row>
    <row r="4214" spans="1:2">
      <c r="A4214">
        <v>80601</v>
      </c>
      <c r="B4214" t="s">
        <v>198</v>
      </c>
    </row>
    <row r="4215" spans="1:2">
      <c r="A4215">
        <v>80023</v>
      </c>
      <c r="B4215" t="s">
        <v>198</v>
      </c>
    </row>
    <row r="4216" spans="1:2">
      <c r="A4216">
        <v>80602</v>
      </c>
      <c r="B4216" t="s">
        <v>198</v>
      </c>
    </row>
    <row r="4217" spans="1:2">
      <c r="A4217">
        <v>80026</v>
      </c>
      <c r="B4217" t="s">
        <v>198</v>
      </c>
    </row>
    <row r="4218" spans="1:2">
      <c r="A4218">
        <v>80516</v>
      </c>
      <c r="B4218" t="s">
        <v>198</v>
      </c>
    </row>
    <row r="4219" spans="1:2">
      <c r="A4219">
        <v>80038</v>
      </c>
      <c r="B4219" t="s">
        <v>198</v>
      </c>
    </row>
    <row r="4220" spans="1:2">
      <c r="A4220">
        <v>80027</v>
      </c>
      <c r="B4220" t="s">
        <v>198</v>
      </c>
    </row>
    <row r="4221" spans="1:2">
      <c r="A4221">
        <v>80020</v>
      </c>
      <c r="B4221" t="s">
        <v>198</v>
      </c>
    </row>
    <row r="4222" spans="1:2">
      <c r="A4222">
        <v>80006</v>
      </c>
      <c r="B4222" t="s">
        <v>198</v>
      </c>
    </row>
    <row r="4223" spans="1:2">
      <c r="A4223">
        <v>80035</v>
      </c>
      <c r="B4223" t="s">
        <v>198</v>
      </c>
    </row>
    <row r="4224" spans="1:2">
      <c r="A4224">
        <v>80036</v>
      </c>
      <c r="B4224" t="s">
        <v>198</v>
      </c>
    </row>
    <row r="4225" spans="1:2">
      <c r="A4225">
        <v>80030</v>
      </c>
      <c r="B4225" t="s">
        <v>198</v>
      </c>
    </row>
    <row r="4226" spans="1:2">
      <c r="A4226">
        <v>80003</v>
      </c>
      <c r="B4226" t="s">
        <v>198</v>
      </c>
    </row>
    <row r="4227" spans="1:2">
      <c r="A4227">
        <v>80031</v>
      </c>
      <c r="B4227" t="s">
        <v>198</v>
      </c>
    </row>
    <row r="4228" spans="1:2">
      <c r="A4228">
        <v>80034</v>
      </c>
      <c r="B4228" t="s">
        <v>198</v>
      </c>
    </row>
    <row r="4229" spans="1:2">
      <c r="A4229">
        <v>80001</v>
      </c>
      <c r="B4229" t="s">
        <v>198</v>
      </c>
    </row>
    <row r="4230" spans="1:2">
      <c r="A4230">
        <v>80002</v>
      </c>
      <c r="B4230" t="s">
        <v>198</v>
      </c>
    </row>
    <row r="4231" spans="1:2">
      <c r="A4231">
        <v>80033</v>
      </c>
      <c r="B4231" t="s">
        <v>198</v>
      </c>
    </row>
    <row r="4232" spans="1:2">
      <c r="A4232">
        <v>80004</v>
      </c>
      <c r="B4232" t="s">
        <v>198</v>
      </c>
    </row>
    <row r="4233" spans="1:2">
      <c r="A4233">
        <v>80403</v>
      </c>
      <c r="B4233" t="s">
        <v>198</v>
      </c>
    </row>
    <row r="4234" spans="1:2">
      <c r="A4234">
        <v>80007</v>
      </c>
      <c r="B4234" t="s">
        <v>198</v>
      </c>
    </row>
    <row r="4235" spans="1:2">
      <c r="A4235">
        <v>80005</v>
      </c>
      <c r="B4235" t="s">
        <v>198</v>
      </c>
    </row>
    <row r="4236" spans="1:2">
      <c r="A4236">
        <v>80021</v>
      </c>
      <c r="B4236" t="s">
        <v>198</v>
      </c>
    </row>
    <row r="4237" spans="1:2">
      <c r="A4237">
        <v>80307</v>
      </c>
      <c r="B4237" t="s">
        <v>198</v>
      </c>
    </row>
    <row r="4238" spans="1:2">
      <c r="A4238">
        <v>80308</v>
      </c>
      <c r="B4238" t="s">
        <v>198</v>
      </c>
    </row>
    <row r="4239" spans="1:2">
      <c r="A4239">
        <v>80310</v>
      </c>
      <c r="B4239" t="s">
        <v>198</v>
      </c>
    </row>
    <row r="4240" spans="1:2">
      <c r="A4240">
        <v>80314</v>
      </c>
      <c r="B4240" t="s">
        <v>198</v>
      </c>
    </row>
    <row r="4241" spans="1:2">
      <c r="A4241">
        <v>80305</v>
      </c>
      <c r="B4241" t="s">
        <v>198</v>
      </c>
    </row>
    <row r="4242" spans="1:2">
      <c r="A4242">
        <v>80303</v>
      </c>
      <c r="B4242" t="s">
        <v>198</v>
      </c>
    </row>
    <row r="4243" spans="1:2">
      <c r="A4243">
        <v>80304</v>
      </c>
      <c r="B4243" t="s">
        <v>198</v>
      </c>
    </row>
    <row r="4244" spans="1:2">
      <c r="A4244">
        <v>80301</v>
      </c>
      <c r="B4244" t="s">
        <v>198</v>
      </c>
    </row>
    <row r="4245" spans="1:2">
      <c r="A4245">
        <v>80150</v>
      </c>
      <c r="B4245" t="s">
        <v>198</v>
      </c>
    </row>
    <row r="4246" spans="1:2">
      <c r="A4246">
        <v>80110</v>
      </c>
      <c r="B4246" t="s">
        <v>198</v>
      </c>
    </row>
    <row r="4247" spans="1:2">
      <c r="A4247">
        <v>80113</v>
      </c>
      <c r="B4247" t="s">
        <v>198</v>
      </c>
    </row>
    <row r="4248" spans="1:2">
      <c r="A4248">
        <v>80160</v>
      </c>
      <c r="B4248" t="s">
        <v>198</v>
      </c>
    </row>
    <row r="4249" spans="1:2">
      <c r="A4249">
        <v>80165</v>
      </c>
      <c r="B4249" t="s">
        <v>198</v>
      </c>
    </row>
    <row r="4250" spans="1:2">
      <c r="A4250">
        <v>80166</v>
      </c>
      <c r="B4250" t="s">
        <v>198</v>
      </c>
    </row>
    <row r="4251" spans="1:2">
      <c r="A4251">
        <v>80161</v>
      </c>
      <c r="B4251" t="s">
        <v>198</v>
      </c>
    </row>
    <row r="4252" spans="1:2">
      <c r="A4252">
        <v>80121</v>
      </c>
      <c r="B4252" t="s">
        <v>198</v>
      </c>
    </row>
    <row r="4253" spans="1:2">
      <c r="A4253">
        <v>80120</v>
      </c>
      <c r="B4253" t="s">
        <v>198</v>
      </c>
    </row>
    <row r="4254" spans="1:2">
      <c r="A4254">
        <v>80122</v>
      </c>
      <c r="B4254" t="s">
        <v>198</v>
      </c>
    </row>
    <row r="4255" spans="1:2">
      <c r="A4255">
        <v>80151</v>
      </c>
      <c r="B4255" t="s">
        <v>198</v>
      </c>
    </row>
    <row r="4256" spans="1:2">
      <c r="A4256">
        <v>80155</v>
      </c>
      <c r="B4256" t="s">
        <v>198</v>
      </c>
    </row>
    <row r="4257" spans="1:2">
      <c r="A4257">
        <v>80112</v>
      </c>
      <c r="B4257" t="s">
        <v>198</v>
      </c>
    </row>
    <row r="4258" spans="1:2">
      <c r="A4258">
        <v>80111</v>
      </c>
      <c r="B4258" t="s">
        <v>198</v>
      </c>
    </row>
    <row r="4259" spans="1:2">
      <c r="A4259">
        <v>80163</v>
      </c>
      <c r="B4259" t="s">
        <v>198</v>
      </c>
    </row>
    <row r="4260" spans="1:2">
      <c r="A4260">
        <v>80130</v>
      </c>
      <c r="B4260" t="s">
        <v>198</v>
      </c>
    </row>
    <row r="4261" spans="1:2">
      <c r="A4261">
        <v>80124</v>
      </c>
      <c r="B4261" t="s">
        <v>198</v>
      </c>
    </row>
    <row r="4262" spans="1:2">
      <c r="A4262">
        <v>80126</v>
      </c>
      <c r="B4262" t="s">
        <v>198</v>
      </c>
    </row>
    <row r="4263" spans="1:2">
      <c r="A4263">
        <v>80129</v>
      </c>
      <c r="B4263" t="s">
        <v>198</v>
      </c>
    </row>
    <row r="4264" spans="1:2">
      <c r="A4264">
        <v>80128</v>
      </c>
      <c r="B4264" t="s">
        <v>198</v>
      </c>
    </row>
    <row r="4265" spans="1:2">
      <c r="A4265">
        <v>80123</v>
      </c>
      <c r="B4265" t="s">
        <v>198</v>
      </c>
    </row>
    <row r="4266" spans="1:2">
      <c r="A4266">
        <v>80162</v>
      </c>
      <c r="B4266" t="s">
        <v>198</v>
      </c>
    </row>
    <row r="4267" spans="1:2">
      <c r="A4267">
        <v>80109</v>
      </c>
      <c r="B4267" t="s">
        <v>198</v>
      </c>
    </row>
    <row r="4268" spans="1:2">
      <c r="A4268">
        <v>80108</v>
      </c>
      <c r="B4268" t="s">
        <v>198</v>
      </c>
    </row>
    <row r="4269" spans="1:2">
      <c r="A4269">
        <v>80104</v>
      </c>
      <c r="B4269" t="s">
        <v>198</v>
      </c>
    </row>
    <row r="4270" spans="1:2">
      <c r="A4270">
        <v>80138</v>
      </c>
      <c r="B4270" t="s">
        <v>198</v>
      </c>
    </row>
    <row r="4271" spans="1:2">
      <c r="A4271">
        <v>80134</v>
      </c>
      <c r="B4271" t="s">
        <v>198</v>
      </c>
    </row>
    <row r="4272" spans="1:2">
      <c r="A4272">
        <v>80235</v>
      </c>
      <c r="B4272" t="s">
        <v>198</v>
      </c>
    </row>
    <row r="4273" spans="1:2">
      <c r="A4273">
        <v>80236</v>
      </c>
      <c r="B4273" t="s">
        <v>198</v>
      </c>
    </row>
    <row r="4274" spans="1:2">
      <c r="A4274">
        <v>80227</v>
      </c>
      <c r="B4274" t="s">
        <v>198</v>
      </c>
    </row>
    <row r="4275" spans="1:2">
      <c r="A4275">
        <v>80232</v>
      </c>
      <c r="B4275" t="s">
        <v>198</v>
      </c>
    </row>
    <row r="4276" spans="1:2">
      <c r="A4276">
        <v>80226</v>
      </c>
      <c r="B4276" t="s">
        <v>198</v>
      </c>
    </row>
    <row r="4277" spans="1:2">
      <c r="A4277">
        <v>80228</v>
      </c>
      <c r="B4277" t="s">
        <v>198</v>
      </c>
    </row>
    <row r="4278" spans="1:2">
      <c r="A4278">
        <v>80223</v>
      </c>
      <c r="B4278" t="s">
        <v>198</v>
      </c>
    </row>
    <row r="4279" spans="1:2">
      <c r="A4279">
        <v>80219</v>
      </c>
      <c r="B4279" t="s">
        <v>198</v>
      </c>
    </row>
    <row r="4280" spans="1:2">
      <c r="A4280">
        <v>80201</v>
      </c>
      <c r="B4280" t="s">
        <v>198</v>
      </c>
    </row>
    <row r="4281" spans="1:2">
      <c r="A4281">
        <v>80248</v>
      </c>
      <c r="B4281" t="s">
        <v>198</v>
      </c>
    </row>
    <row r="4282" spans="1:2">
      <c r="A4282">
        <v>80256</v>
      </c>
      <c r="B4282" t="s">
        <v>198</v>
      </c>
    </row>
    <row r="4283" spans="1:2">
      <c r="A4283">
        <v>80257</v>
      </c>
      <c r="B4283" t="s">
        <v>198</v>
      </c>
    </row>
    <row r="4284" spans="1:2">
      <c r="A4284">
        <v>80259</v>
      </c>
      <c r="B4284" t="s">
        <v>198</v>
      </c>
    </row>
    <row r="4285" spans="1:2">
      <c r="A4285">
        <v>80265</v>
      </c>
      <c r="B4285" t="s">
        <v>198</v>
      </c>
    </row>
    <row r="4286" spans="1:2">
      <c r="A4286">
        <v>80271</v>
      </c>
      <c r="B4286" t="s">
        <v>198</v>
      </c>
    </row>
    <row r="4287" spans="1:2">
      <c r="A4287">
        <v>80281</v>
      </c>
      <c r="B4287" t="s">
        <v>198</v>
      </c>
    </row>
    <row r="4288" spans="1:2">
      <c r="A4288">
        <v>80291</v>
      </c>
      <c r="B4288" t="s">
        <v>198</v>
      </c>
    </row>
    <row r="4289" spans="1:2">
      <c r="A4289">
        <v>80294</v>
      </c>
      <c r="B4289" t="s">
        <v>198</v>
      </c>
    </row>
    <row r="4290" spans="1:2">
      <c r="A4290">
        <v>80299</v>
      </c>
      <c r="B4290" t="s">
        <v>198</v>
      </c>
    </row>
    <row r="4291" spans="1:2">
      <c r="A4291">
        <v>80264</v>
      </c>
      <c r="B4291" t="s">
        <v>198</v>
      </c>
    </row>
    <row r="4292" spans="1:2">
      <c r="A4292">
        <v>80274</v>
      </c>
      <c r="B4292" t="s">
        <v>198</v>
      </c>
    </row>
    <row r="4293" spans="1:2">
      <c r="A4293">
        <v>80290</v>
      </c>
      <c r="B4293" t="s">
        <v>198</v>
      </c>
    </row>
    <row r="4294" spans="1:2">
      <c r="A4294">
        <v>80293</v>
      </c>
      <c r="B4294" t="s">
        <v>198</v>
      </c>
    </row>
    <row r="4295" spans="1:2">
      <c r="A4295">
        <v>80202</v>
      </c>
      <c r="B4295" t="s">
        <v>198</v>
      </c>
    </row>
    <row r="4296" spans="1:2">
      <c r="A4296">
        <v>80204</v>
      </c>
      <c r="B4296" t="s">
        <v>198</v>
      </c>
    </row>
    <row r="4297" spans="1:2">
      <c r="A4297">
        <v>80212</v>
      </c>
      <c r="B4297" t="s">
        <v>198</v>
      </c>
    </row>
    <row r="4298" spans="1:2">
      <c r="A4298">
        <v>80215</v>
      </c>
      <c r="B4298" t="s">
        <v>198</v>
      </c>
    </row>
    <row r="4299" spans="1:2">
      <c r="A4299">
        <v>80214</v>
      </c>
      <c r="B4299" t="s">
        <v>198</v>
      </c>
    </row>
    <row r="4300" spans="1:2">
      <c r="A4300">
        <v>80211</v>
      </c>
      <c r="B4300" t="s">
        <v>198</v>
      </c>
    </row>
    <row r="4301" spans="1:2">
      <c r="A4301">
        <v>80261</v>
      </c>
      <c r="B4301" t="s">
        <v>198</v>
      </c>
    </row>
    <row r="4302" spans="1:2">
      <c r="A4302">
        <v>80273</v>
      </c>
      <c r="B4302" t="s">
        <v>198</v>
      </c>
    </row>
    <row r="4303" spans="1:2">
      <c r="A4303">
        <v>80203</v>
      </c>
      <c r="B4303" t="s">
        <v>198</v>
      </c>
    </row>
    <row r="4304" spans="1:2">
      <c r="A4304">
        <v>80205</v>
      </c>
      <c r="B4304" t="s">
        <v>198</v>
      </c>
    </row>
    <row r="4305" spans="1:2">
      <c r="A4305">
        <v>80218</v>
      </c>
      <c r="B4305" t="s">
        <v>198</v>
      </c>
    </row>
    <row r="4306" spans="1:2">
      <c r="A4306">
        <v>80206</v>
      </c>
      <c r="B4306" t="s">
        <v>198</v>
      </c>
    </row>
    <row r="4307" spans="1:2">
      <c r="A4307">
        <v>80208</v>
      </c>
      <c r="B4307" t="s">
        <v>198</v>
      </c>
    </row>
    <row r="4308" spans="1:2">
      <c r="A4308">
        <v>80243</v>
      </c>
      <c r="B4308" t="s">
        <v>198</v>
      </c>
    </row>
    <row r="4309" spans="1:2">
      <c r="A4309">
        <v>80250</v>
      </c>
      <c r="B4309" t="s">
        <v>198</v>
      </c>
    </row>
    <row r="4310" spans="1:2">
      <c r="A4310">
        <v>80209</v>
      </c>
      <c r="B4310" t="s">
        <v>198</v>
      </c>
    </row>
    <row r="4311" spans="1:2">
      <c r="A4311">
        <v>80210</v>
      </c>
      <c r="B4311" t="s">
        <v>198</v>
      </c>
    </row>
    <row r="4312" spans="1:2">
      <c r="A4312">
        <v>80263</v>
      </c>
      <c r="B4312" t="s">
        <v>198</v>
      </c>
    </row>
    <row r="4313" spans="1:2">
      <c r="A4313">
        <v>80246</v>
      </c>
      <c r="B4313" t="s">
        <v>198</v>
      </c>
    </row>
    <row r="4314" spans="1:2">
      <c r="A4314">
        <v>80222</v>
      </c>
      <c r="B4314" t="s">
        <v>198</v>
      </c>
    </row>
    <row r="4315" spans="1:2">
      <c r="A4315">
        <v>80237</v>
      </c>
      <c r="B4315" t="s">
        <v>198</v>
      </c>
    </row>
    <row r="4316" spans="1:2">
      <c r="A4316">
        <v>80230</v>
      </c>
      <c r="B4316" t="s">
        <v>198</v>
      </c>
    </row>
    <row r="4317" spans="1:2">
      <c r="A4317">
        <v>80224</v>
      </c>
      <c r="B4317" t="s">
        <v>198</v>
      </c>
    </row>
    <row r="4318" spans="1:2">
      <c r="A4318">
        <v>80247</v>
      </c>
      <c r="B4318" t="s">
        <v>198</v>
      </c>
    </row>
    <row r="4319" spans="1:2">
      <c r="A4319">
        <v>80231</v>
      </c>
      <c r="B4319" t="s">
        <v>198</v>
      </c>
    </row>
    <row r="4320" spans="1:2">
      <c r="A4320">
        <v>80266</v>
      </c>
      <c r="B4320" t="s">
        <v>198</v>
      </c>
    </row>
    <row r="4321" spans="1:2">
      <c r="A4321">
        <v>80207</v>
      </c>
      <c r="B4321" t="s">
        <v>198</v>
      </c>
    </row>
    <row r="4322" spans="1:2">
      <c r="A4322">
        <v>80238</v>
      </c>
      <c r="B4322" t="s">
        <v>198</v>
      </c>
    </row>
    <row r="4323" spans="1:2">
      <c r="A4323">
        <v>80220</v>
      </c>
      <c r="B4323" t="s">
        <v>198</v>
      </c>
    </row>
    <row r="4324" spans="1:2">
      <c r="A4324">
        <v>80239</v>
      </c>
      <c r="B4324" t="s">
        <v>198</v>
      </c>
    </row>
    <row r="4325" spans="1:2">
      <c r="A4325">
        <v>80037</v>
      </c>
      <c r="B4325" t="s">
        <v>198</v>
      </c>
    </row>
    <row r="4326" spans="1:2">
      <c r="A4326">
        <v>80217</v>
      </c>
      <c r="B4326" t="s">
        <v>198</v>
      </c>
    </row>
    <row r="4327" spans="1:2">
      <c r="A4327">
        <v>80024</v>
      </c>
      <c r="B4327" t="s">
        <v>198</v>
      </c>
    </row>
    <row r="4328" spans="1:2">
      <c r="A4328">
        <v>80216</v>
      </c>
      <c r="B4328" t="s">
        <v>198</v>
      </c>
    </row>
    <row r="4329" spans="1:2">
      <c r="A4329">
        <v>80022</v>
      </c>
      <c r="B4329" t="s">
        <v>198</v>
      </c>
    </row>
    <row r="4330" spans="1:2">
      <c r="A4330">
        <v>80640</v>
      </c>
      <c r="B4330" t="s">
        <v>198</v>
      </c>
    </row>
    <row r="4331" spans="1:2">
      <c r="A4331">
        <v>80229</v>
      </c>
      <c r="B4331" t="s">
        <v>198</v>
      </c>
    </row>
    <row r="4332" spans="1:2">
      <c r="A4332">
        <v>80233</v>
      </c>
      <c r="B4332" t="s">
        <v>198</v>
      </c>
    </row>
    <row r="4333" spans="1:2">
      <c r="A4333">
        <v>80614</v>
      </c>
      <c r="B4333" t="s">
        <v>198</v>
      </c>
    </row>
    <row r="4334" spans="1:2">
      <c r="A4334">
        <v>80260</v>
      </c>
      <c r="B4334" t="s">
        <v>198</v>
      </c>
    </row>
    <row r="4335" spans="1:2">
      <c r="A4335">
        <v>80241</v>
      </c>
      <c r="B4335" t="s">
        <v>198</v>
      </c>
    </row>
    <row r="4336" spans="1:2">
      <c r="A4336">
        <v>80234</v>
      </c>
      <c r="B4336" t="s">
        <v>198</v>
      </c>
    </row>
    <row r="4337" spans="1:2">
      <c r="A4337">
        <v>80221</v>
      </c>
      <c r="B4337" t="s">
        <v>198</v>
      </c>
    </row>
    <row r="4338" spans="1:2">
      <c r="A4338">
        <v>80520</v>
      </c>
      <c r="B4338" t="s">
        <v>198</v>
      </c>
    </row>
    <row r="4339" spans="1:2">
      <c r="A4339">
        <v>80530</v>
      </c>
      <c r="B4339" t="s">
        <v>198</v>
      </c>
    </row>
    <row r="4340" spans="1:2">
      <c r="A4340">
        <v>80542</v>
      </c>
      <c r="B4340" t="s">
        <v>198</v>
      </c>
    </row>
    <row r="4341" spans="1:2">
      <c r="A4341">
        <v>80514</v>
      </c>
      <c r="B4341" t="s">
        <v>198</v>
      </c>
    </row>
    <row r="4342" spans="1:2">
      <c r="A4342">
        <v>80504</v>
      </c>
      <c r="B4342" t="s">
        <v>198</v>
      </c>
    </row>
    <row r="4343" spans="1:2">
      <c r="A4343">
        <v>80502</v>
      </c>
      <c r="B4343" t="s">
        <v>198</v>
      </c>
    </row>
    <row r="4344" spans="1:2">
      <c r="A4344">
        <v>80533</v>
      </c>
      <c r="B4344" t="s">
        <v>198</v>
      </c>
    </row>
    <row r="4345" spans="1:2">
      <c r="A4345">
        <v>80503</v>
      </c>
      <c r="B4345" t="s">
        <v>198</v>
      </c>
    </row>
    <row r="4346" spans="1:2">
      <c r="A4346">
        <v>80501</v>
      </c>
      <c r="B4346" t="s">
        <v>198</v>
      </c>
    </row>
    <row r="4347" spans="1:2">
      <c r="A4347">
        <v>80539</v>
      </c>
      <c r="B4347" t="s">
        <v>198</v>
      </c>
    </row>
    <row r="4348" spans="1:2">
      <c r="A4348">
        <v>80513</v>
      </c>
      <c r="B4348" t="s">
        <v>198</v>
      </c>
    </row>
    <row r="4349" spans="1:2">
      <c r="A4349">
        <v>80537</v>
      </c>
      <c r="B4349" t="s">
        <v>198</v>
      </c>
    </row>
    <row r="4350" spans="1:2">
      <c r="A4350">
        <v>80624</v>
      </c>
      <c r="B4350" t="s">
        <v>198</v>
      </c>
    </row>
    <row r="4351" spans="1:2">
      <c r="A4351">
        <v>80633</v>
      </c>
      <c r="B4351" t="s">
        <v>198</v>
      </c>
    </row>
    <row r="4352" spans="1:2">
      <c r="A4352">
        <v>80632</v>
      </c>
      <c r="B4352" t="s">
        <v>198</v>
      </c>
    </row>
    <row r="4353" spans="1:2">
      <c r="A4353">
        <v>80638</v>
      </c>
      <c r="B4353" t="s">
        <v>198</v>
      </c>
    </row>
    <row r="4354" spans="1:2">
      <c r="A4354">
        <v>80639</v>
      </c>
      <c r="B4354" t="s">
        <v>198</v>
      </c>
    </row>
    <row r="4355" spans="1:2">
      <c r="A4355">
        <v>80543</v>
      </c>
      <c r="B4355" t="s">
        <v>198</v>
      </c>
    </row>
    <row r="4356" spans="1:2">
      <c r="A4356">
        <v>80620</v>
      </c>
      <c r="B4356" t="s">
        <v>198</v>
      </c>
    </row>
    <row r="4357" spans="1:2">
      <c r="A4357">
        <v>80534</v>
      </c>
      <c r="B4357" t="s">
        <v>198</v>
      </c>
    </row>
    <row r="4358" spans="1:2">
      <c r="A4358">
        <v>80631</v>
      </c>
      <c r="B4358" t="s">
        <v>198</v>
      </c>
    </row>
    <row r="4359" spans="1:2">
      <c r="A4359">
        <v>80634</v>
      </c>
      <c r="B4359" t="s">
        <v>198</v>
      </c>
    </row>
    <row r="4360" spans="1:2">
      <c r="A4360">
        <v>80551</v>
      </c>
      <c r="B4360" t="s">
        <v>198</v>
      </c>
    </row>
    <row r="4361" spans="1:2">
      <c r="A4361">
        <v>80646</v>
      </c>
      <c r="B4361" t="s">
        <v>198</v>
      </c>
    </row>
    <row r="4362" spans="1:2">
      <c r="A4362">
        <v>80550</v>
      </c>
      <c r="B4362" t="s">
        <v>198</v>
      </c>
    </row>
    <row r="4363" spans="1:2">
      <c r="A4363">
        <v>80546</v>
      </c>
      <c r="B4363" t="s">
        <v>198</v>
      </c>
    </row>
    <row r="4364" spans="1:2">
      <c r="A4364">
        <v>80527</v>
      </c>
      <c r="B4364" t="s">
        <v>198</v>
      </c>
    </row>
    <row r="4365" spans="1:2">
      <c r="A4365">
        <v>80547</v>
      </c>
      <c r="B4365" t="s">
        <v>198</v>
      </c>
    </row>
    <row r="4366" spans="1:2">
      <c r="A4366">
        <v>80528</v>
      </c>
      <c r="B4366" t="s">
        <v>198</v>
      </c>
    </row>
    <row r="4367" spans="1:2">
      <c r="A4367">
        <v>80525</v>
      </c>
      <c r="B4367" t="s">
        <v>198</v>
      </c>
    </row>
    <row r="4368" spans="1:2">
      <c r="A4368">
        <v>80526</v>
      </c>
      <c r="B4368" t="s">
        <v>198</v>
      </c>
    </row>
    <row r="4369" spans="1:2">
      <c r="A4369">
        <v>80538</v>
      </c>
      <c r="B4369" t="s">
        <v>198</v>
      </c>
    </row>
    <row r="4370" spans="1:2">
      <c r="A4370">
        <v>80523</v>
      </c>
      <c r="B4370" t="s">
        <v>198</v>
      </c>
    </row>
    <row r="4371" spans="1:2">
      <c r="A4371">
        <v>80553</v>
      </c>
      <c r="B4371" t="s">
        <v>198</v>
      </c>
    </row>
    <row r="4372" spans="1:2">
      <c r="A4372">
        <v>80522</v>
      </c>
      <c r="B4372" t="s">
        <v>198</v>
      </c>
    </row>
    <row r="4373" spans="1:2">
      <c r="A4373">
        <v>80521</v>
      </c>
      <c r="B4373" t="s">
        <v>198</v>
      </c>
    </row>
    <row r="4374" spans="1:2">
      <c r="A4374">
        <v>80524</v>
      </c>
      <c r="B4374" t="s">
        <v>198</v>
      </c>
    </row>
    <row r="4375" spans="1:2">
      <c r="A4375">
        <v>80133</v>
      </c>
      <c r="B4375" t="s">
        <v>198</v>
      </c>
    </row>
    <row r="4376" spans="1:2">
      <c r="A4376">
        <v>80132</v>
      </c>
      <c r="B4376" t="s">
        <v>198</v>
      </c>
    </row>
    <row r="4377" spans="1:2">
      <c r="A4377">
        <v>80941</v>
      </c>
      <c r="B4377" t="s">
        <v>198</v>
      </c>
    </row>
    <row r="4378" spans="1:2">
      <c r="A4378">
        <v>80962</v>
      </c>
      <c r="B4378" t="s">
        <v>198</v>
      </c>
    </row>
    <row r="4379" spans="1:2">
      <c r="A4379">
        <v>80924</v>
      </c>
      <c r="B4379" t="s">
        <v>198</v>
      </c>
    </row>
    <row r="4380" spans="1:2">
      <c r="A4380">
        <v>80908</v>
      </c>
      <c r="B4380" t="s">
        <v>198</v>
      </c>
    </row>
    <row r="4381" spans="1:2">
      <c r="A4381">
        <v>80920</v>
      </c>
      <c r="B4381" t="s">
        <v>198</v>
      </c>
    </row>
    <row r="4382" spans="1:2">
      <c r="A4382">
        <v>80938</v>
      </c>
      <c r="B4382" t="s">
        <v>198</v>
      </c>
    </row>
    <row r="4383" spans="1:2">
      <c r="A4383">
        <v>80939</v>
      </c>
      <c r="B4383" t="s">
        <v>198</v>
      </c>
    </row>
    <row r="4384" spans="1:2">
      <c r="A4384">
        <v>80951</v>
      </c>
      <c r="B4384" t="s">
        <v>198</v>
      </c>
    </row>
    <row r="4385" spans="1:2">
      <c r="A4385">
        <v>80927</v>
      </c>
      <c r="B4385" t="s">
        <v>198</v>
      </c>
    </row>
    <row r="4386" spans="1:2">
      <c r="A4386">
        <v>80915</v>
      </c>
      <c r="B4386" t="s">
        <v>198</v>
      </c>
    </row>
    <row r="4387" spans="1:2">
      <c r="A4387">
        <v>80917</v>
      </c>
      <c r="B4387" t="s">
        <v>198</v>
      </c>
    </row>
    <row r="4388" spans="1:2">
      <c r="A4388">
        <v>80923</v>
      </c>
      <c r="B4388" t="s">
        <v>198</v>
      </c>
    </row>
    <row r="4389" spans="1:2">
      <c r="A4389">
        <v>80922</v>
      </c>
      <c r="B4389" t="s">
        <v>198</v>
      </c>
    </row>
    <row r="4390" spans="1:2">
      <c r="A4390">
        <v>80934</v>
      </c>
      <c r="B4390" t="s">
        <v>198</v>
      </c>
    </row>
    <row r="4391" spans="1:2">
      <c r="A4391">
        <v>80936</v>
      </c>
      <c r="B4391" t="s">
        <v>198</v>
      </c>
    </row>
    <row r="4392" spans="1:2">
      <c r="A4392">
        <v>80949</v>
      </c>
      <c r="B4392" t="s">
        <v>198</v>
      </c>
    </row>
    <row r="4393" spans="1:2">
      <c r="A4393">
        <v>80904</v>
      </c>
      <c r="B4393" t="s">
        <v>198</v>
      </c>
    </row>
    <row r="4394" spans="1:2">
      <c r="A4394">
        <v>80919</v>
      </c>
      <c r="B4394" t="s">
        <v>198</v>
      </c>
    </row>
    <row r="4395" spans="1:2">
      <c r="A4395">
        <v>80921</v>
      </c>
      <c r="B4395" t="s">
        <v>198</v>
      </c>
    </row>
    <row r="4396" spans="1:2">
      <c r="A4396">
        <v>80931</v>
      </c>
      <c r="B4396" t="s">
        <v>198</v>
      </c>
    </row>
    <row r="4397" spans="1:2">
      <c r="A4397">
        <v>80925</v>
      </c>
      <c r="B4397" t="s">
        <v>198</v>
      </c>
    </row>
    <row r="4398" spans="1:2">
      <c r="A4398">
        <v>80911</v>
      </c>
      <c r="B4398" t="s">
        <v>198</v>
      </c>
    </row>
    <row r="4399" spans="1:2">
      <c r="A4399">
        <v>80916</v>
      </c>
      <c r="B4399" t="s">
        <v>198</v>
      </c>
    </row>
    <row r="4400" spans="1:2">
      <c r="A4400">
        <v>80937</v>
      </c>
      <c r="B4400" t="s">
        <v>198</v>
      </c>
    </row>
    <row r="4401" spans="1:2">
      <c r="A4401">
        <v>80901</v>
      </c>
      <c r="B4401" t="s">
        <v>198</v>
      </c>
    </row>
    <row r="4402" spans="1:2">
      <c r="A4402">
        <v>80935</v>
      </c>
      <c r="B4402" t="s">
        <v>198</v>
      </c>
    </row>
    <row r="4403" spans="1:2">
      <c r="A4403">
        <v>80942</v>
      </c>
      <c r="B4403" t="s">
        <v>198</v>
      </c>
    </row>
    <row r="4404" spans="1:2">
      <c r="A4404">
        <v>80946</v>
      </c>
      <c r="B4404" t="s">
        <v>198</v>
      </c>
    </row>
    <row r="4405" spans="1:2">
      <c r="A4405">
        <v>80947</v>
      </c>
      <c r="B4405" t="s">
        <v>198</v>
      </c>
    </row>
    <row r="4406" spans="1:2">
      <c r="A4406">
        <v>80960</v>
      </c>
      <c r="B4406" t="s">
        <v>198</v>
      </c>
    </row>
    <row r="4407" spans="1:2">
      <c r="A4407">
        <v>80970</v>
      </c>
      <c r="B4407" t="s">
        <v>198</v>
      </c>
    </row>
    <row r="4408" spans="1:2">
      <c r="A4408">
        <v>80977</v>
      </c>
      <c r="B4408" t="s">
        <v>198</v>
      </c>
    </row>
    <row r="4409" spans="1:2">
      <c r="A4409">
        <v>80995</v>
      </c>
      <c r="B4409" t="s">
        <v>198</v>
      </c>
    </row>
    <row r="4410" spans="1:2">
      <c r="A4410">
        <v>80997</v>
      </c>
      <c r="B4410" t="s">
        <v>198</v>
      </c>
    </row>
    <row r="4411" spans="1:2">
      <c r="A4411">
        <v>80903</v>
      </c>
      <c r="B4411" t="s">
        <v>198</v>
      </c>
    </row>
    <row r="4412" spans="1:2">
      <c r="A4412">
        <v>80905</v>
      </c>
      <c r="B4412" t="s">
        <v>198</v>
      </c>
    </row>
    <row r="4413" spans="1:2">
      <c r="A4413">
        <v>80910</v>
      </c>
      <c r="B4413" t="s">
        <v>198</v>
      </c>
    </row>
    <row r="4414" spans="1:2">
      <c r="A4414">
        <v>80906</v>
      </c>
      <c r="B4414" t="s">
        <v>198</v>
      </c>
    </row>
    <row r="4415" spans="1:2">
      <c r="A4415">
        <v>80932</v>
      </c>
      <c r="B4415" t="s">
        <v>198</v>
      </c>
    </row>
    <row r="4416" spans="1:2">
      <c r="A4416">
        <v>80933</v>
      </c>
      <c r="B4416" t="s">
        <v>198</v>
      </c>
    </row>
    <row r="4417" spans="1:2">
      <c r="A4417">
        <v>80950</v>
      </c>
      <c r="B4417" t="s">
        <v>198</v>
      </c>
    </row>
    <row r="4418" spans="1:2">
      <c r="A4418">
        <v>80907</v>
      </c>
      <c r="B4418" t="s">
        <v>198</v>
      </c>
    </row>
    <row r="4419" spans="1:2">
      <c r="A4419">
        <v>80909</v>
      </c>
      <c r="B4419" t="s">
        <v>198</v>
      </c>
    </row>
    <row r="4420" spans="1:2">
      <c r="A4420">
        <v>80918</v>
      </c>
      <c r="B4420" t="s">
        <v>198</v>
      </c>
    </row>
    <row r="4421" spans="1:2">
      <c r="A4421">
        <v>80817</v>
      </c>
      <c r="B4421" t="s">
        <v>198</v>
      </c>
    </row>
    <row r="4422" spans="1:2">
      <c r="A4422">
        <v>92037</v>
      </c>
      <c r="B4422" t="s">
        <v>198</v>
      </c>
    </row>
    <row r="4423" spans="1:2">
      <c r="A4423">
        <v>92039</v>
      </c>
      <c r="B4423" t="s">
        <v>198</v>
      </c>
    </row>
    <row r="4424" spans="1:2">
      <c r="A4424">
        <v>92092</v>
      </c>
      <c r="B4424" t="s">
        <v>198</v>
      </c>
    </row>
    <row r="4425" spans="1:2">
      <c r="A4425">
        <v>92093</v>
      </c>
      <c r="B4425" t="s">
        <v>198</v>
      </c>
    </row>
    <row r="4426" spans="1:2">
      <c r="A4426">
        <v>92122</v>
      </c>
      <c r="B4426" t="s">
        <v>198</v>
      </c>
    </row>
    <row r="4427" spans="1:2">
      <c r="A4427">
        <v>92192</v>
      </c>
      <c r="B4427" t="s">
        <v>198</v>
      </c>
    </row>
    <row r="4428" spans="1:2">
      <c r="A4428">
        <v>92067</v>
      </c>
      <c r="B4428" t="s">
        <v>198</v>
      </c>
    </row>
    <row r="4429" spans="1:2">
      <c r="A4429">
        <v>92091</v>
      </c>
      <c r="B4429" t="s">
        <v>198</v>
      </c>
    </row>
    <row r="4430" spans="1:2">
      <c r="A4430">
        <v>92127</v>
      </c>
      <c r="B4430" t="s">
        <v>198</v>
      </c>
    </row>
    <row r="4431" spans="1:2">
      <c r="A4431">
        <v>92023</v>
      </c>
      <c r="B4431" t="s">
        <v>198</v>
      </c>
    </row>
    <row r="4432" spans="1:2">
      <c r="A4432">
        <v>92024</v>
      </c>
      <c r="B4432" t="s">
        <v>198</v>
      </c>
    </row>
    <row r="4433" spans="1:2">
      <c r="A4433">
        <v>92009</v>
      </c>
      <c r="B4433" t="s">
        <v>198</v>
      </c>
    </row>
    <row r="4434" spans="1:2">
      <c r="A4434">
        <v>92069</v>
      </c>
      <c r="B4434" t="s">
        <v>198</v>
      </c>
    </row>
    <row r="4435" spans="1:2">
      <c r="A4435">
        <v>92079</v>
      </c>
      <c r="B4435" t="s">
        <v>198</v>
      </c>
    </row>
    <row r="4436" spans="1:2">
      <c r="A4436">
        <v>92083</v>
      </c>
      <c r="B4436" t="s">
        <v>198</v>
      </c>
    </row>
    <row r="4437" spans="1:2">
      <c r="A4437">
        <v>92084</v>
      </c>
      <c r="B4437" t="s">
        <v>198</v>
      </c>
    </row>
    <row r="4438" spans="1:2">
      <c r="A4438">
        <v>43004</v>
      </c>
      <c r="B4438" t="s">
        <v>198</v>
      </c>
    </row>
    <row r="4439" spans="1:2">
      <c r="A4439">
        <v>43016</v>
      </c>
      <c r="B4439" t="s">
        <v>198</v>
      </c>
    </row>
    <row r="4440" spans="1:2">
      <c r="A4440">
        <v>43017</v>
      </c>
      <c r="B4440" t="s">
        <v>198</v>
      </c>
    </row>
    <row r="4441" spans="1:2">
      <c r="A4441">
        <v>43021</v>
      </c>
      <c r="B4441" t="s">
        <v>198</v>
      </c>
    </row>
    <row r="4442" spans="1:2">
      <c r="A4442">
        <v>43026</v>
      </c>
      <c r="B4442" t="s">
        <v>198</v>
      </c>
    </row>
    <row r="4443" spans="1:2">
      <c r="A4443">
        <v>43035</v>
      </c>
      <c r="B4443" t="s">
        <v>198</v>
      </c>
    </row>
    <row r="4444" spans="1:2">
      <c r="A4444">
        <v>43054</v>
      </c>
      <c r="B4444" t="s">
        <v>198</v>
      </c>
    </row>
    <row r="4445" spans="1:2">
      <c r="A4445">
        <v>43065</v>
      </c>
      <c r="B4445" t="s">
        <v>198</v>
      </c>
    </row>
    <row r="4446" spans="1:2">
      <c r="A4446">
        <v>43068</v>
      </c>
      <c r="B4446" t="s">
        <v>198</v>
      </c>
    </row>
    <row r="4447" spans="1:2">
      <c r="A4447">
        <v>43081</v>
      </c>
      <c r="B4447" t="s">
        <v>198</v>
      </c>
    </row>
    <row r="4448" spans="1:2">
      <c r="A4448">
        <v>43082</v>
      </c>
      <c r="B4448" t="s">
        <v>198</v>
      </c>
    </row>
    <row r="4449" spans="1:2">
      <c r="A4449">
        <v>43085</v>
      </c>
      <c r="B4449" t="s">
        <v>198</v>
      </c>
    </row>
    <row r="4450" spans="1:2">
      <c r="A4450">
        <v>43109</v>
      </c>
      <c r="B4450" t="s">
        <v>198</v>
      </c>
    </row>
    <row r="4451" spans="1:2">
      <c r="A4451">
        <v>43119</v>
      </c>
      <c r="B4451" t="s">
        <v>198</v>
      </c>
    </row>
    <row r="4452" spans="1:2">
      <c r="A4452">
        <v>43123</v>
      </c>
      <c r="B4452" t="s">
        <v>198</v>
      </c>
    </row>
    <row r="4453" spans="1:2">
      <c r="A4453">
        <v>43147</v>
      </c>
      <c r="B4453" t="s">
        <v>198</v>
      </c>
    </row>
    <row r="4454" spans="1:2">
      <c r="A4454">
        <v>43201</v>
      </c>
      <c r="B4454" t="s">
        <v>198</v>
      </c>
    </row>
    <row r="4455" spans="1:2">
      <c r="A4455">
        <v>43202</v>
      </c>
      <c r="B4455" t="s">
        <v>198</v>
      </c>
    </row>
    <row r="4456" spans="1:2">
      <c r="A4456">
        <v>43203</v>
      </c>
      <c r="B4456" t="s">
        <v>198</v>
      </c>
    </row>
    <row r="4457" spans="1:2">
      <c r="A4457">
        <v>43204</v>
      </c>
      <c r="B4457" t="s">
        <v>198</v>
      </c>
    </row>
    <row r="4458" spans="1:2">
      <c r="A4458">
        <v>43205</v>
      </c>
      <c r="B4458" t="s">
        <v>198</v>
      </c>
    </row>
    <row r="4459" spans="1:2">
      <c r="A4459">
        <v>43206</v>
      </c>
      <c r="B4459" t="s">
        <v>198</v>
      </c>
    </row>
    <row r="4460" spans="1:2">
      <c r="A4460">
        <v>43207</v>
      </c>
      <c r="B4460" t="s">
        <v>198</v>
      </c>
    </row>
    <row r="4461" spans="1:2">
      <c r="A4461">
        <v>43209</v>
      </c>
      <c r="B4461" t="s">
        <v>198</v>
      </c>
    </row>
    <row r="4462" spans="1:2">
      <c r="A4462">
        <v>43210</v>
      </c>
      <c r="B4462" t="s">
        <v>198</v>
      </c>
    </row>
    <row r="4463" spans="1:2">
      <c r="A4463">
        <v>43211</v>
      </c>
      <c r="B4463" t="s">
        <v>198</v>
      </c>
    </row>
    <row r="4464" spans="1:2">
      <c r="A4464">
        <v>43212</v>
      </c>
      <c r="B4464" t="s">
        <v>198</v>
      </c>
    </row>
    <row r="4465" spans="1:2">
      <c r="A4465">
        <v>43213</v>
      </c>
      <c r="B4465" t="s">
        <v>198</v>
      </c>
    </row>
    <row r="4466" spans="1:2">
      <c r="A4466">
        <v>43214</v>
      </c>
      <c r="B4466" t="s">
        <v>198</v>
      </c>
    </row>
    <row r="4467" spans="1:2">
      <c r="A4467">
        <v>43215</v>
      </c>
      <c r="B4467" t="s">
        <v>198</v>
      </c>
    </row>
    <row r="4468" spans="1:2">
      <c r="A4468">
        <v>43219</v>
      </c>
      <c r="B4468" t="s">
        <v>198</v>
      </c>
    </row>
    <row r="4469" spans="1:2">
      <c r="A4469">
        <v>43220</v>
      </c>
      <c r="B4469" t="s">
        <v>198</v>
      </c>
    </row>
    <row r="4470" spans="1:2">
      <c r="A4470">
        <v>43221</v>
      </c>
      <c r="B4470" t="s">
        <v>198</v>
      </c>
    </row>
    <row r="4471" spans="1:2">
      <c r="A4471">
        <v>43222</v>
      </c>
      <c r="B4471" t="s">
        <v>198</v>
      </c>
    </row>
    <row r="4472" spans="1:2">
      <c r="A4472">
        <v>43223</v>
      </c>
      <c r="B4472" t="s">
        <v>198</v>
      </c>
    </row>
    <row r="4473" spans="1:2">
      <c r="A4473">
        <v>43224</v>
      </c>
      <c r="B4473" t="s">
        <v>198</v>
      </c>
    </row>
    <row r="4474" spans="1:2">
      <c r="A4474">
        <v>43227</v>
      </c>
      <c r="B4474" t="s">
        <v>198</v>
      </c>
    </row>
    <row r="4475" spans="1:2">
      <c r="A4475">
        <v>43228</v>
      </c>
      <c r="B4475" t="s">
        <v>198</v>
      </c>
    </row>
    <row r="4476" spans="1:2">
      <c r="A4476">
        <v>43229</v>
      </c>
      <c r="B4476" t="s">
        <v>198</v>
      </c>
    </row>
    <row r="4477" spans="1:2">
      <c r="A4477">
        <v>43230</v>
      </c>
      <c r="B4477" t="s">
        <v>198</v>
      </c>
    </row>
    <row r="4478" spans="1:2">
      <c r="A4478">
        <v>43231</v>
      </c>
      <c r="B4478" t="s">
        <v>198</v>
      </c>
    </row>
    <row r="4479" spans="1:2">
      <c r="A4479">
        <v>43232</v>
      </c>
      <c r="B4479" t="s">
        <v>198</v>
      </c>
    </row>
    <row r="4480" spans="1:2">
      <c r="A4480">
        <v>43235</v>
      </c>
      <c r="B4480" t="s">
        <v>198</v>
      </c>
    </row>
    <row r="4481" spans="1:2">
      <c r="A4481">
        <v>43240</v>
      </c>
      <c r="B4481" t="s">
        <v>198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BC00A-8B3F-4A69-A20E-F141934B71C1}">
  <dimension ref="A1:B3555"/>
  <sheetViews>
    <sheetView workbookViewId="0">
      <selection activeCell="G19" sqref="G19"/>
    </sheetView>
  </sheetViews>
  <sheetFormatPr defaultRowHeight="15.5"/>
  <cols>
    <col min="1" max="1" width="8.6640625" style="20"/>
  </cols>
  <sheetData>
    <row r="1" spans="1:2">
      <c r="A1" s="20" t="s">
        <v>196</v>
      </c>
      <c r="B1" t="s">
        <v>197</v>
      </c>
    </row>
    <row r="2" spans="1:2">
      <c r="A2" s="21">
        <v>85006</v>
      </c>
      <c r="B2" t="s">
        <v>198</v>
      </c>
    </row>
    <row r="3" spans="1:2">
      <c r="A3" s="21">
        <v>85008</v>
      </c>
      <c r="B3" t="s">
        <v>198</v>
      </c>
    </row>
    <row r="4" spans="1:2">
      <c r="A4" s="21">
        <v>85009</v>
      </c>
      <c r="B4" t="s">
        <v>198</v>
      </c>
    </row>
    <row r="5" spans="1:2">
      <c r="A5" s="21">
        <v>85012</v>
      </c>
      <c r="B5" t="s">
        <v>198</v>
      </c>
    </row>
    <row r="6" spans="1:2">
      <c r="A6" s="21">
        <v>85013</v>
      </c>
      <c r="B6" t="s">
        <v>198</v>
      </c>
    </row>
    <row r="7" spans="1:2">
      <c r="A7" s="21">
        <v>85014</v>
      </c>
      <c r="B7" t="s">
        <v>198</v>
      </c>
    </row>
    <row r="8" spans="1:2">
      <c r="A8" s="21">
        <v>85015</v>
      </c>
      <c r="B8" t="s">
        <v>198</v>
      </c>
    </row>
    <row r="9" spans="1:2">
      <c r="A9" s="21">
        <v>85016</v>
      </c>
      <c r="B9" t="s">
        <v>198</v>
      </c>
    </row>
    <row r="10" spans="1:2">
      <c r="A10" s="21">
        <v>85017</v>
      </c>
      <c r="B10" t="s">
        <v>198</v>
      </c>
    </row>
    <row r="11" spans="1:2">
      <c r="A11" s="21">
        <v>85018</v>
      </c>
      <c r="B11" t="s">
        <v>198</v>
      </c>
    </row>
    <row r="12" spans="1:2">
      <c r="A12" s="21">
        <v>85019</v>
      </c>
      <c r="B12" t="s">
        <v>198</v>
      </c>
    </row>
    <row r="13" spans="1:2">
      <c r="A13" s="21">
        <v>85020</v>
      </c>
      <c r="B13" t="s">
        <v>198</v>
      </c>
    </row>
    <row r="14" spans="1:2">
      <c r="A14" s="21">
        <v>85021</v>
      </c>
      <c r="B14" t="s">
        <v>198</v>
      </c>
    </row>
    <row r="15" spans="1:2">
      <c r="A15" s="21">
        <v>85022</v>
      </c>
      <c r="B15" t="s">
        <v>198</v>
      </c>
    </row>
    <row r="16" spans="1:2">
      <c r="A16" s="21">
        <v>85023</v>
      </c>
      <c r="B16" t="s">
        <v>198</v>
      </c>
    </row>
    <row r="17" spans="1:2">
      <c r="A17" s="21">
        <v>85024</v>
      </c>
      <c r="B17" t="s">
        <v>198</v>
      </c>
    </row>
    <row r="18" spans="1:2">
      <c r="A18" s="21">
        <v>85027</v>
      </c>
      <c r="B18" t="s">
        <v>198</v>
      </c>
    </row>
    <row r="19" spans="1:2">
      <c r="A19" s="21">
        <v>85028</v>
      </c>
      <c r="B19" t="s">
        <v>198</v>
      </c>
    </row>
    <row r="20" spans="1:2">
      <c r="A20" s="21">
        <v>85029</v>
      </c>
      <c r="B20" t="s">
        <v>198</v>
      </c>
    </row>
    <row r="21" spans="1:2">
      <c r="A21" s="21">
        <v>85031</v>
      </c>
      <c r="B21" t="s">
        <v>198</v>
      </c>
    </row>
    <row r="22" spans="1:2">
      <c r="A22" s="21">
        <v>85032</v>
      </c>
      <c r="B22" t="s">
        <v>198</v>
      </c>
    </row>
    <row r="23" spans="1:2">
      <c r="A23" s="21">
        <v>85033</v>
      </c>
      <c r="B23" t="s">
        <v>198</v>
      </c>
    </row>
    <row r="24" spans="1:2">
      <c r="A24" s="21">
        <v>85035</v>
      </c>
      <c r="B24" t="s">
        <v>198</v>
      </c>
    </row>
    <row r="25" spans="1:2">
      <c r="A25" s="21">
        <v>85037</v>
      </c>
      <c r="B25" t="s">
        <v>198</v>
      </c>
    </row>
    <row r="26" spans="1:2">
      <c r="A26" s="21">
        <v>85040</v>
      </c>
      <c r="B26" t="s">
        <v>198</v>
      </c>
    </row>
    <row r="27" spans="1:2">
      <c r="A27" s="21">
        <v>85041</v>
      </c>
      <c r="B27" t="s">
        <v>198</v>
      </c>
    </row>
    <row r="28" spans="1:2">
      <c r="A28" s="21">
        <v>85042</v>
      </c>
      <c r="B28" t="s">
        <v>198</v>
      </c>
    </row>
    <row r="29" spans="1:2">
      <c r="A29" s="21">
        <v>85043</v>
      </c>
      <c r="B29" t="s">
        <v>198</v>
      </c>
    </row>
    <row r="30" spans="1:2">
      <c r="A30" s="21">
        <v>85044</v>
      </c>
      <c r="B30" t="s">
        <v>198</v>
      </c>
    </row>
    <row r="31" spans="1:2">
      <c r="A31" s="21">
        <v>85045</v>
      </c>
      <c r="B31" t="s">
        <v>198</v>
      </c>
    </row>
    <row r="32" spans="1:2">
      <c r="A32" s="21">
        <v>85048</v>
      </c>
      <c r="B32" t="s">
        <v>198</v>
      </c>
    </row>
    <row r="33" spans="1:2">
      <c r="A33" s="21">
        <v>85050</v>
      </c>
      <c r="B33" t="s">
        <v>198</v>
      </c>
    </row>
    <row r="34" spans="1:2">
      <c r="A34" s="21">
        <v>85051</v>
      </c>
      <c r="B34" t="s">
        <v>198</v>
      </c>
    </row>
    <row r="35" spans="1:2">
      <c r="A35" s="21">
        <v>85053</v>
      </c>
      <c r="B35" t="s">
        <v>198</v>
      </c>
    </row>
    <row r="36" spans="1:2">
      <c r="A36" s="21">
        <v>85054</v>
      </c>
      <c r="B36" t="s">
        <v>198</v>
      </c>
    </row>
    <row r="37" spans="1:2">
      <c r="A37" s="21">
        <v>85083</v>
      </c>
      <c r="B37" t="s">
        <v>198</v>
      </c>
    </row>
    <row r="38" spans="1:2">
      <c r="A38" s="21">
        <v>85201</v>
      </c>
      <c r="B38" t="s">
        <v>198</v>
      </c>
    </row>
    <row r="39" spans="1:2">
      <c r="A39" s="21">
        <v>85202</v>
      </c>
      <c r="B39" t="s">
        <v>198</v>
      </c>
    </row>
    <row r="40" spans="1:2">
      <c r="A40" s="21">
        <v>85203</v>
      </c>
      <c r="B40" t="s">
        <v>198</v>
      </c>
    </row>
    <row r="41" spans="1:2">
      <c r="A41" s="21">
        <v>85204</v>
      </c>
      <c r="B41" t="s">
        <v>198</v>
      </c>
    </row>
    <row r="42" spans="1:2">
      <c r="A42" s="21">
        <v>85205</v>
      </c>
      <c r="B42" t="s">
        <v>198</v>
      </c>
    </row>
    <row r="43" spans="1:2">
      <c r="A43" s="21">
        <v>85206</v>
      </c>
      <c r="B43" t="s">
        <v>198</v>
      </c>
    </row>
    <row r="44" spans="1:2">
      <c r="A44" s="21">
        <v>85207</v>
      </c>
      <c r="B44" t="s">
        <v>198</v>
      </c>
    </row>
    <row r="45" spans="1:2">
      <c r="A45" s="21">
        <v>85208</v>
      </c>
      <c r="B45" t="s">
        <v>198</v>
      </c>
    </row>
    <row r="46" spans="1:2">
      <c r="A46" s="21">
        <v>85209</v>
      </c>
      <c r="B46" t="s">
        <v>198</v>
      </c>
    </row>
    <row r="47" spans="1:2">
      <c r="A47" s="21">
        <v>85210</v>
      </c>
      <c r="B47" t="s">
        <v>198</v>
      </c>
    </row>
    <row r="48" spans="1:2">
      <c r="A48" s="21">
        <v>85212</v>
      </c>
      <c r="B48" t="s">
        <v>198</v>
      </c>
    </row>
    <row r="49" spans="1:2">
      <c r="A49" s="21">
        <v>85213</v>
      </c>
      <c r="B49" t="s">
        <v>198</v>
      </c>
    </row>
    <row r="50" spans="1:2">
      <c r="A50" s="21">
        <v>85215</v>
      </c>
      <c r="B50" t="s">
        <v>198</v>
      </c>
    </row>
    <row r="51" spans="1:2">
      <c r="A51" s="21">
        <v>85224</v>
      </c>
      <c r="B51" t="s">
        <v>198</v>
      </c>
    </row>
    <row r="52" spans="1:2">
      <c r="A52" s="21">
        <v>85225</v>
      </c>
      <c r="B52" t="s">
        <v>198</v>
      </c>
    </row>
    <row r="53" spans="1:2">
      <c r="A53" s="21">
        <v>85226</v>
      </c>
      <c r="B53" t="s">
        <v>198</v>
      </c>
    </row>
    <row r="54" spans="1:2">
      <c r="A54" s="21">
        <v>85233</v>
      </c>
      <c r="B54" t="s">
        <v>198</v>
      </c>
    </row>
    <row r="55" spans="1:2">
      <c r="A55" s="21">
        <v>85234</v>
      </c>
      <c r="B55" t="s">
        <v>198</v>
      </c>
    </row>
    <row r="56" spans="1:2">
      <c r="A56" s="21">
        <v>85248</v>
      </c>
      <c r="B56" t="s">
        <v>198</v>
      </c>
    </row>
    <row r="57" spans="1:2">
      <c r="A57" s="21">
        <v>85249</v>
      </c>
      <c r="B57" t="s">
        <v>198</v>
      </c>
    </row>
    <row r="58" spans="1:2">
      <c r="A58" s="21">
        <v>85250</v>
      </c>
      <c r="B58" t="s">
        <v>198</v>
      </c>
    </row>
    <row r="59" spans="1:2">
      <c r="A59" s="21">
        <v>85251</v>
      </c>
      <c r="B59" t="s">
        <v>198</v>
      </c>
    </row>
    <row r="60" spans="1:2">
      <c r="A60" s="21">
        <v>85253</v>
      </c>
      <c r="B60" t="s">
        <v>198</v>
      </c>
    </row>
    <row r="61" spans="1:2">
      <c r="A61" s="21">
        <v>85254</v>
      </c>
      <c r="B61" t="s">
        <v>198</v>
      </c>
    </row>
    <row r="62" spans="1:2">
      <c r="A62" s="21">
        <v>85257</v>
      </c>
      <c r="B62" t="s">
        <v>198</v>
      </c>
    </row>
    <row r="63" spans="1:2">
      <c r="A63" s="21">
        <v>85258</v>
      </c>
      <c r="B63" t="s">
        <v>198</v>
      </c>
    </row>
    <row r="64" spans="1:2">
      <c r="A64" s="21">
        <v>85260</v>
      </c>
      <c r="B64" t="s">
        <v>198</v>
      </c>
    </row>
    <row r="65" spans="1:2">
      <c r="A65" s="21">
        <v>85281</v>
      </c>
      <c r="B65" t="s">
        <v>198</v>
      </c>
    </row>
    <row r="66" spans="1:2">
      <c r="A66" s="21">
        <v>85282</v>
      </c>
      <c r="B66" t="s">
        <v>198</v>
      </c>
    </row>
    <row r="67" spans="1:2">
      <c r="A67" s="21">
        <v>85283</v>
      </c>
      <c r="B67" t="s">
        <v>198</v>
      </c>
    </row>
    <row r="68" spans="1:2">
      <c r="A68" s="21">
        <v>85284</v>
      </c>
      <c r="B68" t="s">
        <v>198</v>
      </c>
    </row>
    <row r="69" spans="1:2">
      <c r="A69" s="21">
        <v>85286</v>
      </c>
      <c r="B69" t="s">
        <v>198</v>
      </c>
    </row>
    <row r="70" spans="1:2">
      <c r="A70" s="21">
        <v>85295</v>
      </c>
      <c r="B70" t="s">
        <v>198</v>
      </c>
    </row>
    <row r="71" spans="1:2">
      <c r="A71" s="21">
        <v>85296</v>
      </c>
      <c r="B71" t="s">
        <v>198</v>
      </c>
    </row>
    <row r="72" spans="1:2">
      <c r="A72" s="21">
        <v>85297</v>
      </c>
      <c r="B72" t="s">
        <v>198</v>
      </c>
    </row>
    <row r="73" spans="1:2">
      <c r="A73" s="21">
        <v>85298</v>
      </c>
      <c r="B73" t="s">
        <v>198</v>
      </c>
    </row>
    <row r="74" spans="1:2">
      <c r="A74" s="21">
        <v>85301</v>
      </c>
      <c r="B74" t="s">
        <v>198</v>
      </c>
    </row>
    <row r="75" spans="1:2">
      <c r="A75" s="21">
        <v>85302</v>
      </c>
      <c r="B75" t="s">
        <v>198</v>
      </c>
    </row>
    <row r="76" spans="1:2">
      <c r="A76" s="21">
        <v>85303</v>
      </c>
      <c r="B76" t="s">
        <v>198</v>
      </c>
    </row>
    <row r="77" spans="1:2">
      <c r="A77" s="21">
        <v>85304</v>
      </c>
      <c r="B77" t="s">
        <v>198</v>
      </c>
    </row>
    <row r="78" spans="1:2">
      <c r="A78" s="21">
        <v>85305</v>
      </c>
      <c r="B78" t="s">
        <v>198</v>
      </c>
    </row>
    <row r="79" spans="1:2">
      <c r="A79" s="21">
        <v>85306</v>
      </c>
      <c r="B79" t="s">
        <v>198</v>
      </c>
    </row>
    <row r="80" spans="1:2">
      <c r="A80" s="21">
        <v>85307</v>
      </c>
      <c r="B80" t="s">
        <v>198</v>
      </c>
    </row>
    <row r="81" spans="1:2">
      <c r="A81" s="21">
        <v>85308</v>
      </c>
      <c r="B81" t="s">
        <v>198</v>
      </c>
    </row>
    <row r="82" spans="1:2">
      <c r="A82" s="21">
        <v>85310</v>
      </c>
      <c r="B82" t="s">
        <v>198</v>
      </c>
    </row>
    <row r="83" spans="1:2">
      <c r="A83" s="21">
        <v>85323</v>
      </c>
      <c r="B83" t="s">
        <v>198</v>
      </c>
    </row>
    <row r="84" spans="1:2">
      <c r="A84" s="21">
        <v>85335</v>
      </c>
      <c r="B84" t="s">
        <v>198</v>
      </c>
    </row>
    <row r="85" spans="1:2">
      <c r="A85" s="21">
        <v>85340</v>
      </c>
      <c r="B85" t="s">
        <v>198</v>
      </c>
    </row>
    <row r="86" spans="1:2">
      <c r="A86" s="21">
        <v>85345</v>
      </c>
      <c r="B86" t="s">
        <v>198</v>
      </c>
    </row>
    <row r="87" spans="1:2">
      <c r="A87" s="21">
        <v>85351</v>
      </c>
      <c r="B87" t="s">
        <v>198</v>
      </c>
    </row>
    <row r="88" spans="1:2">
      <c r="A88" s="21">
        <v>85353</v>
      </c>
      <c r="B88" t="s">
        <v>198</v>
      </c>
    </row>
    <row r="89" spans="1:2">
      <c r="A89" s="21">
        <v>85363</v>
      </c>
      <c r="B89" t="s">
        <v>198</v>
      </c>
    </row>
    <row r="90" spans="1:2">
      <c r="A90" s="21">
        <v>85373</v>
      </c>
      <c r="B90" t="s">
        <v>198</v>
      </c>
    </row>
    <row r="91" spans="1:2">
      <c r="A91" s="21">
        <v>85374</v>
      </c>
      <c r="B91" t="s">
        <v>198</v>
      </c>
    </row>
    <row r="92" spans="1:2">
      <c r="A92" s="21">
        <v>85375</v>
      </c>
      <c r="B92" t="s">
        <v>198</v>
      </c>
    </row>
    <row r="93" spans="1:2">
      <c r="A93" s="21">
        <v>85379</v>
      </c>
      <c r="B93" t="s">
        <v>198</v>
      </c>
    </row>
    <row r="94" spans="1:2">
      <c r="A94" s="21">
        <v>85381</v>
      </c>
      <c r="B94" t="s">
        <v>198</v>
      </c>
    </row>
    <row r="95" spans="1:2">
      <c r="A95" s="21">
        <v>85382</v>
      </c>
      <c r="B95" t="s">
        <v>198</v>
      </c>
    </row>
    <row r="96" spans="1:2">
      <c r="A96" s="21">
        <v>85392</v>
      </c>
      <c r="B96" t="s">
        <v>198</v>
      </c>
    </row>
    <row r="97" spans="1:2">
      <c r="A97" s="21">
        <v>85395</v>
      </c>
      <c r="B97" t="s">
        <v>198</v>
      </c>
    </row>
    <row r="98" spans="1:2">
      <c r="A98" s="21">
        <v>89002</v>
      </c>
      <c r="B98" t="s">
        <v>198</v>
      </c>
    </row>
    <row r="99" spans="1:2">
      <c r="A99" s="21">
        <v>89011</v>
      </c>
      <c r="B99" t="s">
        <v>198</v>
      </c>
    </row>
    <row r="100" spans="1:2">
      <c r="A100" s="21">
        <v>89012</v>
      </c>
      <c r="B100" t="s">
        <v>198</v>
      </c>
    </row>
    <row r="101" spans="1:2">
      <c r="A101" s="21">
        <v>89014</v>
      </c>
      <c r="B101" t="s">
        <v>198</v>
      </c>
    </row>
    <row r="102" spans="1:2">
      <c r="A102" s="21">
        <v>89015</v>
      </c>
      <c r="B102" t="s">
        <v>198</v>
      </c>
    </row>
    <row r="103" spans="1:2">
      <c r="A103" s="21">
        <v>89030</v>
      </c>
      <c r="B103" t="s">
        <v>198</v>
      </c>
    </row>
    <row r="104" spans="1:2">
      <c r="A104" s="21">
        <v>89031</v>
      </c>
      <c r="B104" t="s">
        <v>198</v>
      </c>
    </row>
    <row r="105" spans="1:2">
      <c r="A105" s="21">
        <v>89032</v>
      </c>
      <c r="B105" t="s">
        <v>198</v>
      </c>
    </row>
    <row r="106" spans="1:2">
      <c r="A106" s="21">
        <v>89044</v>
      </c>
      <c r="B106" t="s">
        <v>198</v>
      </c>
    </row>
    <row r="107" spans="1:2">
      <c r="A107" s="21">
        <v>89052</v>
      </c>
      <c r="B107" t="s">
        <v>198</v>
      </c>
    </row>
    <row r="108" spans="1:2">
      <c r="A108" s="21">
        <v>89074</v>
      </c>
      <c r="B108" t="s">
        <v>198</v>
      </c>
    </row>
    <row r="109" spans="1:2">
      <c r="A109" s="21">
        <v>89081</v>
      </c>
      <c r="B109" t="s">
        <v>198</v>
      </c>
    </row>
    <row r="110" spans="1:2">
      <c r="A110" s="21">
        <v>89084</v>
      </c>
      <c r="B110" t="s">
        <v>198</v>
      </c>
    </row>
    <row r="111" spans="1:2">
      <c r="A111" s="21">
        <v>89085</v>
      </c>
      <c r="B111" t="s">
        <v>198</v>
      </c>
    </row>
    <row r="112" spans="1:2">
      <c r="A112" s="21">
        <v>89086</v>
      </c>
      <c r="B112" t="s">
        <v>198</v>
      </c>
    </row>
    <row r="113" spans="1:2">
      <c r="A113" s="21">
        <v>89101</v>
      </c>
      <c r="B113" t="s">
        <v>198</v>
      </c>
    </row>
    <row r="114" spans="1:2">
      <c r="A114" s="21">
        <v>89102</v>
      </c>
      <c r="B114" t="s">
        <v>198</v>
      </c>
    </row>
    <row r="115" spans="1:2">
      <c r="A115" s="21">
        <v>89103</v>
      </c>
      <c r="B115" t="s">
        <v>198</v>
      </c>
    </row>
    <row r="116" spans="1:2">
      <c r="A116" s="21">
        <v>89104</v>
      </c>
      <c r="B116" t="s">
        <v>198</v>
      </c>
    </row>
    <row r="117" spans="1:2">
      <c r="A117" s="21">
        <v>89106</v>
      </c>
      <c r="B117" t="s">
        <v>198</v>
      </c>
    </row>
    <row r="118" spans="1:2">
      <c r="A118" s="21">
        <v>89107</v>
      </c>
      <c r="B118" t="s">
        <v>198</v>
      </c>
    </row>
    <row r="119" spans="1:2">
      <c r="A119" s="21">
        <v>89108</v>
      </c>
      <c r="B119" t="s">
        <v>198</v>
      </c>
    </row>
    <row r="120" spans="1:2">
      <c r="A120" s="21">
        <v>89110</v>
      </c>
      <c r="B120" t="s">
        <v>198</v>
      </c>
    </row>
    <row r="121" spans="1:2">
      <c r="A121" s="21">
        <v>89113</v>
      </c>
      <c r="B121" t="s">
        <v>198</v>
      </c>
    </row>
    <row r="122" spans="1:2">
      <c r="A122" s="21">
        <v>89117</v>
      </c>
      <c r="B122" t="s">
        <v>198</v>
      </c>
    </row>
    <row r="123" spans="1:2">
      <c r="A123" s="21">
        <v>89118</v>
      </c>
      <c r="B123" t="s">
        <v>198</v>
      </c>
    </row>
    <row r="124" spans="1:2">
      <c r="A124" s="21">
        <v>89119</v>
      </c>
      <c r="B124" t="s">
        <v>198</v>
      </c>
    </row>
    <row r="125" spans="1:2">
      <c r="A125" s="21">
        <v>89120</v>
      </c>
      <c r="B125" t="s">
        <v>198</v>
      </c>
    </row>
    <row r="126" spans="1:2">
      <c r="A126" s="21">
        <v>89121</v>
      </c>
      <c r="B126" t="s">
        <v>198</v>
      </c>
    </row>
    <row r="127" spans="1:2">
      <c r="A127" s="21">
        <v>89122</v>
      </c>
      <c r="B127" t="s">
        <v>198</v>
      </c>
    </row>
    <row r="128" spans="1:2">
      <c r="A128" s="21">
        <v>89123</v>
      </c>
      <c r="B128" t="s">
        <v>198</v>
      </c>
    </row>
    <row r="129" spans="1:2">
      <c r="A129" s="21">
        <v>89128</v>
      </c>
      <c r="B129" t="s">
        <v>198</v>
      </c>
    </row>
    <row r="130" spans="1:2">
      <c r="A130" s="21">
        <v>89129</v>
      </c>
      <c r="B130" t="s">
        <v>198</v>
      </c>
    </row>
    <row r="131" spans="1:2">
      <c r="A131" s="21">
        <v>89130</v>
      </c>
      <c r="B131" t="s">
        <v>198</v>
      </c>
    </row>
    <row r="132" spans="1:2">
      <c r="A132" s="21">
        <v>89131</v>
      </c>
      <c r="B132" t="s">
        <v>198</v>
      </c>
    </row>
    <row r="133" spans="1:2">
      <c r="A133" s="21">
        <v>89134</v>
      </c>
      <c r="B133" t="s">
        <v>198</v>
      </c>
    </row>
    <row r="134" spans="1:2">
      <c r="A134" s="21">
        <v>89135</v>
      </c>
      <c r="B134" t="s">
        <v>198</v>
      </c>
    </row>
    <row r="135" spans="1:2">
      <c r="A135" s="21">
        <v>89138</v>
      </c>
      <c r="B135" t="s">
        <v>198</v>
      </c>
    </row>
    <row r="136" spans="1:2">
      <c r="A136" s="21">
        <v>89139</v>
      </c>
      <c r="B136" t="s">
        <v>198</v>
      </c>
    </row>
    <row r="137" spans="1:2">
      <c r="A137" s="21">
        <v>89141</v>
      </c>
      <c r="B137" t="s">
        <v>198</v>
      </c>
    </row>
    <row r="138" spans="1:2">
      <c r="A138" s="21">
        <v>89142</v>
      </c>
      <c r="B138" t="s">
        <v>198</v>
      </c>
    </row>
    <row r="139" spans="1:2">
      <c r="A139" s="21">
        <v>89143</v>
      </c>
      <c r="B139" t="s">
        <v>198</v>
      </c>
    </row>
    <row r="140" spans="1:2">
      <c r="A140" s="21">
        <v>89144</v>
      </c>
      <c r="B140" t="s">
        <v>198</v>
      </c>
    </row>
    <row r="141" spans="1:2">
      <c r="A141" s="21">
        <v>89145</v>
      </c>
      <c r="B141" t="s">
        <v>198</v>
      </c>
    </row>
    <row r="142" spans="1:2">
      <c r="A142" s="21">
        <v>89146</v>
      </c>
      <c r="B142" t="s">
        <v>198</v>
      </c>
    </row>
    <row r="143" spans="1:2">
      <c r="A143" s="21">
        <v>89147</v>
      </c>
      <c r="B143" t="s">
        <v>198</v>
      </c>
    </row>
    <row r="144" spans="1:2">
      <c r="A144" s="21">
        <v>89148</v>
      </c>
      <c r="B144" t="s">
        <v>198</v>
      </c>
    </row>
    <row r="145" spans="1:2">
      <c r="A145" s="21">
        <v>89149</v>
      </c>
      <c r="B145" t="s">
        <v>198</v>
      </c>
    </row>
    <row r="146" spans="1:2">
      <c r="A146" s="21">
        <v>89156</v>
      </c>
      <c r="B146" t="s">
        <v>198</v>
      </c>
    </row>
    <row r="147" spans="1:2">
      <c r="A147" s="21">
        <v>89166</v>
      </c>
      <c r="B147" t="s">
        <v>198</v>
      </c>
    </row>
    <row r="148" spans="1:2">
      <c r="A148" s="21">
        <v>89169</v>
      </c>
      <c r="B148" t="s">
        <v>198</v>
      </c>
    </row>
    <row r="149" spans="1:2">
      <c r="A149" s="21">
        <v>89178</v>
      </c>
      <c r="B149" t="s">
        <v>198</v>
      </c>
    </row>
    <row r="150" spans="1:2">
      <c r="A150" s="21">
        <v>89179</v>
      </c>
      <c r="B150" t="s">
        <v>198</v>
      </c>
    </row>
    <row r="151" spans="1:2">
      <c r="A151" s="21">
        <v>89183</v>
      </c>
      <c r="B151" t="s">
        <v>198</v>
      </c>
    </row>
    <row r="152" spans="1:2">
      <c r="A152" s="21">
        <v>90001</v>
      </c>
      <c r="B152" t="s">
        <v>198</v>
      </c>
    </row>
    <row r="153" spans="1:2">
      <c r="A153" s="21">
        <v>90002</v>
      </c>
      <c r="B153" t="s">
        <v>198</v>
      </c>
    </row>
    <row r="154" spans="1:2">
      <c r="A154" s="21">
        <v>90003</v>
      </c>
      <c r="B154" t="s">
        <v>198</v>
      </c>
    </row>
    <row r="155" spans="1:2">
      <c r="A155" s="21">
        <v>90004</v>
      </c>
      <c r="B155" t="s">
        <v>198</v>
      </c>
    </row>
    <row r="156" spans="1:2">
      <c r="A156" s="21">
        <v>90005</v>
      </c>
      <c r="B156" t="s">
        <v>198</v>
      </c>
    </row>
    <row r="157" spans="1:2">
      <c r="A157" s="21">
        <v>90006</v>
      </c>
      <c r="B157" t="s">
        <v>198</v>
      </c>
    </row>
    <row r="158" spans="1:2">
      <c r="A158" s="21">
        <v>90007</v>
      </c>
      <c r="B158" t="s">
        <v>198</v>
      </c>
    </row>
    <row r="159" spans="1:2">
      <c r="A159" s="21">
        <v>90008</v>
      </c>
      <c r="B159" t="s">
        <v>198</v>
      </c>
    </row>
    <row r="160" spans="1:2">
      <c r="A160" s="21">
        <v>90011</v>
      </c>
      <c r="B160" t="s">
        <v>198</v>
      </c>
    </row>
    <row r="161" spans="1:2">
      <c r="A161" s="21">
        <v>90016</v>
      </c>
      <c r="B161" t="s">
        <v>198</v>
      </c>
    </row>
    <row r="162" spans="1:2">
      <c r="A162" s="21">
        <v>90018</v>
      </c>
      <c r="B162" t="s">
        <v>198</v>
      </c>
    </row>
    <row r="163" spans="1:2">
      <c r="A163" s="21">
        <v>90019</v>
      </c>
      <c r="B163" t="s">
        <v>198</v>
      </c>
    </row>
    <row r="164" spans="1:2">
      <c r="A164" s="21">
        <v>90020</v>
      </c>
      <c r="B164" t="s">
        <v>198</v>
      </c>
    </row>
    <row r="165" spans="1:2">
      <c r="A165" s="21">
        <v>90022</v>
      </c>
      <c r="B165" t="s">
        <v>198</v>
      </c>
    </row>
    <row r="166" spans="1:2">
      <c r="A166" s="21">
        <v>90023</v>
      </c>
      <c r="B166" t="s">
        <v>198</v>
      </c>
    </row>
    <row r="167" spans="1:2">
      <c r="A167" s="21">
        <v>90024</v>
      </c>
      <c r="B167" t="s">
        <v>198</v>
      </c>
    </row>
    <row r="168" spans="1:2">
      <c r="A168" s="21">
        <v>90025</v>
      </c>
      <c r="B168" t="s">
        <v>198</v>
      </c>
    </row>
    <row r="169" spans="1:2">
      <c r="A169" s="21">
        <v>90026</v>
      </c>
      <c r="B169" t="s">
        <v>198</v>
      </c>
    </row>
    <row r="170" spans="1:2">
      <c r="A170" s="21">
        <v>90027</v>
      </c>
      <c r="B170" t="s">
        <v>198</v>
      </c>
    </row>
    <row r="171" spans="1:2">
      <c r="A171" s="21">
        <v>90028</v>
      </c>
      <c r="B171" t="s">
        <v>198</v>
      </c>
    </row>
    <row r="172" spans="1:2">
      <c r="A172" s="21">
        <v>90029</v>
      </c>
      <c r="B172" t="s">
        <v>198</v>
      </c>
    </row>
    <row r="173" spans="1:2">
      <c r="A173" s="21">
        <v>90032</v>
      </c>
      <c r="B173" t="s">
        <v>198</v>
      </c>
    </row>
    <row r="174" spans="1:2">
      <c r="A174" s="21">
        <v>90034</v>
      </c>
      <c r="B174" t="s">
        <v>198</v>
      </c>
    </row>
    <row r="175" spans="1:2">
      <c r="A175" s="21">
        <v>90035</v>
      </c>
      <c r="B175" t="s">
        <v>198</v>
      </c>
    </row>
    <row r="176" spans="1:2">
      <c r="A176" s="21">
        <v>90037</v>
      </c>
      <c r="B176" t="s">
        <v>198</v>
      </c>
    </row>
    <row r="177" spans="1:2">
      <c r="A177" s="21">
        <v>90038</v>
      </c>
      <c r="B177" t="s">
        <v>198</v>
      </c>
    </row>
    <row r="178" spans="1:2">
      <c r="A178" s="21">
        <v>90039</v>
      </c>
      <c r="B178" t="s">
        <v>198</v>
      </c>
    </row>
    <row r="179" spans="1:2">
      <c r="A179" s="21">
        <v>90040</v>
      </c>
      <c r="B179" t="s">
        <v>198</v>
      </c>
    </row>
    <row r="180" spans="1:2">
      <c r="A180" s="21">
        <v>90041</v>
      </c>
      <c r="B180" t="s">
        <v>198</v>
      </c>
    </row>
    <row r="181" spans="1:2">
      <c r="A181" s="21">
        <v>90042</v>
      </c>
      <c r="B181" t="s">
        <v>198</v>
      </c>
    </row>
    <row r="182" spans="1:2">
      <c r="A182" s="21">
        <v>90043</v>
      </c>
      <c r="B182" t="s">
        <v>198</v>
      </c>
    </row>
    <row r="183" spans="1:2">
      <c r="A183" s="21">
        <v>90044</v>
      </c>
      <c r="B183" t="s">
        <v>198</v>
      </c>
    </row>
    <row r="184" spans="1:2">
      <c r="A184" s="21">
        <v>90045</v>
      </c>
      <c r="B184" t="s">
        <v>198</v>
      </c>
    </row>
    <row r="185" spans="1:2">
      <c r="A185" s="21">
        <v>90046</v>
      </c>
      <c r="B185" t="s">
        <v>198</v>
      </c>
    </row>
    <row r="186" spans="1:2">
      <c r="A186" s="21">
        <v>90047</v>
      </c>
      <c r="B186" t="s">
        <v>198</v>
      </c>
    </row>
    <row r="187" spans="1:2">
      <c r="A187" s="21">
        <v>90048</v>
      </c>
      <c r="B187" t="s">
        <v>198</v>
      </c>
    </row>
    <row r="188" spans="1:2">
      <c r="A188" s="21">
        <v>90058</v>
      </c>
      <c r="B188" t="s">
        <v>198</v>
      </c>
    </row>
    <row r="189" spans="1:2">
      <c r="A189" s="21">
        <v>90059</v>
      </c>
      <c r="B189" t="s">
        <v>198</v>
      </c>
    </row>
    <row r="190" spans="1:2">
      <c r="A190" s="21">
        <v>90061</v>
      </c>
      <c r="B190" t="s">
        <v>198</v>
      </c>
    </row>
    <row r="191" spans="1:2">
      <c r="A191" s="21">
        <v>90062</v>
      </c>
      <c r="B191" t="s">
        <v>198</v>
      </c>
    </row>
    <row r="192" spans="1:2">
      <c r="A192" s="21">
        <v>90063</v>
      </c>
      <c r="B192" t="s">
        <v>198</v>
      </c>
    </row>
    <row r="193" spans="1:2">
      <c r="A193" s="21">
        <v>90064</v>
      </c>
      <c r="B193" t="s">
        <v>198</v>
      </c>
    </row>
    <row r="194" spans="1:2">
      <c r="A194" s="21">
        <v>90065</v>
      </c>
      <c r="B194" t="s">
        <v>198</v>
      </c>
    </row>
    <row r="195" spans="1:2">
      <c r="A195" s="21">
        <v>90066</v>
      </c>
      <c r="B195" t="s">
        <v>198</v>
      </c>
    </row>
    <row r="196" spans="1:2">
      <c r="A196" s="21">
        <v>90068</v>
      </c>
      <c r="B196" t="s">
        <v>198</v>
      </c>
    </row>
    <row r="197" spans="1:2">
      <c r="A197" s="21">
        <v>90069</v>
      </c>
      <c r="B197" t="s">
        <v>198</v>
      </c>
    </row>
    <row r="198" spans="1:2">
      <c r="A198" s="21">
        <v>90201</v>
      </c>
      <c r="B198" t="s">
        <v>198</v>
      </c>
    </row>
    <row r="199" spans="1:2">
      <c r="A199" s="21">
        <v>90220</v>
      </c>
      <c r="B199" t="s">
        <v>198</v>
      </c>
    </row>
    <row r="200" spans="1:2">
      <c r="A200" s="21">
        <v>90221</v>
      </c>
      <c r="B200" t="s">
        <v>198</v>
      </c>
    </row>
    <row r="201" spans="1:2">
      <c r="A201" s="21">
        <v>90222</v>
      </c>
      <c r="B201" t="s">
        <v>198</v>
      </c>
    </row>
    <row r="202" spans="1:2">
      <c r="A202" s="21">
        <v>90230</v>
      </c>
      <c r="B202" t="s">
        <v>198</v>
      </c>
    </row>
    <row r="203" spans="1:2">
      <c r="A203" s="21">
        <v>90232</v>
      </c>
      <c r="B203" t="s">
        <v>198</v>
      </c>
    </row>
    <row r="204" spans="1:2">
      <c r="A204" s="21">
        <v>90240</v>
      </c>
      <c r="B204" t="s">
        <v>198</v>
      </c>
    </row>
    <row r="205" spans="1:2">
      <c r="A205" s="21">
        <v>90241</v>
      </c>
      <c r="B205" t="s">
        <v>198</v>
      </c>
    </row>
    <row r="206" spans="1:2">
      <c r="A206" s="21">
        <v>90242</v>
      </c>
      <c r="B206" t="s">
        <v>198</v>
      </c>
    </row>
    <row r="207" spans="1:2">
      <c r="A207" s="21">
        <v>90245</v>
      </c>
      <c r="B207" t="s">
        <v>198</v>
      </c>
    </row>
    <row r="208" spans="1:2">
      <c r="A208" s="21">
        <v>90247</v>
      </c>
      <c r="B208" t="s">
        <v>198</v>
      </c>
    </row>
    <row r="209" spans="1:2">
      <c r="A209" s="21">
        <v>90248</v>
      </c>
      <c r="B209" t="s">
        <v>198</v>
      </c>
    </row>
    <row r="210" spans="1:2">
      <c r="A210" s="21">
        <v>90249</v>
      </c>
      <c r="B210" t="s">
        <v>198</v>
      </c>
    </row>
    <row r="211" spans="1:2">
      <c r="A211" s="21">
        <v>90250</v>
      </c>
      <c r="B211" t="s">
        <v>198</v>
      </c>
    </row>
    <row r="212" spans="1:2">
      <c r="A212" s="21">
        <v>90254</v>
      </c>
      <c r="B212" t="s">
        <v>198</v>
      </c>
    </row>
    <row r="213" spans="1:2">
      <c r="A213" s="21">
        <v>90255</v>
      </c>
      <c r="B213" t="s">
        <v>198</v>
      </c>
    </row>
    <row r="214" spans="1:2">
      <c r="A214" s="21">
        <v>90260</v>
      </c>
      <c r="B214" t="s">
        <v>198</v>
      </c>
    </row>
    <row r="215" spans="1:2">
      <c r="A215" s="21">
        <v>90262</v>
      </c>
      <c r="B215" t="s">
        <v>198</v>
      </c>
    </row>
    <row r="216" spans="1:2">
      <c r="A216" s="21">
        <v>90266</v>
      </c>
      <c r="B216" t="s">
        <v>198</v>
      </c>
    </row>
    <row r="217" spans="1:2">
      <c r="A217" s="21">
        <v>90270</v>
      </c>
      <c r="B217" t="s">
        <v>198</v>
      </c>
    </row>
    <row r="218" spans="1:2">
      <c r="A218" s="21">
        <v>90274</v>
      </c>
      <c r="B218" t="s">
        <v>198</v>
      </c>
    </row>
    <row r="219" spans="1:2">
      <c r="A219" s="21">
        <v>90275</v>
      </c>
      <c r="B219" t="s">
        <v>198</v>
      </c>
    </row>
    <row r="220" spans="1:2">
      <c r="A220" s="21">
        <v>90277</v>
      </c>
      <c r="B220" t="s">
        <v>198</v>
      </c>
    </row>
    <row r="221" spans="1:2">
      <c r="A221" s="21">
        <v>90278</v>
      </c>
      <c r="B221" t="s">
        <v>198</v>
      </c>
    </row>
    <row r="222" spans="1:2">
      <c r="A222" s="21">
        <v>90280</v>
      </c>
      <c r="B222" t="s">
        <v>198</v>
      </c>
    </row>
    <row r="223" spans="1:2">
      <c r="A223" s="21">
        <v>90291</v>
      </c>
      <c r="B223" t="s">
        <v>198</v>
      </c>
    </row>
    <row r="224" spans="1:2">
      <c r="A224" s="21">
        <v>90292</v>
      </c>
      <c r="B224" t="s">
        <v>198</v>
      </c>
    </row>
    <row r="225" spans="1:2">
      <c r="A225" s="21">
        <v>90293</v>
      </c>
      <c r="B225" t="s">
        <v>198</v>
      </c>
    </row>
    <row r="226" spans="1:2">
      <c r="A226" s="21">
        <v>90403</v>
      </c>
      <c r="B226" t="s">
        <v>198</v>
      </c>
    </row>
    <row r="227" spans="1:2">
      <c r="A227" s="21">
        <v>90404</v>
      </c>
      <c r="B227" t="s">
        <v>198</v>
      </c>
    </row>
    <row r="228" spans="1:2">
      <c r="A228" s="21">
        <v>90405</v>
      </c>
      <c r="B228" t="s">
        <v>198</v>
      </c>
    </row>
    <row r="229" spans="1:2">
      <c r="A229" s="21">
        <v>90501</v>
      </c>
      <c r="B229" t="s">
        <v>198</v>
      </c>
    </row>
    <row r="230" spans="1:2">
      <c r="A230" s="21">
        <v>90502</v>
      </c>
      <c r="B230" t="s">
        <v>198</v>
      </c>
    </row>
    <row r="231" spans="1:2">
      <c r="A231" s="21">
        <v>90503</v>
      </c>
      <c r="B231" t="s">
        <v>198</v>
      </c>
    </row>
    <row r="232" spans="1:2">
      <c r="A232" s="21">
        <v>90504</v>
      </c>
      <c r="B232" t="s">
        <v>198</v>
      </c>
    </row>
    <row r="233" spans="1:2">
      <c r="A233" s="21">
        <v>90505</v>
      </c>
      <c r="B233" t="s">
        <v>198</v>
      </c>
    </row>
    <row r="234" spans="1:2">
      <c r="A234" s="21">
        <v>90601</v>
      </c>
      <c r="B234" t="s">
        <v>198</v>
      </c>
    </row>
    <row r="235" spans="1:2">
      <c r="A235" s="21">
        <v>90602</v>
      </c>
      <c r="B235" t="s">
        <v>198</v>
      </c>
    </row>
    <row r="236" spans="1:2">
      <c r="A236" s="21">
        <v>90603</v>
      </c>
      <c r="B236" t="s">
        <v>198</v>
      </c>
    </row>
    <row r="237" spans="1:2">
      <c r="A237" s="21">
        <v>90604</v>
      </c>
      <c r="B237" t="s">
        <v>198</v>
      </c>
    </row>
    <row r="238" spans="1:2">
      <c r="A238" s="21">
        <v>90605</v>
      </c>
      <c r="B238" t="s">
        <v>198</v>
      </c>
    </row>
    <row r="239" spans="1:2">
      <c r="A239" s="21">
        <v>90606</v>
      </c>
      <c r="B239" t="s">
        <v>198</v>
      </c>
    </row>
    <row r="240" spans="1:2">
      <c r="A240" s="21">
        <v>90620</v>
      </c>
      <c r="B240" t="s">
        <v>198</v>
      </c>
    </row>
    <row r="241" spans="1:2">
      <c r="A241" s="21">
        <v>90621</v>
      </c>
      <c r="B241" t="s">
        <v>198</v>
      </c>
    </row>
    <row r="242" spans="1:2">
      <c r="A242" s="21">
        <v>90623</v>
      </c>
      <c r="B242" t="s">
        <v>198</v>
      </c>
    </row>
    <row r="243" spans="1:2">
      <c r="A243" s="21">
        <v>90630</v>
      </c>
      <c r="B243" t="s">
        <v>198</v>
      </c>
    </row>
    <row r="244" spans="1:2">
      <c r="A244" s="21">
        <v>90631</v>
      </c>
      <c r="B244" t="s">
        <v>198</v>
      </c>
    </row>
    <row r="245" spans="1:2">
      <c r="A245" s="21">
        <v>90638</v>
      </c>
      <c r="B245" t="s">
        <v>198</v>
      </c>
    </row>
    <row r="246" spans="1:2">
      <c r="A246" s="21">
        <v>90639</v>
      </c>
      <c r="B246" t="s">
        <v>198</v>
      </c>
    </row>
    <row r="247" spans="1:2">
      <c r="A247" s="21">
        <v>90640</v>
      </c>
      <c r="B247" t="s">
        <v>198</v>
      </c>
    </row>
    <row r="248" spans="1:2">
      <c r="A248" s="21">
        <v>90650</v>
      </c>
      <c r="B248" t="s">
        <v>198</v>
      </c>
    </row>
    <row r="249" spans="1:2">
      <c r="A249" s="21">
        <v>90660</v>
      </c>
      <c r="B249" t="s">
        <v>198</v>
      </c>
    </row>
    <row r="250" spans="1:2">
      <c r="A250" s="21">
        <v>90670</v>
      </c>
      <c r="B250" t="s">
        <v>198</v>
      </c>
    </row>
    <row r="251" spans="1:2">
      <c r="A251" s="21">
        <v>90680</v>
      </c>
      <c r="B251" t="s">
        <v>198</v>
      </c>
    </row>
    <row r="252" spans="1:2">
      <c r="A252" s="21">
        <v>90701</v>
      </c>
      <c r="B252" t="s">
        <v>198</v>
      </c>
    </row>
    <row r="253" spans="1:2">
      <c r="A253" s="21">
        <v>90703</v>
      </c>
      <c r="B253" t="s">
        <v>198</v>
      </c>
    </row>
    <row r="254" spans="1:2">
      <c r="A254" s="21">
        <v>90706</v>
      </c>
      <c r="B254" t="s">
        <v>198</v>
      </c>
    </row>
    <row r="255" spans="1:2">
      <c r="A255" s="21">
        <v>90710</v>
      </c>
      <c r="B255" t="s">
        <v>198</v>
      </c>
    </row>
    <row r="256" spans="1:2">
      <c r="A256" s="21">
        <v>90712</v>
      </c>
      <c r="B256" t="s">
        <v>198</v>
      </c>
    </row>
    <row r="257" spans="1:2">
      <c r="A257" s="21">
        <v>90713</v>
      </c>
      <c r="B257" t="s">
        <v>198</v>
      </c>
    </row>
    <row r="258" spans="1:2">
      <c r="A258" s="21">
        <v>90715</v>
      </c>
      <c r="B258" t="s">
        <v>198</v>
      </c>
    </row>
    <row r="259" spans="1:2">
      <c r="A259" s="21">
        <v>90716</v>
      </c>
      <c r="B259" t="s">
        <v>198</v>
      </c>
    </row>
    <row r="260" spans="1:2">
      <c r="A260" s="21">
        <v>90717</v>
      </c>
      <c r="B260" t="s">
        <v>198</v>
      </c>
    </row>
    <row r="261" spans="1:2">
      <c r="A261" s="21">
        <v>90720</v>
      </c>
      <c r="B261" t="s">
        <v>198</v>
      </c>
    </row>
    <row r="262" spans="1:2">
      <c r="A262" s="21">
        <v>90723</v>
      </c>
      <c r="B262" t="s">
        <v>198</v>
      </c>
    </row>
    <row r="263" spans="1:2">
      <c r="A263" s="21">
        <v>90731</v>
      </c>
      <c r="B263" t="s">
        <v>198</v>
      </c>
    </row>
    <row r="264" spans="1:2">
      <c r="A264" s="21">
        <v>90732</v>
      </c>
      <c r="B264" t="s">
        <v>198</v>
      </c>
    </row>
    <row r="265" spans="1:2">
      <c r="A265" s="21">
        <v>90740</v>
      </c>
      <c r="B265" t="s">
        <v>198</v>
      </c>
    </row>
    <row r="266" spans="1:2">
      <c r="A266" s="21">
        <v>90744</v>
      </c>
      <c r="B266" t="s">
        <v>198</v>
      </c>
    </row>
    <row r="267" spans="1:2">
      <c r="A267" s="21">
        <v>90745</v>
      </c>
      <c r="B267" t="s">
        <v>198</v>
      </c>
    </row>
    <row r="268" spans="1:2">
      <c r="A268" s="21">
        <v>90746</v>
      </c>
      <c r="B268" t="s">
        <v>198</v>
      </c>
    </row>
    <row r="269" spans="1:2">
      <c r="A269" s="21">
        <v>90755</v>
      </c>
      <c r="B269" t="s">
        <v>198</v>
      </c>
    </row>
    <row r="270" spans="1:2">
      <c r="A270" s="21">
        <v>90803</v>
      </c>
      <c r="B270" t="s">
        <v>198</v>
      </c>
    </row>
    <row r="271" spans="1:2">
      <c r="A271" s="21">
        <v>90804</v>
      </c>
      <c r="B271" t="s">
        <v>198</v>
      </c>
    </row>
    <row r="272" spans="1:2">
      <c r="A272" s="21">
        <v>90805</v>
      </c>
      <c r="B272" t="s">
        <v>198</v>
      </c>
    </row>
    <row r="273" spans="1:2">
      <c r="A273" s="21">
        <v>90806</v>
      </c>
      <c r="B273" t="s">
        <v>198</v>
      </c>
    </row>
    <row r="274" spans="1:2">
      <c r="A274" s="21">
        <v>90807</v>
      </c>
      <c r="B274" t="s">
        <v>198</v>
      </c>
    </row>
    <row r="275" spans="1:2">
      <c r="A275" s="21">
        <v>90808</v>
      </c>
      <c r="B275" t="s">
        <v>198</v>
      </c>
    </row>
    <row r="276" spans="1:2">
      <c r="A276" s="21">
        <v>90810</v>
      </c>
      <c r="B276" t="s">
        <v>198</v>
      </c>
    </row>
    <row r="277" spans="1:2">
      <c r="A277" s="21">
        <v>90813</v>
      </c>
      <c r="B277" t="s">
        <v>198</v>
      </c>
    </row>
    <row r="278" spans="1:2">
      <c r="A278" s="21">
        <v>90814</v>
      </c>
      <c r="B278" t="s">
        <v>198</v>
      </c>
    </row>
    <row r="279" spans="1:2">
      <c r="A279" s="21">
        <v>90815</v>
      </c>
      <c r="B279" t="s">
        <v>198</v>
      </c>
    </row>
    <row r="280" spans="1:2">
      <c r="A280" s="21">
        <v>91001</v>
      </c>
      <c r="B280" t="s">
        <v>198</v>
      </c>
    </row>
    <row r="281" spans="1:2">
      <c r="A281" s="21">
        <v>91006</v>
      </c>
      <c r="B281" t="s">
        <v>198</v>
      </c>
    </row>
    <row r="282" spans="1:2">
      <c r="A282" s="21">
        <v>91007</v>
      </c>
      <c r="B282" t="s">
        <v>198</v>
      </c>
    </row>
    <row r="283" spans="1:2">
      <c r="A283" s="21">
        <v>91010</v>
      </c>
      <c r="B283" t="s">
        <v>198</v>
      </c>
    </row>
    <row r="284" spans="1:2">
      <c r="A284" s="21">
        <v>91016</v>
      </c>
      <c r="B284" t="s">
        <v>198</v>
      </c>
    </row>
    <row r="285" spans="1:2">
      <c r="A285" s="21">
        <v>91030</v>
      </c>
      <c r="B285" t="s">
        <v>198</v>
      </c>
    </row>
    <row r="286" spans="1:2">
      <c r="A286" s="21">
        <v>91103</v>
      </c>
      <c r="B286" t="s">
        <v>198</v>
      </c>
    </row>
    <row r="287" spans="1:2">
      <c r="A287" s="21">
        <v>91106</v>
      </c>
      <c r="B287" t="s">
        <v>198</v>
      </c>
    </row>
    <row r="288" spans="1:2">
      <c r="A288" s="21">
        <v>91107</v>
      </c>
      <c r="B288" t="s">
        <v>198</v>
      </c>
    </row>
    <row r="289" spans="1:2">
      <c r="A289" s="21">
        <v>91108</v>
      </c>
      <c r="B289" t="s">
        <v>198</v>
      </c>
    </row>
    <row r="290" spans="1:2">
      <c r="A290" s="21">
        <v>91201</v>
      </c>
      <c r="B290" t="s">
        <v>198</v>
      </c>
    </row>
    <row r="291" spans="1:2">
      <c r="A291" s="21">
        <v>91202</v>
      </c>
      <c r="B291" t="s">
        <v>198</v>
      </c>
    </row>
    <row r="292" spans="1:2">
      <c r="A292" s="21">
        <v>91203</v>
      </c>
      <c r="B292" t="s">
        <v>198</v>
      </c>
    </row>
    <row r="293" spans="1:2">
      <c r="A293" s="21">
        <v>91204</v>
      </c>
      <c r="B293" t="s">
        <v>198</v>
      </c>
    </row>
    <row r="294" spans="1:2">
      <c r="A294" s="21">
        <v>91205</v>
      </c>
      <c r="B294" t="s">
        <v>198</v>
      </c>
    </row>
    <row r="295" spans="1:2">
      <c r="A295" s="21">
        <v>91206</v>
      </c>
      <c r="B295" t="s">
        <v>198</v>
      </c>
    </row>
    <row r="296" spans="1:2">
      <c r="A296" s="21">
        <v>91301</v>
      </c>
      <c r="B296" t="s">
        <v>198</v>
      </c>
    </row>
    <row r="297" spans="1:2">
      <c r="A297" s="21">
        <v>91302</v>
      </c>
      <c r="B297" t="s">
        <v>198</v>
      </c>
    </row>
    <row r="298" spans="1:2">
      <c r="A298" s="21">
        <v>91303</v>
      </c>
      <c r="B298" t="s">
        <v>198</v>
      </c>
    </row>
    <row r="299" spans="1:2">
      <c r="A299" s="21">
        <v>91304</v>
      </c>
      <c r="B299" t="s">
        <v>198</v>
      </c>
    </row>
    <row r="300" spans="1:2">
      <c r="A300" s="21">
        <v>91306</v>
      </c>
      <c r="B300" t="s">
        <v>198</v>
      </c>
    </row>
    <row r="301" spans="1:2">
      <c r="A301" s="21">
        <v>91307</v>
      </c>
      <c r="B301" t="s">
        <v>198</v>
      </c>
    </row>
    <row r="302" spans="1:2">
      <c r="A302" s="21">
        <v>91311</v>
      </c>
      <c r="B302" t="s">
        <v>198</v>
      </c>
    </row>
    <row r="303" spans="1:2">
      <c r="A303" s="21">
        <v>91316</v>
      </c>
      <c r="B303" t="s">
        <v>198</v>
      </c>
    </row>
    <row r="304" spans="1:2">
      <c r="A304" s="21">
        <v>91320</v>
      </c>
      <c r="B304" t="s">
        <v>198</v>
      </c>
    </row>
    <row r="305" spans="1:2">
      <c r="A305" s="21">
        <v>91324</v>
      </c>
      <c r="B305" t="s">
        <v>198</v>
      </c>
    </row>
    <row r="306" spans="1:2">
      <c r="A306" s="21">
        <v>91325</v>
      </c>
      <c r="B306" t="s">
        <v>198</v>
      </c>
    </row>
    <row r="307" spans="1:2">
      <c r="A307" s="21">
        <v>91326</v>
      </c>
      <c r="B307" t="s">
        <v>198</v>
      </c>
    </row>
    <row r="308" spans="1:2">
      <c r="A308" s="21">
        <v>91331</v>
      </c>
      <c r="B308" t="s">
        <v>198</v>
      </c>
    </row>
    <row r="309" spans="1:2">
      <c r="A309" s="21">
        <v>91335</v>
      </c>
      <c r="B309" t="s">
        <v>198</v>
      </c>
    </row>
    <row r="310" spans="1:2">
      <c r="A310" s="21">
        <v>91340</v>
      </c>
      <c r="B310" t="s">
        <v>198</v>
      </c>
    </row>
    <row r="311" spans="1:2">
      <c r="A311" s="21">
        <v>91343</v>
      </c>
      <c r="B311" t="s">
        <v>198</v>
      </c>
    </row>
    <row r="312" spans="1:2">
      <c r="A312" s="21">
        <v>91344</v>
      </c>
      <c r="B312" t="s">
        <v>198</v>
      </c>
    </row>
    <row r="313" spans="1:2">
      <c r="A313" s="21">
        <v>91345</v>
      </c>
      <c r="B313" t="s">
        <v>198</v>
      </c>
    </row>
    <row r="314" spans="1:2">
      <c r="A314" s="21">
        <v>91352</v>
      </c>
      <c r="B314" t="s">
        <v>198</v>
      </c>
    </row>
    <row r="315" spans="1:2">
      <c r="A315" s="21">
        <v>91356</v>
      </c>
      <c r="B315" t="s">
        <v>198</v>
      </c>
    </row>
    <row r="316" spans="1:2">
      <c r="A316" s="21">
        <v>91360</v>
      </c>
      <c r="B316" t="s">
        <v>198</v>
      </c>
    </row>
    <row r="317" spans="1:2">
      <c r="A317" s="21">
        <v>91361</v>
      </c>
      <c r="B317" t="s">
        <v>198</v>
      </c>
    </row>
    <row r="318" spans="1:2">
      <c r="A318" s="21">
        <v>91362</v>
      </c>
      <c r="B318" t="s">
        <v>198</v>
      </c>
    </row>
    <row r="319" spans="1:2">
      <c r="A319" s="21">
        <v>91364</v>
      </c>
      <c r="B319" t="s">
        <v>198</v>
      </c>
    </row>
    <row r="320" spans="1:2">
      <c r="A320" s="21">
        <v>91367</v>
      </c>
      <c r="B320" t="s">
        <v>198</v>
      </c>
    </row>
    <row r="321" spans="1:2">
      <c r="A321" s="21">
        <v>91377</v>
      </c>
      <c r="B321" t="s">
        <v>198</v>
      </c>
    </row>
    <row r="322" spans="1:2">
      <c r="A322" s="21">
        <v>91401</v>
      </c>
      <c r="B322" t="s">
        <v>198</v>
      </c>
    </row>
    <row r="323" spans="1:2">
      <c r="A323" s="21">
        <v>91402</v>
      </c>
      <c r="B323" t="s">
        <v>198</v>
      </c>
    </row>
    <row r="324" spans="1:2">
      <c r="A324" s="21">
        <v>91403</v>
      </c>
      <c r="B324" t="s">
        <v>198</v>
      </c>
    </row>
    <row r="325" spans="1:2">
      <c r="A325" s="21">
        <v>91405</v>
      </c>
      <c r="B325" t="s">
        <v>198</v>
      </c>
    </row>
    <row r="326" spans="1:2">
      <c r="A326" s="21">
        <v>91406</v>
      </c>
      <c r="B326" t="s">
        <v>198</v>
      </c>
    </row>
    <row r="327" spans="1:2">
      <c r="A327" s="21">
        <v>91411</v>
      </c>
      <c r="B327" t="s">
        <v>198</v>
      </c>
    </row>
    <row r="328" spans="1:2">
      <c r="A328" s="21">
        <v>91423</v>
      </c>
      <c r="B328" t="s">
        <v>198</v>
      </c>
    </row>
    <row r="329" spans="1:2">
      <c r="A329" s="21">
        <v>91436</v>
      </c>
      <c r="B329" t="s">
        <v>198</v>
      </c>
    </row>
    <row r="330" spans="1:2">
      <c r="A330" s="21">
        <v>91502</v>
      </c>
      <c r="B330" t="s">
        <v>198</v>
      </c>
    </row>
    <row r="331" spans="1:2">
      <c r="A331" s="21">
        <v>91504</v>
      </c>
      <c r="B331" t="s">
        <v>198</v>
      </c>
    </row>
    <row r="332" spans="1:2">
      <c r="A332" s="21">
        <v>91505</v>
      </c>
      <c r="B332" t="s">
        <v>198</v>
      </c>
    </row>
    <row r="333" spans="1:2">
      <c r="A333" s="21">
        <v>91506</v>
      </c>
      <c r="B333" t="s">
        <v>198</v>
      </c>
    </row>
    <row r="334" spans="1:2">
      <c r="A334" s="21">
        <v>91605</v>
      </c>
      <c r="B334" t="s">
        <v>198</v>
      </c>
    </row>
    <row r="335" spans="1:2">
      <c r="A335" s="21">
        <v>91607</v>
      </c>
      <c r="B335" t="s">
        <v>198</v>
      </c>
    </row>
    <row r="336" spans="1:2">
      <c r="A336" s="21">
        <v>91701</v>
      </c>
      <c r="B336" t="s">
        <v>198</v>
      </c>
    </row>
    <row r="337" spans="1:2">
      <c r="A337" s="21">
        <v>91706</v>
      </c>
      <c r="B337" t="s">
        <v>198</v>
      </c>
    </row>
    <row r="338" spans="1:2">
      <c r="A338" s="21">
        <v>91708</v>
      </c>
      <c r="B338" t="s">
        <v>198</v>
      </c>
    </row>
    <row r="339" spans="1:2">
      <c r="A339" s="21">
        <v>91709</v>
      </c>
      <c r="B339" t="s">
        <v>198</v>
      </c>
    </row>
    <row r="340" spans="1:2">
      <c r="A340" s="21">
        <v>91710</v>
      </c>
      <c r="B340" t="s">
        <v>198</v>
      </c>
    </row>
    <row r="341" spans="1:2">
      <c r="A341" s="21">
        <v>91722</v>
      </c>
      <c r="B341" t="s">
        <v>198</v>
      </c>
    </row>
    <row r="342" spans="1:2">
      <c r="A342" s="21">
        <v>91723</v>
      </c>
      <c r="B342" t="s">
        <v>198</v>
      </c>
    </row>
    <row r="343" spans="1:2">
      <c r="A343" s="21">
        <v>91724</v>
      </c>
      <c r="B343" t="s">
        <v>198</v>
      </c>
    </row>
    <row r="344" spans="1:2">
      <c r="A344" s="21">
        <v>91730</v>
      </c>
      <c r="B344" t="s">
        <v>198</v>
      </c>
    </row>
    <row r="345" spans="1:2">
      <c r="A345" s="21">
        <v>91731</v>
      </c>
      <c r="B345" t="s">
        <v>198</v>
      </c>
    </row>
    <row r="346" spans="1:2">
      <c r="A346" s="21">
        <v>91732</v>
      </c>
      <c r="B346" t="s">
        <v>198</v>
      </c>
    </row>
    <row r="347" spans="1:2">
      <c r="A347" s="21">
        <v>91733</v>
      </c>
      <c r="B347" t="s">
        <v>198</v>
      </c>
    </row>
    <row r="348" spans="1:2">
      <c r="A348" s="21">
        <v>91737</v>
      </c>
      <c r="B348" t="s">
        <v>198</v>
      </c>
    </row>
    <row r="349" spans="1:2">
      <c r="A349" s="21">
        <v>91739</v>
      </c>
      <c r="B349" t="s">
        <v>198</v>
      </c>
    </row>
    <row r="350" spans="1:2">
      <c r="A350" s="21">
        <v>91740</v>
      </c>
      <c r="B350" t="s">
        <v>198</v>
      </c>
    </row>
    <row r="351" spans="1:2">
      <c r="A351" s="21">
        <v>91741</v>
      </c>
      <c r="B351" t="s">
        <v>198</v>
      </c>
    </row>
    <row r="352" spans="1:2">
      <c r="A352" s="21">
        <v>91744</v>
      </c>
      <c r="B352" t="s">
        <v>198</v>
      </c>
    </row>
    <row r="353" spans="1:2">
      <c r="A353" s="21">
        <v>91745</v>
      </c>
      <c r="B353" t="s">
        <v>198</v>
      </c>
    </row>
    <row r="354" spans="1:2">
      <c r="A354" s="21">
        <v>91746</v>
      </c>
      <c r="B354" t="s">
        <v>198</v>
      </c>
    </row>
    <row r="355" spans="1:2">
      <c r="A355" s="21">
        <v>91748</v>
      </c>
      <c r="B355" t="s">
        <v>198</v>
      </c>
    </row>
    <row r="356" spans="1:2">
      <c r="A356" s="21">
        <v>91752</v>
      </c>
      <c r="B356" t="s">
        <v>198</v>
      </c>
    </row>
    <row r="357" spans="1:2">
      <c r="A357" s="21">
        <v>91754</v>
      </c>
      <c r="B357" t="s">
        <v>198</v>
      </c>
    </row>
    <row r="358" spans="1:2">
      <c r="A358" s="21">
        <v>91755</v>
      </c>
      <c r="B358" t="s">
        <v>198</v>
      </c>
    </row>
    <row r="359" spans="1:2">
      <c r="A359" s="21">
        <v>91761</v>
      </c>
      <c r="B359" t="s">
        <v>198</v>
      </c>
    </row>
    <row r="360" spans="1:2">
      <c r="A360" s="21">
        <v>91762</v>
      </c>
      <c r="B360" t="s">
        <v>198</v>
      </c>
    </row>
    <row r="361" spans="1:2">
      <c r="A361" s="21">
        <v>91763</v>
      </c>
      <c r="B361" t="s">
        <v>198</v>
      </c>
    </row>
    <row r="362" spans="1:2">
      <c r="A362" s="21">
        <v>91764</v>
      </c>
      <c r="B362" t="s">
        <v>198</v>
      </c>
    </row>
    <row r="363" spans="1:2">
      <c r="A363" s="21">
        <v>91765</v>
      </c>
      <c r="B363" t="s">
        <v>198</v>
      </c>
    </row>
    <row r="364" spans="1:2">
      <c r="A364" s="21">
        <v>91766</v>
      </c>
      <c r="B364" t="s">
        <v>198</v>
      </c>
    </row>
    <row r="365" spans="1:2">
      <c r="A365" s="21">
        <v>91767</v>
      </c>
      <c r="B365" t="s">
        <v>198</v>
      </c>
    </row>
    <row r="366" spans="1:2">
      <c r="A366" s="21">
        <v>91768</v>
      </c>
      <c r="B366" t="s">
        <v>198</v>
      </c>
    </row>
    <row r="367" spans="1:2">
      <c r="A367" s="21">
        <v>91770</v>
      </c>
      <c r="B367" t="s">
        <v>198</v>
      </c>
    </row>
    <row r="368" spans="1:2">
      <c r="A368" s="21">
        <v>91773</v>
      </c>
      <c r="B368" t="s">
        <v>198</v>
      </c>
    </row>
    <row r="369" spans="1:2">
      <c r="A369" s="21">
        <v>91775</v>
      </c>
      <c r="B369" t="s">
        <v>198</v>
      </c>
    </row>
    <row r="370" spans="1:2">
      <c r="A370" s="21">
        <v>91776</v>
      </c>
      <c r="B370" t="s">
        <v>198</v>
      </c>
    </row>
    <row r="371" spans="1:2">
      <c r="A371" s="21">
        <v>91780</v>
      </c>
      <c r="B371" t="s">
        <v>198</v>
      </c>
    </row>
    <row r="372" spans="1:2">
      <c r="A372" s="21">
        <v>91784</v>
      </c>
      <c r="B372" t="s">
        <v>198</v>
      </c>
    </row>
    <row r="373" spans="1:2">
      <c r="A373" s="21">
        <v>91786</v>
      </c>
      <c r="B373" t="s">
        <v>198</v>
      </c>
    </row>
    <row r="374" spans="1:2">
      <c r="A374" s="21">
        <v>91789</v>
      </c>
      <c r="B374" t="s">
        <v>198</v>
      </c>
    </row>
    <row r="375" spans="1:2">
      <c r="A375" s="21">
        <v>91790</v>
      </c>
      <c r="B375" t="s">
        <v>198</v>
      </c>
    </row>
    <row r="376" spans="1:2">
      <c r="A376" s="21">
        <v>91791</v>
      </c>
      <c r="B376" t="s">
        <v>198</v>
      </c>
    </row>
    <row r="377" spans="1:2">
      <c r="A377" s="21">
        <v>91792</v>
      </c>
      <c r="B377" t="s">
        <v>198</v>
      </c>
    </row>
    <row r="378" spans="1:2">
      <c r="A378" s="21">
        <v>91801</v>
      </c>
      <c r="B378" t="s">
        <v>198</v>
      </c>
    </row>
    <row r="379" spans="1:2">
      <c r="A379" s="21">
        <v>91803</v>
      </c>
      <c r="B379" t="s">
        <v>198</v>
      </c>
    </row>
    <row r="380" spans="1:2">
      <c r="A380" s="21">
        <v>91902</v>
      </c>
      <c r="B380" t="s">
        <v>198</v>
      </c>
    </row>
    <row r="381" spans="1:2">
      <c r="A381" s="21">
        <v>91910</v>
      </c>
      <c r="B381" t="s">
        <v>198</v>
      </c>
    </row>
    <row r="382" spans="1:2">
      <c r="A382" s="21">
        <v>91911</v>
      </c>
      <c r="B382" t="s">
        <v>198</v>
      </c>
    </row>
    <row r="383" spans="1:2">
      <c r="A383" s="21">
        <v>91913</v>
      </c>
      <c r="B383" t="s">
        <v>198</v>
      </c>
    </row>
    <row r="384" spans="1:2">
      <c r="A384" s="21">
        <v>91914</v>
      </c>
      <c r="B384" t="s">
        <v>198</v>
      </c>
    </row>
    <row r="385" spans="1:2">
      <c r="A385" s="21">
        <v>91915</v>
      </c>
      <c r="B385" t="s">
        <v>198</v>
      </c>
    </row>
    <row r="386" spans="1:2">
      <c r="A386" s="21">
        <v>91932</v>
      </c>
      <c r="B386" t="s">
        <v>198</v>
      </c>
    </row>
    <row r="387" spans="1:2">
      <c r="A387" s="21">
        <v>91941</v>
      </c>
      <c r="B387" t="s">
        <v>198</v>
      </c>
    </row>
    <row r="388" spans="1:2">
      <c r="A388" s="21">
        <v>91942</v>
      </c>
      <c r="B388" t="s">
        <v>198</v>
      </c>
    </row>
    <row r="389" spans="1:2">
      <c r="A389" s="21">
        <v>91945</v>
      </c>
      <c r="B389" t="s">
        <v>198</v>
      </c>
    </row>
    <row r="390" spans="1:2">
      <c r="A390" s="21">
        <v>91950</v>
      </c>
      <c r="B390" t="s">
        <v>198</v>
      </c>
    </row>
    <row r="391" spans="1:2">
      <c r="A391" s="21">
        <v>91977</v>
      </c>
      <c r="B391" t="s">
        <v>198</v>
      </c>
    </row>
    <row r="392" spans="1:2">
      <c r="A392" s="21">
        <v>91978</v>
      </c>
      <c r="B392" t="s">
        <v>198</v>
      </c>
    </row>
    <row r="393" spans="1:2">
      <c r="A393" s="21">
        <v>92007</v>
      </c>
      <c r="B393" t="s">
        <v>198</v>
      </c>
    </row>
    <row r="394" spans="1:2">
      <c r="A394" s="21">
        <v>92008</v>
      </c>
      <c r="B394" t="s">
        <v>198</v>
      </c>
    </row>
    <row r="395" spans="1:2">
      <c r="A395" s="21">
        <v>92009</v>
      </c>
      <c r="B395" t="s">
        <v>198</v>
      </c>
    </row>
    <row r="396" spans="1:2">
      <c r="A396" s="21">
        <v>92010</v>
      </c>
      <c r="B396" t="s">
        <v>198</v>
      </c>
    </row>
    <row r="397" spans="1:2">
      <c r="A397" s="21">
        <v>92011</v>
      </c>
      <c r="B397" t="s">
        <v>198</v>
      </c>
    </row>
    <row r="398" spans="1:2">
      <c r="A398" s="21">
        <v>92014</v>
      </c>
      <c r="B398" t="s">
        <v>198</v>
      </c>
    </row>
    <row r="399" spans="1:2">
      <c r="A399" s="21">
        <v>92019</v>
      </c>
      <c r="B399" t="s">
        <v>198</v>
      </c>
    </row>
    <row r="400" spans="1:2">
      <c r="A400" s="21">
        <v>92020</v>
      </c>
      <c r="B400" t="s">
        <v>198</v>
      </c>
    </row>
    <row r="401" spans="1:2">
      <c r="A401" s="21">
        <v>92021</v>
      </c>
      <c r="B401" t="s">
        <v>198</v>
      </c>
    </row>
    <row r="402" spans="1:2">
      <c r="A402" s="21">
        <v>92024</v>
      </c>
      <c r="B402" t="s">
        <v>198</v>
      </c>
    </row>
    <row r="403" spans="1:2">
      <c r="A403" s="21">
        <v>92025</v>
      </c>
      <c r="B403" t="s">
        <v>198</v>
      </c>
    </row>
    <row r="404" spans="1:2">
      <c r="A404" s="21">
        <v>92027</v>
      </c>
      <c r="B404" t="s">
        <v>198</v>
      </c>
    </row>
    <row r="405" spans="1:2">
      <c r="A405" s="21">
        <v>92029</v>
      </c>
      <c r="B405" t="s">
        <v>198</v>
      </c>
    </row>
    <row r="406" spans="1:2">
      <c r="A406" s="21">
        <v>92037</v>
      </c>
      <c r="B406" t="s">
        <v>198</v>
      </c>
    </row>
    <row r="407" spans="1:2">
      <c r="A407" s="21">
        <v>92040</v>
      </c>
      <c r="B407" t="s">
        <v>198</v>
      </c>
    </row>
    <row r="408" spans="1:2">
      <c r="A408" s="21">
        <v>92054</v>
      </c>
      <c r="B408" t="s">
        <v>198</v>
      </c>
    </row>
    <row r="409" spans="1:2">
      <c r="A409" s="21">
        <v>92056</v>
      </c>
      <c r="B409" t="s">
        <v>198</v>
      </c>
    </row>
    <row r="410" spans="1:2">
      <c r="A410" s="21">
        <v>92057</v>
      </c>
      <c r="B410" t="s">
        <v>198</v>
      </c>
    </row>
    <row r="411" spans="1:2">
      <c r="A411" s="21">
        <v>92064</v>
      </c>
      <c r="B411" t="s">
        <v>198</v>
      </c>
    </row>
    <row r="412" spans="1:2">
      <c r="A412" s="21">
        <v>92067</v>
      </c>
      <c r="B412" t="s">
        <v>198</v>
      </c>
    </row>
    <row r="413" spans="1:2">
      <c r="A413" s="21">
        <v>92069</v>
      </c>
      <c r="B413" t="s">
        <v>198</v>
      </c>
    </row>
    <row r="414" spans="1:2">
      <c r="A414" s="21">
        <v>92071</v>
      </c>
      <c r="B414" t="s">
        <v>198</v>
      </c>
    </row>
    <row r="415" spans="1:2">
      <c r="A415" s="21">
        <v>92075</v>
      </c>
      <c r="B415" t="s">
        <v>198</v>
      </c>
    </row>
    <row r="416" spans="1:2">
      <c r="A416" s="21">
        <v>92078</v>
      </c>
      <c r="B416" t="s">
        <v>198</v>
      </c>
    </row>
    <row r="417" spans="1:2">
      <c r="A417" s="21">
        <v>92081</v>
      </c>
      <c r="B417" t="s">
        <v>198</v>
      </c>
    </row>
    <row r="418" spans="1:2">
      <c r="A418" s="21">
        <v>92083</v>
      </c>
      <c r="B418" t="s">
        <v>198</v>
      </c>
    </row>
    <row r="419" spans="1:2">
      <c r="A419" s="21">
        <v>92084</v>
      </c>
      <c r="B419" t="s">
        <v>198</v>
      </c>
    </row>
    <row r="420" spans="1:2">
      <c r="A420" s="21">
        <v>92091</v>
      </c>
      <c r="B420" t="s">
        <v>198</v>
      </c>
    </row>
    <row r="421" spans="1:2">
      <c r="A421" s="21">
        <v>92092</v>
      </c>
      <c r="B421" t="s">
        <v>198</v>
      </c>
    </row>
    <row r="422" spans="1:2">
      <c r="A422" s="21">
        <v>92093</v>
      </c>
      <c r="B422" t="s">
        <v>198</v>
      </c>
    </row>
    <row r="423" spans="1:2">
      <c r="A423" s="21">
        <v>92096</v>
      </c>
      <c r="B423" t="s">
        <v>198</v>
      </c>
    </row>
    <row r="424" spans="1:2">
      <c r="A424" s="21">
        <v>92101</v>
      </c>
      <c r="B424" t="s">
        <v>198</v>
      </c>
    </row>
    <row r="425" spans="1:2">
      <c r="A425" s="21">
        <v>92102</v>
      </c>
      <c r="B425" t="s">
        <v>198</v>
      </c>
    </row>
    <row r="426" spans="1:2">
      <c r="A426" s="21">
        <v>92103</v>
      </c>
      <c r="B426" t="s">
        <v>198</v>
      </c>
    </row>
    <row r="427" spans="1:2">
      <c r="A427" s="21">
        <v>92104</v>
      </c>
      <c r="B427" t="s">
        <v>198</v>
      </c>
    </row>
    <row r="428" spans="1:2">
      <c r="A428" s="21">
        <v>92105</v>
      </c>
      <c r="B428" t="s">
        <v>198</v>
      </c>
    </row>
    <row r="429" spans="1:2">
      <c r="A429" s="21">
        <v>92106</v>
      </c>
      <c r="B429" t="s">
        <v>198</v>
      </c>
    </row>
    <row r="430" spans="1:2">
      <c r="A430" s="21">
        <v>92107</v>
      </c>
      <c r="B430" t="s">
        <v>198</v>
      </c>
    </row>
    <row r="431" spans="1:2">
      <c r="A431" s="21">
        <v>92109</v>
      </c>
      <c r="B431" t="s">
        <v>198</v>
      </c>
    </row>
    <row r="432" spans="1:2">
      <c r="A432" s="21">
        <v>92110</v>
      </c>
      <c r="B432" t="s">
        <v>198</v>
      </c>
    </row>
    <row r="433" spans="1:2">
      <c r="A433" s="21">
        <v>92111</v>
      </c>
      <c r="B433" t="s">
        <v>198</v>
      </c>
    </row>
    <row r="434" spans="1:2">
      <c r="A434" s="21">
        <v>92113</v>
      </c>
      <c r="B434" t="s">
        <v>198</v>
      </c>
    </row>
    <row r="435" spans="1:2">
      <c r="A435" s="21">
        <v>92114</v>
      </c>
      <c r="B435" t="s">
        <v>198</v>
      </c>
    </row>
    <row r="436" spans="1:2">
      <c r="A436" s="21">
        <v>92115</v>
      </c>
      <c r="B436" t="s">
        <v>198</v>
      </c>
    </row>
    <row r="437" spans="1:2">
      <c r="A437" s="21">
        <v>92116</v>
      </c>
      <c r="B437" t="s">
        <v>198</v>
      </c>
    </row>
    <row r="438" spans="1:2">
      <c r="A438" s="21">
        <v>92117</v>
      </c>
      <c r="B438" t="s">
        <v>198</v>
      </c>
    </row>
    <row r="439" spans="1:2">
      <c r="A439" s="21">
        <v>92119</v>
      </c>
      <c r="B439" t="s">
        <v>198</v>
      </c>
    </row>
    <row r="440" spans="1:2">
      <c r="A440" s="21">
        <v>92120</v>
      </c>
      <c r="B440" t="s">
        <v>198</v>
      </c>
    </row>
    <row r="441" spans="1:2">
      <c r="A441" s="21">
        <v>92121</v>
      </c>
      <c r="B441" t="s">
        <v>198</v>
      </c>
    </row>
    <row r="442" spans="1:2">
      <c r="A442" s="21">
        <v>92122</v>
      </c>
      <c r="B442" t="s">
        <v>198</v>
      </c>
    </row>
    <row r="443" spans="1:2">
      <c r="A443" s="21">
        <v>92123</v>
      </c>
      <c r="B443" t="s">
        <v>198</v>
      </c>
    </row>
    <row r="444" spans="1:2">
      <c r="A444" s="21">
        <v>92124</v>
      </c>
      <c r="B444" t="s">
        <v>198</v>
      </c>
    </row>
    <row r="445" spans="1:2">
      <c r="A445" s="21">
        <v>92126</v>
      </c>
      <c r="B445" t="s">
        <v>198</v>
      </c>
    </row>
    <row r="446" spans="1:2">
      <c r="A446" s="21">
        <v>92127</v>
      </c>
      <c r="B446" t="s">
        <v>198</v>
      </c>
    </row>
    <row r="447" spans="1:2">
      <c r="A447" s="21">
        <v>92128</v>
      </c>
      <c r="B447" t="s">
        <v>198</v>
      </c>
    </row>
    <row r="448" spans="1:2">
      <c r="A448" s="21">
        <v>92129</v>
      </c>
      <c r="B448" t="s">
        <v>198</v>
      </c>
    </row>
    <row r="449" spans="1:2">
      <c r="A449" s="21">
        <v>92130</v>
      </c>
      <c r="B449" t="s">
        <v>198</v>
      </c>
    </row>
    <row r="450" spans="1:2">
      <c r="A450" s="21">
        <v>92131</v>
      </c>
      <c r="B450" t="s">
        <v>198</v>
      </c>
    </row>
    <row r="451" spans="1:2">
      <c r="A451" s="21">
        <v>92139</v>
      </c>
      <c r="B451" t="s">
        <v>198</v>
      </c>
    </row>
    <row r="452" spans="1:2">
      <c r="A452" s="21">
        <v>92140</v>
      </c>
      <c r="B452" t="s">
        <v>198</v>
      </c>
    </row>
    <row r="453" spans="1:2">
      <c r="A453" s="21">
        <v>92154</v>
      </c>
      <c r="B453" t="s">
        <v>198</v>
      </c>
    </row>
    <row r="454" spans="1:2">
      <c r="A454" s="21">
        <v>92173</v>
      </c>
      <c r="B454" t="s">
        <v>198</v>
      </c>
    </row>
    <row r="455" spans="1:2">
      <c r="A455" s="21">
        <v>92313</v>
      </c>
      <c r="B455" t="s">
        <v>198</v>
      </c>
    </row>
    <row r="456" spans="1:2">
      <c r="A456" s="21">
        <v>92316</v>
      </c>
      <c r="B456" t="s">
        <v>198</v>
      </c>
    </row>
    <row r="457" spans="1:2">
      <c r="A457" s="21">
        <v>92324</v>
      </c>
      <c r="B457" t="s">
        <v>198</v>
      </c>
    </row>
    <row r="458" spans="1:2">
      <c r="A458" s="21">
        <v>92335</v>
      </c>
      <c r="B458" t="s">
        <v>198</v>
      </c>
    </row>
    <row r="459" spans="1:2">
      <c r="A459" s="21">
        <v>92336</v>
      </c>
      <c r="B459" t="s">
        <v>198</v>
      </c>
    </row>
    <row r="460" spans="1:2">
      <c r="A460" s="21">
        <v>92337</v>
      </c>
      <c r="B460" t="s">
        <v>198</v>
      </c>
    </row>
    <row r="461" spans="1:2">
      <c r="A461" s="21">
        <v>92346</v>
      </c>
      <c r="B461" t="s">
        <v>198</v>
      </c>
    </row>
    <row r="462" spans="1:2">
      <c r="A462" s="21">
        <v>92354</v>
      </c>
      <c r="B462" t="s">
        <v>198</v>
      </c>
    </row>
    <row r="463" spans="1:2">
      <c r="A463" s="21">
        <v>92374</v>
      </c>
      <c r="B463" t="s">
        <v>198</v>
      </c>
    </row>
    <row r="464" spans="1:2">
      <c r="A464" s="21">
        <v>92376</v>
      </c>
      <c r="B464" t="s">
        <v>198</v>
      </c>
    </row>
    <row r="465" spans="1:2">
      <c r="A465" s="21">
        <v>92377</v>
      </c>
      <c r="B465" t="s">
        <v>198</v>
      </c>
    </row>
    <row r="466" spans="1:2">
      <c r="A466" s="21">
        <v>92404</v>
      </c>
      <c r="B466" t="s">
        <v>198</v>
      </c>
    </row>
    <row r="467" spans="1:2">
      <c r="A467" s="21">
        <v>92405</v>
      </c>
      <c r="B467" t="s">
        <v>198</v>
      </c>
    </row>
    <row r="468" spans="1:2">
      <c r="A468" s="21">
        <v>92408</v>
      </c>
      <c r="B468" t="s">
        <v>198</v>
      </c>
    </row>
    <row r="469" spans="1:2">
      <c r="A469" s="21">
        <v>92410</v>
      </c>
      <c r="B469" t="s">
        <v>198</v>
      </c>
    </row>
    <row r="470" spans="1:2">
      <c r="A470" s="21">
        <v>92411</v>
      </c>
      <c r="B470" t="s">
        <v>198</v>
      </c>
    </row>
    <row r="471" spans="1:2">
      <c r="A471" s="21">
        <v>92501</v>
      </c>
      <c r="B471" t="s">
        <v>198</v>
      </c>
    </row>
    <row r="472" spans="1:2">
      <c r="A472" s="21">
        <v>92503</v>
      </c>
      <c r="B472" t="s">
        <v>198</v>
      </c>
    </row>
    <row r="473" spans="1:2">
      <c r="A473" s="21">
        <v>92504</v>
      </c>
      <c r="B473" t="s">
        <v>198</v>
      </c>
    </row>
    <row r="474" spans="1:2">
      <c r="A474" s="21">
        <v>92505</v>
      </c>
      <c r="B474" t="s">
        <v>198</v>
      </c>
    </row>
    <row r="475" spans="1:2">
      <c r="A475" s="21">
        <v>92506</v>
      </c>
      <c r="B475" t="s">
        <v>198</v>
      </c>
    </row>
    <row r="476" spans="1:2">
      <c r="A476" s="21">
        <v>92507</v>
      </c>
      <c r="B476" t="s">
        <v>198</v>
      </c>
    </row>
    <row r="477" spans="1:2">
      <c r="A477" s="21">
        <v>92508</v>
      </c>
      <c r="B477" t="s">
        <v>198</v>
      </c>
    </row>
    <row r="478" spans="1:2">
      <c r="A478" s="21">
        <v>92509</v>
      </c>
      <c r="B478" t="s">
        <v>198</v>
      </c>
    </row>
    <row r="479" spans="1:2">
      <c r="A479" s="21">
        <v>92518</v>
      </c>
      <c r="B479" t="s">
        <v>198</v>
      </c>
    </row>
    <row r="480" spans="1:2">
      <c r="A480" s="21">
        <v>92530</v>
      </c>
      <c r="B480" t="s">
        <v>198</v>
      </c>
    </row>
    <row r="481" spans="1:2">
      <c r="A481" s="21">
        <v>92532</v>
      </c>
      <c r="B481" t="s">
        <v>198</v>
      </c>
    </row>
    <row r="482" spans="1:2">
      <c r="A482" s="21">
        <v>92543</v>
      </c>
      <c r="B482" t="s">
        <v>198</v>
      </c>
    </row>
    <row r="483" spans="1:2">
      <c r="A483" s="21">
        <v>92545</v>
      </c>
      <c r="B483" t="s">
        <v>198</v>
      </c>
    </row>
    <row r="484" spans="1:2">
      <c r="A484" s="21">
        <v>92548</v>
      </c>
      <c r="B484" t="s">
        <v>198</v>
      </c>
    </row>
    <row r="485" spans="1:2">
      <c r="A485" s="21">
        <v>92551</v>
      </c>
      <c r="B485" t="s">
        <v>198</v>
      </c>
    </row>
    <row r="486" spans="1:2">
      <c r="A486" s="21">
        <v>92553</v>
      </c>
      <c r="B486" t="s">
        <v>198</v>
      </c>
    </row>
    <row r="487" spans="1:2">
      <c r="A487" s="21">
        <v>92557</v>
      </c>
      <c r="B487" t="s">
        <v>198</v>
      </c>
    </row>
    <row r="488" spans="1:2">
      <c r="A488" s="21">
        <v>92562</v>
      </c>
      <c r="B488" t="s">
        <v>198</v>
      </c>
    </row>
    <row r="489" spans="1:2">
      <c r="A489" s="21">
        <v>92563</v>
      </c>
      <c r="B489" t="s">
        <v>198</v>
      </c>
    </row>
    <row r="490" spans="1:2">
      <c r="A490" s="21">
        <v>92570</v>
      </c>
      <c r="B490" t="s">
        <v>198</v>
      </c>
    </row>
    <row r="491" spans="1:2">
      <c r="A491" s="21">
        <v>92571</v>
      </c>
      <c r="B491" t="s">
        <v>198</v>
      </c>
    </row>
    <row r="492" spans="1:2">
      <c r="A492" s="21">
        <v>92584</v>
      </c>
      <c r="B492" t="s">
        <v>198</v>
      </c>
    </row>
    <row r="493" spans="1:2">
      <c r="A493" s="21">
        <v>92585</v>
      </c>
      <c r="B493" t="s">
        <v>198</v>
      </c>
    </row>
    <row r="494" spans="1:2">
      <c r="A494" s="21">
        <v>92586</v>
      </c>
      <c r="B494" t="s">
        <v>198</v>
      </c>
    </row>
    <row r="495" spans="1:2">
      <c r="A495" s="21">
        <v>92587</v>
      </c>
      <c r="B495" t="s">
        <v>198</v>
      </c>
    </row>
    <row r="496" spans="1:2">
      <c r="A496" s="21">
        <v>92590</v>
      </c>
      <c r="B496" t="s">
        <v>198</v>
      </c>
    </row>
    <row r="497" spans="1:2">
      <c r="A497" s="21">
        <v>92591</v>
      </c>
      <c r="B497" t="s">
        <v>198</v>
      </c>
    </row>
    <row r="498" spans="1:2">
      <c r="A498" s="21">
        <v>92592</v>
      </c>
      <c r="B498" t="s">
        <v>198</v>
      </c>
    </row>
    <row r="499" spans="1:2">
      <c r="A499" s="21">
        <v>92595</v>
      </c>
      <c r="B499" t="s">
        <v>198</v>
      </c>
    </row>
    <row r="500" spans="1:2">
      <c r="A500" s="21">
        <v>92596</v>
      </c>
      <c r="B500" t="s">
        <v>198</v>
      </c>
    </row>
    <row r="501" spans="1:2">
      <c r="A501" s="21">
        <v>92602</v>
      </c>
      <c r="B501" t="s">
        <v>198</v>
      </c>
    </row>
    <row r="502" spans="1:2">
      <c r="A502" s="21">
        <v>92604</v>
      </c>
      <c r="B502" t="s">
        <v>198</v>
      </c>
    </row>
    <row r="503" spans="1:2">
      <c r="A503" s="21">
        <v>92606</v>
      </c>
      <c r="B503" t="s">
        <v>198</v>
      </c>
    </row>
    <row r="504" spans="1:2">
      <c r="A504" s="21">
        <v>92610</v>
      </c>
      <c r="B504" t="s">
        <v>198</v>
      </c>
    </row>
    <row r="505" spans="1:2">
      <c r="A505" s="21">
        <v>92612</v>
      </c>
      <c r="B505" t="s">
        <v>198</v>
      </c>
    </row>
    <row r="506" spans="1:2">
      <c r="A506" s="21">
        <v>92617</v>
      </c>
      <c r="B506" t="s">
        <v>198</v>
      </c>
    </row>
    <row r="507" spans="1:2">
      <c r="A507" s="21">
        <v>92618</v>
      </c>
      <c r="B507" t="s">
        <v>198</v>
      </c>
    </row>
    <row r="508" spans="1:2">
      <c r="A508" s="21">
        <v>92620</v>
      </c>
      <c r="B508" t="s">
        <v>198</v>
      </c>
    </row>
    <row r="509" spans="1:2">
      <c r="A509" s="21">
        <v>92625</v>
      </c>
      <c r="B509" t="s">
        <v>198</v>
      </c>
    </row>
    <row r="510" spans="1:2">
      <c r="A510" s="21">
        <v>92626</v>
      </c>
      <c r="B510" t="s">
        <v>198</v>
      </c>
    </row>
    <row r="511" spans="1:2">
      <c r="A511" s="21">
        <v>92627</v>
      </c>
      <c r="B511" t="s">
        <v>198</v>
      </c>
    </row>
    <row r="512" spans="1:2">
      <c r="A512" s="21">
        <v>92630</v>
      </c>
      <c r="B512" t="s">
        <v>198</v>
      </c>
    </row>
    <row r="513" spans="1:2">
      <c r="A513" s="21">
        <v>92637</v>
      </c>
      <c r="B513" t="s">
        <v>198</v>
      </c>
    </row>
    <row r="514" spans="1:2">
      <c r="A514" s="21">
        <v>92646</v>
      </c>
      <c r="B514" t="s">
        <v>198</v>
      </c>
    </row>
    <row r="515" spans="1:2">
      <c r="A515" s="21">
        <v>92647</v>
      </c>
      <c r="B515" t="s">
        <v>198</v>
      </c>
    </row>
    <row r="516" spans="1:2">
      <c r="A516" s="21">
        <v>92648</v>
      </c>
      <c r="B516" t="s">
        <v>198</v>
      </c>
    </row>
    <row r="517" spans="1:2">
      <c r="A517" s="21">
        <v>92649</v>
      </c>
      <c r="B517" t="s">
        <v>198</v>
      </c>
    </row>
    <row r="518" spans="1:2">
      <c r="A518" s="21">
        <v>92653</v>
      </c>
      <c r="B518" t="s">
        <v>198</v>
      </c>
    </row>
    <row r="519" spans="1:2">
      <c r="A519" s="21">
        <v>92655</v>
      </c>
      <c r="B519" t="s">
        <v>198</v>
      </c>
    </row>
    <row r="520" spans="1:2">
      <c r="A520" s="21">
        <v>92656</v>
      </c>
      <c r="B520" t="s">
        <v>198</v>
      </c>
    </row>
    <row r="521" spans="1:2">
      <c r="A521" s="21">
        <v>92660</v>
      </c>
      <c r="B521" t="s">
        <v>198</v>
      </c>
    </row>
    <row r="522" spans="1:2">
      <c r="A522" s="21">
        <v>92663</v>
      </c>
      <c r="B522" t="s">
        <v>198</v>
      </c>
    </row>
    <row r="523" spans="1:2">
      <c r="A523" s="21">
        <v>92677</v>
      </c>
      <c r="B523" t="s">
        <v>198</v>
      </c>
    </row>
    <row r="524" spans="1:2">
      <c r="A524" s="21">
        <v>92683</v>
      </c>
      <c r="B524" t="s">
        <v>198</v>
      </c>
    </row>
    <row r="525" spans="1:2">
      <c r="A525" s="21">
        <v>92688</v>
      </c>
      <c r="B525" t="s">
        <v>198</v>
      </c>
    </row>
    <row r="526" spans="1:2">
      <c r="A526" s="21">
        <v>92691</v>
      </c>
      <c r="B526" t="s">
        <v>198</v>
      </c>
    </row>
    <row r="527" spans="1:2">
      <c r="A527" s="21">
        <v>92692</v>
      </c>
      <c r="B527" t="s">
        <v>198</v>
      </c>
    </row>
    <row r="528" spans="1:2">
      <c r="A528" s="21">
        <v>92694</v>
      </c>
      <c r="B528" t="s">
        <v>198</v>
      </c>
    </row>
    <row r="529" spans="1:2">
      <c r="A529" s="21">
        <v>92701</v>
      </c>
      <c r="B529" t="s">
        <v>198</v>
      </c>
    </row>
    <row r="530" spans="1:2">
      <c r="A530" s="21">
        <v>92703</v>
      </c>
      <c r="B530" t="s">
        <v>198</v>
      </c>
    </row>
    <row r="531" spans="1:2">
      <c r="A531" s="21">
        <v>92704</v>
      </c>
      <c r="B531" t="s">
        <v>198</v>
      </c>
    </row>
    <row r="532" spans="1:2">
      <c r="A532" s="21">
        <v>92705</v>
      </c>
      <c r="B532" t="s">
        <v>198</v>
      </c>
    </row>
    <row r="533" spans="1:2">
      <c r="A533" s="21">
        <v>92706</v>
      </c>
      <c r="B533" t="s">
        <v>198</v>
      </c>
    </row>
    <row r="534" spans="1:2">
      <c r="A534" s="21">
        <v>92707</v>
      </c>
      <c r="B534" t="s">
        <v>198</v>
      </c>
    </row>
    <row r="535" spans="1:2">
      <c r="A535" s="21">
        <v>92708</v>
      </c>
      <c r="B535" t="s">
        <v>198</v>
      </c>
    </row>
    <row r="536" spans="1:2">
      <c r="A536" s="21">
        <v>92780</v>
      </c>
      <c r="B536" t="s">
        <v>198</v>
      </c>
    </row>
    <row r="537" spans="1:2">
      <c r="A537" s="21">
        <v>92782</v>
      </c>
      <c r="B537" t="s">
        <v>198</v>
      </c>
    </row>
    <row r="538" spans="1:2">
      <c r="A538" s="21">
        <v>92801</v>
      </c>
      <c r="B538" t="s">
        <v>198</v>
      </c>
    </row>
    <row r="539" spans="1:2">
      <c r="A539" s="21">
        <v>92802</v>
      </c>
      <c r="B539" t="s">
        <v>198</v>
      </c>
    </row>
    <row r="540" spans="1:2">
      <c r="A540" s="21">
        <v>92804</v>
      </c>
      <c r="B540" t="s">
        <v>198</v>
      </c>
    </row>
    <row r="541" spans="1:2">
      <c r="A541" s="21">
        <v>92805</v>
      </c>
      <c r="B541" t="s">
        <v>198</v>
      </c>
    </row>
    <row r="542" spans="1:2">
      <c r="A542" s="21">
        <v>92806</v>
      </c>
      <c r="B542" t="s">
        <v>198</v>
      </c>
    </row>
    <row r="543" spans="1:2">
      <c r="A543" s="21">
        <v>92807</v>
      </c>
      <c r="B543" t="s">
        <v>198</v>
      </c>
    </row>
    <row r="544" spans="1:2">
      <c r="A544" s="21">
        <v>92808</v>
      </c>
      <c r="B544" t="s">
        <v>198</v>
      </c>
    </row>
    <row r="545" spans="1:2">
      <c r="A545" s="21">
        <v>92821</v>
      </c>
      <c r="B545" t="s">
        <v>198</v>
      </c>
    </row>
    <row r="546" spans="1:2">
      <c r="A546" s="21">
        <v>92823</v>
      </c>
      <c r="B546" t="s">
        <v>198</v>
      </c>
    </row>
    <row r="547" spans="1:2">
      <c r="A547" s="21">
        <v>92831</v>
      </c>
      <c r="B547" t="s">
        <v>198</v>
      </c>
    </row>
    <row r="548" spans="1:2">
      <c r="A548" s="21">
        <v>92832</v>
      </c>
      <c r="B548" t="s">
        <v>198</v>
      </c>
    </row>
    <row r="549" spans="1:2">
      <c r="A549" s="21">
        <v>92833</v>
      </c>
      <c r="B549" t="s">
        <v>198</v>
      </c>
    </row>
    <row r="550" spans="1:2">
      <c r="A550" s="21">
        <v>92835</v>
      </c>
      <c r="B550" t="s">
        <v>198</v>
      </c>
    </row>
    <row r="551" spans="1:2">
      <c r="A551" s="21">
        <v>92840</v>
      </c>
      <c r="B551" t="s">
        <v>198</v>
      </c>
    </row>
    <row r="552" spans="1:2">
      <c r="A552" s="21">
        <v>92841</v>
      </c>
      <c r="B552" t="s">
        <v>198</v>
      </c>
    </row>
    <row r="553" spans="1:2">
      <c r="A553" s="21">
        <v>92843</v>
      </c>
      <c r="B553" t="s">
        <v>198</v>
      </c>
    </row>
    <row r="554" spans="1:2">
      <c r="A554" s="21">
        <v>92844</v>
      </c>
      <c r="B554" t="s">
        <v>198</v>
      </c>
    </row>
    <row r="555" spans="1:2">
      <c r="A555" s="21">
        <v>92845</v>
      </c>
      <c r="B555" t="s">
        <v>198</v>
      </c>
    </row>
    <row r="556" spans="1:2">
      <c r="A556" s="21">
        <v>92860</v>
      </c>
      <c r="B556" t="s">
        <v>198</v>
      </c>
    </row>
    <row r="557" spans="1:2">
      <c r="A557" s="21">
        <v>92861</v>
      </c>
      <c r="B557" t="s">
        <v>198</v>
      </c>
    </row>
    <row r="558" spans="1:2">
      <c r="A558" s="21">
        <v>92865</v>
      </c>
      <c r="B558" t="s">
        <v>198</v>
      </c>
    </row>
    <row r="559" spans="1:2">
      <c r="A559" s="21">
        <v>92866</v>
      </c>
      <c r="B559" t="s">
        <v>198</v>
      </c>
    </row>
    <row r="560" spans="1:2">
      <c r="A560" s="21">
        <v>92867</v>
      </c>
      <c r="B560" t="s">
        <v>198</v>
      </c>
    </row>
    <row r="561" spans="1:2">
      <c r="A561" s="21">
        <v>92868</v>
      </c>
      <c r="B561" t="s">
        <v>198</v>
      </c>
    </row>
    <row r="562" spans="1:2">
      <c r="A562" s="21">
        <v>92869</v>
      </c>
      <c r="B562" t="s">
        <v>198</v>
      </c>
    </row>
    <row r="563" spans="1:2">
      <c r="A563" s="21">
        <v>92870</v>
      </c>
      <c r="B563" t="s">
        <v>198</v>
      </c>
    </row>
    <row r="564" spans="1:2">
      <c r="A564" s="21">
        <v>92879</v>
      </c>
      <c r="B564" t="s">
        <v>198</v>
      </c>
    </row>
    <row r="565" spans="1:2">
      <c r="A565" s="21">
        <v>92880</v>
      </c>
      <c r="B565" t="s">
        <v>198</v>
      </c>
    </row>
    <row r="566" spans="1:2">
      <c r="A566" s="21">
        <v>92881</v>
      </c>
      <c r="B566" t="s">
        <v>198</v>
      </c>
    </row>
    <row r="567" spans="1:2">
      <c r="A567" s="21">
        <v>92882</v>
      </c>
      <c r="B567" t="s">
        <v>198</v>
      </c>
    </row>
    <row r="568" spans="1:2">
      <c r="A568" s="21">
        <v>92883</v>
      </c>
      <c r="B568" t="s">
        <v>198</v>
      </c>
    </row>
    <row r="569" spans="1:2">
      <c r="A569" s="21">
        <v>92886</v>
      </c>
      <c r="B569" t="s">
        <v>198</v>
      </c>
    </row>
    <row r="570" spans="1:2">
      <c r="A570" s="21">
        <v>92887</v>
      </c>
      <c r="B570" t="s">
        <v>198</v>
      </c>
    </row>
    <row r="571" spans="1:2">
      <c r="A571" s="21">
        <v>93003</v>
      </c>
      <c r="B571" t="s">
        <v>198</v>
      </c>
    </row>
    <row r="572" spans="1:2">
      <c r="A572" s="21">
        <v>93004</v>
      </c>
      <c r="B572" t="s">
        <v>198</v>
      </c>
    </row>
    <row r="573" spans="1:2">
      <c r="A573" s="21">
        <v>93010</v>
      </c>
      <c r="B573" t="s">
        <v>198</v>
      </c>
    </row>
    <row r="574" spans="1:2">
      <c r="A574" s="21">
        <v>93012</v>
      </c>
      <c r="B574" t="s">
        <v>198</v>
      </c>
    </row>
    <row r="575" spans="1:2">
      <c r="A575" s="21">
        <v>93015</v>
      </c>
      <c r="B575" t="s">
        <v>198</v>
      </c>
    </row>
    <row r="576" spans="1:2">
      <c r="A576" s="21">
        <v>93021</v>
      </c>
      <c r="B576" t="s">
        <v>198</v>
      </c>
    </row>
    <row r="577" spans="1:2">
      <c r="A577" s="21">
        <v>93030</v>
      </c>
      <c r="B577" t="s">
        <v>198</v>
      </c>
    </row>
    <row r="578" spans="1:2">
      <c r="A578" s="21">
        <v>93033</v>
      </c>
      <c r="B578" t="s">
        <v>198</v>
      </c>
    </row>
    <row r="579" spans="1:2">
      <c r="A579" s="21">
        <v>93035</v>
      </c>
      <c r="B579" t="s">
        <v>198</v>
      </c>
    </row>
    <row r="580" spans="1:2">
      <c r="A580" s="21">
        <v>93036</v>
      </c>
      <c r="B580" t="s">
        <v>198</v>
      </c>
    </row>
    <row r="581" spans="1:2">
      <c r="A581" s="21">
        <v>93060</v>
      </c>
      <c r="B581" t="s">
        <v>198</v>
      </c>
    </row>
    <row r="582" spans="1:2">
      <c r="A582" s="21">
        <v>93063</v>
      </c>
      <c r="B582" t="s">
        <v>198</v>
      </c>
    </row>
    <row r="583" spans="1:2">
      <c r="A583" s="21">
        <v>93065</v>
      </c>
      <c r="B583" t="s">
        <v>198</v>
      </c>
    </row>
    <row r="584" spans="1:2">
      <c r="A584" s="21">
        <v>93066</v>
      </c>
      <c r="B584" t="s">
        <v>198</v>
      </c>
    </row>
    <row r="585" spans="1:2">
      <c r="A585" s="21">
        <v>93203</v>
      </c>
      <c r="B585" t="s">
        <v>198</v>
      </c>
    </row>
    <row r="586" spans="1:2">
      <c r="A586" s="21">
        <v>93241</v>
      </c>
      <c r="B586" t="s">
        <v>198</v>
      </c>
    </row>
    <row r="587" spans="1:2">
      <c r="A587" s="21">
        <v>93268</v>
      </c>
      <c r="B587" t="s">
        <v>198</v>
      </c>
    </row>
    <row r="588" spans="1:2">
      <c r="A588" s="21">
        <v>93304</v>
      </c>
      <c r="B588" t="s">
        <v>198</v>
      </c>
    </row>
    <row r="589" spans="1:2">
      <c r="A589" s="21">
        <v>93305</v>
      </c>
      <c r="B589" t="s">
        <v>198</v>
      </c>
    </row>
    <row r="590" spans="1:2">
      <c r="A590" s="21">
        <v>93306</v>
      </c>
      <c r="B590" t="s">
        <v>198</v>
      </c>
    </row>
    <row r="591" spans="1:2">
      <c r="A591" s="21">
        <v>93307</v>
      </c>
      <c r="B591" t="s">
        <v>198</v>
      </c>
    </row>
    <row r="592" spans="1:2">
      <c r="A592" s="21">
        <v>93308</v>
      </c>
      <c r="B592" t="s">
        <v>198</v>
      </c>
    </row>
    <row r="593" spans="1:2">
      <c r="A593" s="21">
        <v>93309</v>
      </c>
      <c r="B593" t="s">
        <v>198</v>
      </c>
    </row>
    <row r="594" spans="1:2">
      <c r="A594" s="21">
        <v>93311</v>
      </c>
      <c r="B594" t="s">
        <v>198</v>
      </c>
    </row>
    <row r="595" spans="1:2">
      <c r="A595" s="21">
        <v>93312</v>
      </c>
      <c r="B595" t="s">
        <v>198</v>
      </c>
    </row>
    <row r="596" spans="1:2">
      <c r="A596" s="21">
        <v>93313</v>
      </c>
      <c r="B596" t="s">
        <v>198</v>
      </c>
    </row>
    <row r="597" spans="1:2">
      <c r="A597" s="21">
        <v>93314</v>
      </c>
      <c r="B597" t="s">
        <v>198</v>
      </c>
    </row>
    <row r="598" spans="1:2">
      <c r="A598" s="21">
        <v>93611</v>
      </c>
      <c r="B598" t="s">
        <v>198</v>
      </c>
    </row>
    <row r="599" spans="1:2">
      <c r="A599" s="21">
        <v>93612</v>
      </c>
      <c r="B599" t="s">
        <v>198</v>
      </c>
    </row>
    <row r="600" spans="1:2">
      <c r="A600" s="21">
        <v>93619</v>
      </c>
      <c r="B600" t="s">
        <v>198</v>
      </c>
    </row>
    <row r="601" spans="1:2">
      <c r="A601" s="21">
        <v>93625</v>
      </c>
      <c r="B601" t="s">
        <v>198</v>
      </c>
    </row>
    <row r="602" spans="1:2">
      <c r="A602" s="21">
        <v>93662</v>
      </c>
      <c r="B602" t="s">
        <v>198</v>
      </c>
    </row>
    <row r="603" spans="1:2">
      <c r="A603" s="21">
        <v>93702</v>
      </c>
      <c r="B603" t="s">
        <v>198</v>
      </c>
    </row>
    <row r="604" spans="1:2">
      <c r="A604" s="21">
        <v>93703</v>
      </c>
      <c r="B604" t="s">
        <v>198</v>
      </c>
    </row>
    <row r="605" spans="1:2">
      <c r="A605" s="21">
        <v>93705</v>
      </c>
      <c r="B605" t="s">
        <v>198</v>
      </c>
    </row>
    <row r="606" spans="1:2">
      <c r="A606" s="21">
        <v>93706</v>
      </c>
      <c r="B606" t="s">
        <v>198</v>
      </c>
    </row>
    <row r="607" spans="1:2">
      <c r="A607" s="21">
        <v>93711</v>
      </c>
      <c r="B607" t="s">
        <v>198</v>
      </c>
    </row>
    <row r="608" spans="1:2">
      <c r="A608" s="21">
        <v>93720</v>
      </c>
      <c r="B608" t="s">
        <v>198</v>
      </c>
    </row>
    <row r="609" spans="1:2">
      <c r="A609" s="21">
        <v>93721</v>
      </c>
      <c r="B609" t="s">
        <v>198</v>
      </c>
    </row>
    <row r="610" spans="1:2">
      <c r="A610" s="21">
        <v>93722</v>
      </c>
      <c r="B610" t="s">
        <v>198</v>
      </c>
    </row>
    <row r="611" spans="1:2">
      <c r="A611" s="21">
        <v>93723</v>
      </c>
      <c r="B611" t="s">
        <v>198</v>
      </c>
    </row>
    <row r="612" spans="1:2">
      <c r="A612" s="21">
        <v>93725</v>
      </c>
      <c r="B612" t="s">
        <v>198</v>
      </c>
    </row>
    <row r="613" spans="1:2">
      <c r="A613" s="21">
        <v>93726</v>
      </c>
      <c r="B613" t="s">
        <v>198</v>
      </c>
    </row>
    <row r="614" spans="1:2">
      <c r="A614" s="21">
        <v>93727</v>
      </c>
      <c r="B614" t="s">
        <v>198</v>
      </c>
    </row>
    <row r="615" spans="1:2">
      <c r="A615" s="21">
        <v>93728</v>
      </c>
      <c r="B615" t="s">
        <v>198</v>
      </c>
    </row>
    <row r="616" spans="1:2">
      <c r="A616" s="21">
        <v>93730</v>
      </c>
      <c r="B616" t="s">
        <v>198</v>
      </c>
    </row>
    <row r="617" spans="1:2">
      <c r="A617" s="21">
        <v>93901</v>
      </c>
      <c r="B617" t="s">
        <v>198</v>
      </c>
    </row>
    <row r="618" spans="1:2">
      <c r="A618" s="21">
        <v>93905</v>
      </c>
      <c r="B618" t="s">
        <v>198</v>
      </c>
    </row>
    <row r="619" spans="1:2">
      <c r="A619" s="21">
        <v>93906</v>
      </c>
      <c r="B619" t="s">
        <v>198</v>
      </c>
    </row>
    <row r="620" spans="1:2">
      <c r="A620" s="21">
        <v>93907</v>
      </c>
      <c r="B620" t="s">
        <v>198</v>
      </c>
    </row>
    <row r="621" spans="1:2">
      <c r="A621" s="21">
        <v>93933</v>
      </c>
      <c r="B621" t="s">
        <v>198</v>
      </c>
    </row>
    <row r="622" spans="1:2">
      <c r="A622" s="21">
        <v>93940</v>
      </c>
      <c r="B622" t="s">
        <v>198</v>
      </c>
    </row>
    <row r="623" spans="1:2">
      <c r="A623" s="21">
        <v>93955</v>
      </c>
      <c r="B623" t="s">
        <v>198</v>
      </c>
    </row>
    <row r="624" spans="1:2">
      <c r="A624" s="21">
        <v>94002</v>
      </c>
      <c r="B624" t="s">
        <v>198</v>
      </c>
    </row>
    <row r="625" spans="1:2">
      <c r="A625" s="21">
        <v>94005</v>
      </c>
      <c r="B625" t="s">
        <v>198</v>
      </c>
    </row>
    <row r="626" spans="1:2">
      <c r="A626" s="21">
        <v>94010</v>
      </c>
      <c r="B626" t="s">
        <v>198</v>
      </c>
    </row>
    <row r="627" spans="1:2">
      <c r="A627" s="21">
        <v>94014</v>
      </c>
      <c r="B627" t="s">
        <v>198</v>
      </c>
    </row>
    <row r="628" spans="1:2">
      <c r="A628" s="21">
        <v>94015</v>
      </c>
      <c r="B628" t="s">
        <v>198</v>
      </c>
    </row>
    <row r="629" spans="1:2">
      <c r="A629" s="21">
        <v>94016</v>
      </c>
      <c r="B629" t="s">
        <v>198</v>
      </c>
    </row>
    <row r="630" spans="1:2">
      <c r="A630" s="21">
        <v>94017</v>
      </c>
      <c r="B630" t="s">
        <v>198</v>
      </c>
    </row>
    <row r="631" spans="1:2">
      <c r="A631" s="21">
        <v>94022</v>
      </c>
      <c r="B631" t="s">
        <v>198</v>
      </c>
    </row>
    <row r="632" spans="1:2">
      <c r="A632" s="21">
        <v>94024</v>
      </c>
      <c r="B632" t="s">
        <v>198</v>
      </c>
    </row>
    <row r="633" spans="1:2">
      <c r="A633" s="21">
        <v>94025</v>
      </c>
      <c r="B633" t="s">
        <v>198</v>
      </c>
    </row>
    <row r="634" spans="1:2">
      <c r="A634" s="21">
        <v>94027</v>
      </c>
      <c r="B634" t="s">
        <v>198</v>
      </c>
    </row>
    <row r="635" spans="1:2">
      <c r="A635" s="21">
        <v>94030</v>
      </c>
      <c r="B635" t="s">
        <v>198</v>
      </c>
    </row>
    <row r="636" spans="1:2">
      <c r="A636" s="21">
        <v>94040</v>
      </c>
      <c r="B636" t="s">
        <v>198</v>
      </c>
    </row>
    <row r="637" spans="1:2">
      <c r="A637" s="21">
        <v>94041</v>
      </c>
      <c r="B637" t="s">
        <v>198</v>
      </c>
    </row>
    <row r="638" spans="1:2">
      <c r="A638" s="21">
        <v>94043</v>
      </c>
      <c r="B638" t="s">
        <v>198</v>
      </c>
    </row>
    <row r="639" spans="1:2">
      <c r="A639" s="21">
        <v>94061</v>
      </c>
      <c r="B639" t="s">
        <v>198</v>
      </c>
    </row>
    <row r="640" spans="1:2">
      <c r="A640" s="21">
        <v>94063</v>
      </c>
      <c r="B640" t="s">
        <v>198</v>
      </c>
    </row>
    <row r="641" spans="1:2">
      <c r="A641" s="21">
        <v>94065</v>
      </c>
      <c r="B641" t="s">
        <v>198</v>
      </c>
    </row>
    <row r="642" spans="1:2">
      <c r="A642" s="21">
        <v>94066</v>
      </c>
      <c r="B642" t="s">
        <v>198</v>
      </c>
    </row>
    <row r="643" spans="1:2">
      <c r="A643" s="21">
        <v>94070</v>
      </c>
      <c r="B643" t="s">
        <v>198</v>
      </c>
    </row>
    <row r="644" spans="1:2">
      <c r="A644" s="21">
        <v>94080</v>
      </c>
      <c r="B644" t="s">
        <v>198</v>
      </c>
    </row>
    <row r="645" spans="1:2">
      <c r="A645" s="21">
        <v>94083</v>
      </c>
      <c r="B645" t="s">
        <v>198</v>
      </c>
    </row>
    <row r="646" spans="1:2">
      <c r="A646" s="21">
        <v>94085</v>
      </c>
      <c r="B646" t="s">
        <v>198</v>
      </c>
    </row>
    <row r="647" spans="1:2">
      <c r="A647" s="21">
        <v>94086</v>
      </c>
      <c r="B647" t="s">
        <v>198</v>
      </c>
    </row>
    <row r="648" spans="1:2">
      <c r="A648" s="21">
        <v>94087</v>
      </c>
      <c r="B648" t="s">
        <v>198</v>
      </c>
    </row>
    <row r="649" spans="1:2">
      <c r="A649" s="21">
        <v>94089</v>
      </c>
      <c r="B649" t="s">
        <v>198</v>
      </c>
    </row>
    <row r="650" spans="1:2">
      <c r="A650" s="21">
        <v>94110</v>
      </c>
      <c r="B650" t="s">
        <v>198</v>
      </c>
    </row>
    <row r="651" spans="1:2">
      <c r="A651" s="21">
        <v>94112</v>
      </c>
      <c r="B651" t="s">
        <v>198</v>
      </c>
    </row>
    <row r="652" spans="1:2">
      <c r="A652" s="21">
        <v>94114</v>
      </c>
      <c r="B652" t="s">
        <v>198</v>
      </c>
    </row>
    <row r="653" spans="1:2">
      <c r="A653" s="21">
        <v>94115</v>
      </c>
      <c r="B653" t="s">
        <v>198</v>
      </c>
    </row>
    <row r="654" spans="1:2">
      <c r="A654" s="21">
        <v>94116</v>
      </c>
      <c r="B654" t="s">
        <v>198</v>
      </c>
    </row>
    <row r="655" spans="1:2">
      <c r="A655" s="21">
        <v>94117</v>
      </c>
      <c r="B655" t="s">
        <v>198</v>
      </c>
    </row>
    <row r="656" spans="1:2">
      <c r="A656" s="21">
        <v>94118</v>
      </c>
      <c r="B656" t="s">
        <v>198</v>
      </c>
    </row>
    <row r="657" spans="1:2">
      <c r="A657" s="21">
        <v>94121</v>
      </c>
      <c r="B657" t="s">
        <v>198</v>
      </c>
    </row>
    <row r="658" spans="1:2">
      <c r="A658" s="21">
        <v>94122</v>
      </c>
      <c r="B658" t="s">
        <v>198</v>
      </c>
    </row>
    <row r="659" spans="1:2">
      <c r="A659" s="21">
        <v>94123</v>
      </c>
      <c r="B659" t="s">
        <v>198</v>
      </c>
    </row>
    <row r="660" spans="1:2">
      <c r="A660" s="21">
        <v>94124</v>
      </c>
      <c r="B660" t="s">
        <v>198</v>
      </c>
    </row>
    <row r="661" spans="1:2">
      <c r="A661" s="21">
        <v>94127</v>
      </c>
      <c r="B661" t="s">
        <v>198</v>
      </c>
    </row>
    <row r="662" spans="1:2">
      <c r="A662" s="21">
        <v>94131</v>
      </c>
      <c r="B662" t="s">
        <v>198</v>
      </c>
    </row>
    <row r="663" spans="1:2">
      <c r="A663" s="21">
        <v>94132</v>
      </c>
      <c r="B663" t="s">
        <v>198</v>
      </c>
    </row>
    <row r="664" spans="1:2">
      <c r="A664" s="21">
        <v>94134</v>
      </c>
      <c r="B664" t="s">
        <v>198</v>
      </c>
    </row>
    <row r="665" spans="1:2">
      <c r="A665" s="21">
        <v>94301</v>
      </c>
      <c r="B665" t="s">
        <v>198</v>
      </c>
    </row>
    <row r="666" spans="1:2">
      <c r="A666" s="21">
        <v>94303</v>
      </c>
      <c r="B666" t="s">
        <v>198</v>
      </c>
    </row>
    <row r="667" spans="1:2">
      <c r="A667" s="21">
        <v>94304</v>
      </c>
      <c r="B667" t="s">
        <v>198</v>
      </c>
    </row>
    <row r="668" spans="1:2">
      <c r="A668" s="21">
        <v>94305</v>
      </c>
      <c r="B668" t="s">
        <v>198</v>
      </c>
    </row>
    <row r="669" spans="1:2">
      <c r="A669" s="21">
        <v>94306</v>
      </c>
      <c r="B669" t="s">
        <v>198</v>
      </c>
    </row>
    <row r="670" spans="1:2">
      <c r="A670" s="21">
        <v>94401</v>
      </c>
      <c r="B670" t="s">
        <v>198</v>
      </c>
    </row>
    <row r="671" spans="1:2">
      <c r="A671" s="21">
        <v>94402</v>
      </c>
      <c r="B671" t="s">
        <v>198</v>
      </c>
    </row>
    <row r="672" spans="1:2">
      <c r="A672" s="21">
        <v>94403</v>
      </c>
      <c r="B672" t="s">
        <v>198</v>
      </c>
    </row>
    <row r="673" spans="1:2">
      <c r="A673" s="21">
        <v>94404</v>
      </c>
      <c r="B673" t="s">
        <v>198</v>
      </c>
    </row>
    <row r="674" spans="1:2">
      <c r="A674" s="21">
        <v>94505</v>
      </c>
      <c r="B674" t="s">
        <v>198</v>
      </c>
    </row>
    <row r="675" spans="1:2">
      <c r="A675" s="21">
        <v>94506</v>
      </c>
      <c r="B675" t="s">
        <v>198</v>
      </c>
    </row>
    <row r="676" spans="1:2">
      <c r="A676" s="21">
        <v>94509</v>
      </c>
      <c r="B676" t="s">
        <v>198</v>
      </c>
    </row>
    <row r="677" spans="1:2">
      <c r="A677" s="21">
        <v>94513</v>
      </c>
      <c r="B677" t="s">
        <v>198</v>
      </c>
    </row>
    <row r="678" spans="1:2">
      <c r="A678" s="21">
        <v>94514</v>
      </c>
      <c r="B678" t="s">
        <v>198</v>
      </c>
    </row>
    <row r="679" spans="1:2">
      <c r="A679" s="21">
        <v>94517</v>
      </c>
      <c r="B679" t="s">
        <v>198</v>
      </c>
    </row>
    <row r="680" spans="1:2">
      <c r="A680" s="21">
        <v>94519</v>
      </c>
      <c r="B680" t="s">
        <v>198</v>
      </c>
    </row>
    <row r="681" spans="1:2">
      <c r="A681" s="21">
        <v>94520</v>
      </c>
      <c r="B681" t="s">
        <v>198</v>
      </c>
    </row>
    <row r="682" spans="1:2">
      <c r="A682" s="21">
        <v>94521</v>
      </c>
      <c r="B682" t="s">
        <v>198</v>
      </c>
    </row>
    <row r="683" spans="1:2">
      <c r="A683" s="21">
        <v>94523</v>
      </c>
      <c r="B683" t="s">
        <v>198</v>
      </c>
    </row>
    <row r="684" spans="1:2">
      <c r="A684" s="21">
        <v>94525</v>
      </c>
      <c r="B684" t="s">
        <v>198</v>
      </c>
    </row>
    <row r="685" spans="1:2">
      <c r="A685" s="21">
        <v>94530</v>
      </c>
      <c r="B685" t="s">
        <v>198</v>
      </c>
    </row>
    <row r="686" spans="1:2">
      <c r="A686" s="21">
        <v>94531</v>
      </c>
      <c r="B686" t="s">
        <v>198</v>
      </c>
    </row>
    <row r="687" spans="1:2">
      <c r="A687" s="21">
        <v>94536</v>
      </c>
      <c r="B687" t="s">
        <v>198</v>
      </c>
    </row>
    <row r="688" spans="1:2">
      <c r="A688" s="21">
        <v>94538</v>
      </c>
      <c r="B688" t="s">
        <v>198</v>
      </c>
    </row>
    <row r="689" spans="1:2">
      <c r="A689" s="21">
        <v>94539</v>
      </c>
      <c r="B689" t="s">
        <v>198</v>
      </c>
    </row>
    <row r="690" spans="1:2">
      <c r="A690" s="21">
        <v>94541</v>
      </c>
      <c r="B690" t="s">
        <v>198</v>
      </c>
    </row>
    <row r="691" spans="1:2">
      <c r="A691" s="21">
        <v>94542</v>
      </c>
      <c r="B691" t="s">
        <v>198</v>
      </c>
    </row>
    <row r="692" spans="1:2">
      <c r="A692" s="21">
        <v>94544</v>
      </c>
      <c r="B692" t="s">
        <v>198</v>
      </c>
    </row>
    <row r="693" spans="1:2">
      <c r="A693" s="21">
        <v>94545</v>
      </c>
      <c r="B693" t="s">
        <v>198</v>
      </c>
    </row>
    <row r="694" spans="1:2">
      <c r="A694" s="21">
        <v>94546</v>
      </c>
      <c r="B694" t="s">
        <v>198</v>
      </c>
    </row>
    <row r="695" spans="1:2">
      <c r="A695" s="21">
        <v>94547</v>
      </c>
      <c r="B695" t="s">
        <v>198</v>
      </c>
    </row>
    <row r="696" spans="1:2">
      <c r="A696" s="21">
        <v>94548</v>
      </c>
      <c r="B696" t="s">
        <v>198</v>
      </c>
    </row>
    <row r="697" spans="1:2">
      <c r="A697" s="21">
        <v>94550</v>
      </c>
      <c r="B697" t="s">
        <v>198</v>
      </c>
    </row>
    <row r="698" spans="1:2">
      <c r="A698" s="21">
        <v>94551</v>
      </c>
      <c r="B698" t="s">
        <v>198</v>
      </c>
    </row>
    <row r="699" spans="1:2">
      <c r="A699" s="21">
        <v>94552</v>
      </c>
      <c r="B699" t="s">
        <v>198</v>
      </c>
    </row>
    <row r="700" spans="1:2">
      <c r="A700" s="21">
        <v>94553</v>
      </c>
      <c r="B700" t="s">
        <v>198</v>
      </c>
    </row>
    <row r="701" spans="1:2">
      <c r="A701" s="21">
        <v>94555</v>
      </c>
      <c r="B701" t="s">
        <v>198</v>
      </c>
    </row>
    <row r="702" spans="1:2">
      <c r="A702" s="21">
        <v>94560</v>
      </c>
      <c r="B702" t="s">
        <v>198</v>
      </c>
    </row>
    <row r="703" spans="1:2">
      <c r="A703" s="21">
        <v>94561</v>
      </c>
      <c r="B703" t="s">
        <v>198</v>
      </c>
    </row>
    <row r="704" spans="1:2">
      <c r="A704" s="21">
        <v>94563</v>
      </c>
      <c r="B704" t="s">
        <v>198</v>
      </c>
    </row>
    <row r="705" spans="1:2">
      <c r="A705" s="21">
        <v>94564</v>
      </c>
      <c r="B705" t="s">
        <v>198</v>
      </c>
    </row>
    <row r="706" spans="1:2">
      <c r="A706" s="21">
        <v>94565</v>
      </c>
      <c r="B706" t="s">
        <v>198</v>
      </c>
    </row>
    <row r="707" spans="1:2">
      <c r="A707" s="21">
        <v>94566</v>
      </c>
      <c r="B707" t="s">
        <v>198</v>
      </c>
    </row>
    <row r="708" spans="1:2">
      <c r="A708" s="21">
        <v>94568</v>
      </c>
      <c r="B708" t="s">
        <v>198</v>
      </c>
    </row>
    <row r="709" spans="1:2">
      <c r="A709" s="21">
        <v>94569</v>
      </c>
      <c r="B709" t="s">
        <v>198</v>
      </c>
    </row>
    <row r="710" spans="1:2">
      <c r="A710" s="21">
        <v>94572</v>
      </c>
      <c r="B710" t="s">
        <v>198</v>
      </c>
    </row>
    <row r="711" spans="1:2">
      <c r="A711" s="21">
        <v>94575</v>
      </c>
      <c r="B711" t="s">
        <v>198</v>
      </c>
    </row>
    <row r="712" spans="1:2">
      <c r="A712" s="21">
        <v>94577</v>
      </c>
      <c r="B712" t="s">
        <v>198</v>
      </c>
    </row>
    <row r="713" spans="1:2">
      <c r="A713" s="21">
        <v>94578</v>
      </c>
      <c r="B713" t="s">
        <v>198</v>
      </c>
    </row>
    <row r="714" spans="1:2">
      <c r="A714" s="21">
        <v>94579</v>
      </c>
      <c r="B714" t="s">
        <v>198</v>
      </c>
    </row>
    <row r="715" spans="1:2">
      <c r="A715" s="21">
        <v>94580</v>
      </c>
      <c r="B715" t="s">
        <v>198</v>
      </c>
    </row>
    <row r="716" spans="1:2">
      <c r="A716" s="21">
        <v>94582</v>
      </c>
      <c r="B716" t="s">
        <v>198</v>
      </c>
    </row>
    <row r="717" spans="1:2">
      <c r="A717" s="21">
        <v>94583</v>
      </c>
      <c r="B717" t="s">
        <v>198</v>
      </c>
    </row>
    <row r="718" spans="1:2">
      <c r="A718" s="21">
        <v>94587</v>
      </c>
      <c r="B718" t="s">
        <v>198</v>
      </c>
    </row>
    <row r="719" spans="1:2">
      <c r="A719" s="21">
        <v>94588</v>
      </c>
      <c r="B719" t="s">
        <v>198</v>
      </c>
    </row>
    <row r="720" spans="1:2">
      <c r="A720" s="21">
        <v>94598</v>
      </c>
      <c r="B720" t="s">
        <v>198</v>
      </c>
    </row>
    <row r="721" spans="1:2">
      <c r="A721" s="21">
        <v>94601</v>
      </c>
      <c r="B721" t="s">
        <v>198</v>
      </c>
    </row>
    <row r="722" spans="1:2">
      <c r="A722" s="21">
        <v>94602</v>
      </c>
      <c r="B722" t="s">
        <v>198</v>
      </c>
    </row>
    <row r="723" spans="1:2">
      <c r="A723" s="21">
        <v>94603</v>
      </c>
      <c r="B723" t="s">
        <v>198</v>
      </c>
    </row>
    <row r="724" spans="1:2">
      <c r="A724" s="21">
        <v>94605</v>
      </c>
      <c r="B724" t="s">
        <v>198</v>
      </c>
    </row>
    <row r="725" spans="1:2">
      <c r="A725" s="21">
        <v>94606</v>
      </c>
      <c r="B725" t="s">
        <v>198</v>
      </c>
    </row>
    <row r="726" spans="1:2">
      <c r="A726" s="21">
        <v>94607</v>
      </c>
      <c r="B726" t="s">
        <v>198</v>
      </c>
    </row>
    <row r="727" spans="1:2">
      <c r="A727" s="21">
        <v>94608</v>
      </c>
      <c r="B727" t="s">
        <v>198</v>
      </c>
    </row>
    <row r="728" spans="1:2">
      <c r="A728" s="21">
        <v>94609</v>
      </c>
      <c r="B728" t="s">
        <v>198</v>
      </c>
    </row>
    <row r="729" spans="1:2">
      <c r="A729" s="21">
        <v>94610</v>
      </c>
      <c r="B729" t="s">
        <v>198</v>
      </c>
    </row>
    <row r="730" spans="1:2">
      <c r="A730" s="21">
        <v>94611</v>
      </c>
      <c r="B730" t="s">
        <v>198</v>
      </c>
    </row>
    <row r="731" spans="1:2">
      <c r="A731" s="21">
        <v>94612</v>
      </c>
      <c r="B731" t="s">
        <v>198</v>
      </c>
    </row>
    <row r="732" spans="1:2">
      <c r="A732" s="21">
        <v>94613</v>
      </c>
      <c r="B732" t="s">
        <v>198</v>
      </c>
    </row>
    <row r="733" spans="1:2">
      <c r="A733" s="21">
        <v>94618</v>
      </c>
      <c r="B733" t="s">
        <v>198</v>
      </c>
    </row>
    <row r="734" spans="1:2">
      <c r="A734" s="21">
        <v>94619</v>
      </c>
      <c r="B734" t="s">
        <v>198</v>
      </c>
    </row>
    <row r="735" spans="1:2">
      <c r="A735" s="21">
        <v>94621</v>
      </c>
      <c r="B735" t="s">
        <v>198</v>
      </c>
    </row>
    <row r="736" spans="1:2">
      <c r="A736" s="21">
        <v>94702</v>
      </c>
      <c r="B736" t="s">
        <v>198</v>
      </c>
    </row>
    <row r="737" spans="1:2">
      <c r="A737" s="21">
        <v>94703</v>
      </c>
      <c r="B737" t="s">
        <v>198</v>
      </c>
    </row>
    <row r="738" spans="1:2">
      <c r="A738" s="21">
        <v>94704</v>
      </c>
      <c r="B738" t="s">
        <v>198</v>
      </c>
    </row>
    <row r="739" spans="1:2">
      <c r="A739" s="21">
        <v>94705</v>
      </c>
      <c r="B739" t="s">
        <v>198</v>
      </c>
    </row>
    <row r="740" spans="1:2">
      <c r="A740" s="21">
        <v>94706</v>
      </c>
      <c r="B740" t="s">
        <v>198</v>
      </c>
    </row>
    <row r="741" spans="1:2">
      <c r="A741" s="21">
        <v>94707</v>
      </c>
      <c r="B741" t="s">
        <v>198</v>
      </c>
    </row>
    <row r="742" spans="1:2">
      <c r="A742" s="21">
        <v>94708</v>
      </c>
      <c r="B742" t="s">
        <v>198</v>
      </c>
    </row>
    <row r="743" spans="1:2">
      <c r="A743" s="21">
        <v>94709</v>
      </c>
      <c r="B743" t="s">
        <v>198</v>
      </c>
    </row>
    <row r="744" spans="1:2">
      <c r="A744" s="21">
        <v>94710</v>
      </c>
      <c r="B744" t="s">
        <v>198</v>
      </c>
    </row>
    <row r="745" spans="1:2">
      <c r="A745" s="21">
        <v>94720</v>
      </c>
      <c r="B745" t="s">
        <v>198</v>
      </c>
    </row>
    <row r="746" spans="1:2">
      <c r="A746" s="21">
        <v>94801</v>
      </c>
      <c r="B746" t="s">
        <v>198</v>
      </c>
    </row>
    <row r="747" spans="1:2">
      <c r="A747" s="21">
        <v>94803</v>
      </c>
      <c r="B747" t="s">
        <v>198</v>
      </c>
    </row>
    <row r="748" spans="1:2">
      <c r="A748" s="21">
        <v>94804</v>
      </c>
      <c r="B748" t="s">
        <v>198</v>
      </c>
    </row>
    <row r="749" spans="1:2">
      <c r="A749" s="21">
        <v>94805</v>
      </c>
      <c r="B749" t="s">
        <v>198</v>
      </c>
    </row>
    <row r="750" spans="1:2">
      <c r="A750" s="21">
        <v>94806</v>
      </c>
      <c r="B750" t="s">
        <v>198</v>
      </c>
    </row>
    <row r="751" spans="1:2">
      <c r="A751" s="21">
        <v>95002</v>
      </c>
      <c r="B751" t="s">
        <v>198</v>
      </c>
    </row>
    <row r="752" spans="1:2">
      <c r="A752" s="21">
        <v>95008</v>
      </c>
      <c r="B752" t="s">
        <v>198</v>
      </c>
    </row>
    <row r="753" spans="1:2">
      <c r="A753" s="21">
        <v>95014</v>
      </c>
      <c r="B753" t="s">
        <v>198</v>
      </c>
    </row>
    <row r="754" spans="1:2">
      <c r="A754" s="21">
        <v>95015</v>
      </c>
      <c r="B754" t="s">
        <v>198</v>
      </c>
    </row>
    <row r="755" spans="1:2">
      <c r="A755" s="21">
        <v>95019</v>
      </c>
      <c r="B755" t="s">
        <v>198</v>
      </c>
    </row>
    <row r="756" spans="1:2">
      <c r="A756" s="21">
        <v>95030</v>
      </c>
      <c r="B756" t="s">
        <v>198</v>
      </c>
    </row>
    <row r="757" spans="1:2">
      <c r="A757" s="21">
        <v>95032</v>
      </c>
      <c r="B757" t="s">
        <v>198</v>
      </c>
    </row>
    <row r="758" spans="1:2">
      <c r="A758" s="21">
        <v>95035</v>
      </c>
      <c r="B758" t="s">
        <v>198</v>
      </c>
    </row>
    <row r="759" spans="1:2">
      <c r="A759" s="21">
        <v>95050</v>
      </c>
      <c r="B759" t="s">
        <v>198</v>
      </c>
    </row>
    <row r="760" spans="1:2">
      <c r="A760" s="21">
        <v>95051</v>
      </c>
      <c r="B760" t="s">
        <v>198</v>
      </c>
    </row>
    <row r="761" spans="1:2">
      <c r="A761" s="21">
        <v>95054</v>
      </c>
      <c r="B761" t="s">
        <v>198</v>
      </c>
    </row>
    <row r="762" spans="1:2">
      <c r="A762" s="21">
        <v>95070</v>
      </c>
      <c r="B762" t="s">
        <v>198</v>
      </c>
    </row>
    <row r="763" spans="1:2">
      <c r="A763" s="21">
        <v>95076</v>
      </c>
      <c r="B763" t="s">
        <v>198</v>
      </c>
    </row>
    <row r="764" spans="1:2">
      <c r="A764" s="21">
        <v>95110</v>
      </c>
      <c r="B764" t="s">
        <v>198</v>
      </c>
    </row>
    <row r="765" spans="1:2">
      <c r="A765" s="21">
        <v>95111</v>
      </c>
      <c r="B765" t="s">
        <v>198</v>
      </c>
    </row>
    <row r="766" spans="1:2">
      <c r="A766" s="21">
        <v>95112</v>
      </c>
      <c r="B766" t="s">
        <v>198</v>
      </c>
    </row>
    <row r="767" spans="1:2">
      <c r="A767" s="21">
        <v>95113</v>
      </c>
      <c r="B767" t="s">
        <v>198</v>
      </c>
    </row>
    <row r="768" spans="1:2">
      <c r="A768" s="21">
        <v>95116</v>
      </c>
      <c r="B768" t="s">
        <v>198</v>
      </c>
    </row>
    <row r="769" spans="1:2">
      <c r="A769" s="21">
        <v>95117</v>
      </c>
      <c r="B769" t="s">
        <v>198</v>
      </c>
    </row>
    <row r="770" spans="1:2">
      <c r="A770" s="21">
        <v>95118</v>
      </c>
      <c r="B770" t="s">
        <v>198</v>
      </c>
    </row>
    <row r="771" spans="1:2">
      <c r="A771" s="21">
        <v>95119</v>
      </c>
      <c r="B771" t="s">
        <v>198</v>
      </c>
    </row>
    <row r="772" spans="1:2">
      <c r="A772" s="21">
        <v>95120</v>
      </c>
      <c r="B772" t="s">
        <v>198</v>
      </c>
    </row>
    <row r="773" spans="1:2">
      <c r="A773" s="21">
        <v>95121</v>
      </c>
      <c r="B773" t="s">
        <v>198</v>
      </c>
    </row>
    <row r="774" spans="1:2">
      <c r="A774" s="21">
        <v>95122</v>
      </c>
      <c r="B774" t="s">
        <v>198</v>
      </c>
    </row>
    <row r="775" spans="1:2">
      <c r="A775" s="21">
        <v>95123</v>
      </c>
      <c r="B775" t="s">
        <v>198</v>
      </c>
    </row>
    <row r="776" spans="1:2">
      <c r="A776" s="21">
        <v>95124</v>
      </c>
      <c r="B776" t="s">
        <v>198</v>
      </c>
    </row>
    <row r="777" spans="1:2">
      <c r="A777" s="21">
        <v>95125</v>
      </c>
      <c r="B777" t="s">
        <v>198</v>
      </c>
    </row>
    <row r="778" spans="1:2">
      <c r="A778" s="21">
        <v>95126</v>
      </c>
      <c r="B778" t="s">
        <v>198</v>
      </c>
    </row>
    <row r="779" spans="1:2">
      <c r="A779" s="21">
        <v>95127</v>
      </c>
      <c r="B779" t="s">
        <v>198</v>
      </c>
    </row>
    <row r="780" spans="1:2">
      <c r="A780" s="21">
        <v>95128</v>
      </c>
      <c r="B780" t="s">
        <v>198</v>
      </c>
    </row>
    <row r="781" spans="1:2">
      <c r="A781" s="21">
        <v>95129</v>
      </c>
      <c r="B781" t="s">
        <v>198</v>
      </c>
    </row>
    <row r="782" spans="1:2">
      <c r="A782" s="21">
        <v>95130</v>
      </c>
      <c r="B782" t="s">
        <v>198</v>
      </c>
    </row>
    <row r="783" spans="1:2">
      <c r="A783" s="21">
        <v>95131</v>
      </c>
      <c r="B783" t="s">
        <v>198</v>
      </c>
    </row>
    <row r="784" spans="1:2">
      <c r="A784" s="21">
        <v>95132</v>
      </c>
      <c r="B784" t="s">
        <v>198</v>
      </c>
    </row>
    <row r="785" spans="1:2">
      <c r="A785" s="21">
        <v>95133</v>
      </c>
      <c r="B785" t="s">
        <v>198</v>
      </c>
    </row>
    <row r="786" spans="1:2">
      <c r="A786" s="21">
        <v>95134</v>
      </c>
      <c r="B786" t="s">
        <v>198</v>
      </c>
    </row>
    <row r="787" spans="1:2">
      <c r="A787" s="21">
        <v>95135</v>
      </c>
      <c r="B787" t="s">
        <v>198</v>
      </c>
    </row>
    <row r="788" spans="1:2">
      <c r="A788" s="21">
        <v>95136</v>
      </c>
      <c r="B788" t="s">
        <v>198</v>
      </c>
    </row>
    <row r="789" spans="1:2">
      <c r="A789" s="21">
        <v>95138</v>
      </c>
      <c r="B789" t="s">
        <v>198</v>
      </c>
    </row>
    <row r="790" spans="1:2">
      <c r="A790" s="21">
        <v>95139</v>
      </c>
      <c r="B790" t="s">
        <v>198</v>
      </c>
    </row>
    <row r="791" spans="1:2">
      <c r="A791" s="21">
        <v>95148</v>
      </c>
      <c r="B791" t="s">
        <v>198</v>
      </c>
    </row>
    <row r="792" spans="1:2">
      <c r="A792" s="21">
        <v>95202</v>
      </c>
      <c r="B792" t="s">
        <v>198</v>
      </c>
    </row>
    <row r="793" spans="1:2">
      <c r="A793" s="21">
        <v>95203</v>
      </c>
      <c r="B793" t="s">
        <v>198</v>
      </c>
    </row>
    <row r="794" spans="1:2">
      <c r="A794" s="21">
        <v>95204</v>
      </c>
      <c r="B794" t="s">
        <v>198</v>
      </c>
    </row>
    <row r="795" spans="1:2">
      <c r="A795" s="21">
        <v>95205</v>
      </c>
      <c r="B795" t="s">
        <v>198</v>
      </c>
    </row>
    <row r="796" spans="1:2">
      <c r="A796" s="21">
        <v>95206</v>
      </c>
      <c r="B796" t="s">
        <v>198</v>
      </c>
    </row>
    <row r="797" spans="1:2">
      <c r="A797" s="21">
        <v>95207</v>
      </c>
      <c r="B797" t="s">
        <v>198</v>
      </c>
    </row>
    <row r="798" spans="1:2">
      <c r="A798" s="21">
        <v>95209</v>
      </c>
      <c r="B798" t="s">
        <v>198</v>
      </c>
    </row>
    <row r="799" spans="1:2">
      <c r="A799" s="21">
        <v>95210</v>
      </c>
      <c r="B799" t="s">
        <v>198</v>
      </c>
    </row>
    <row r="800" spans="1:2">
      <c r="A800" s="21">
        <v>95212</v>
      </c>
      <c r="B800" t="s">
        <v>198</v>
      </c>
    </row>
    <row r="801" spans="1:2">
      <c r="A801" s="21">
        <v>95215</v>
      </c>
      <c r="B801" t="s">
        <v>198</v>
      </c>
    </row>
    <row r="802" spans="1:2">
      <c r="A802" s="21">
        <v>95304</v>
      </c>
      <c r="B802" t="s">
        <v>198</v>
      </c>
    </row>
    <row r="803" spans="1:2">
      <c r="A803" s="21">
        <v>95307</v>
      </c>
      <c r="B803" t="s">
        <v>198</v>
      </c>
    </row>
    <row r="804" spans="1:2">
      <c r="A804" s="21">
        <v>95316</v>
      </c>
      <c r="B804" t="s">
        <v>198</v>
      </c>
    </row>
    <row r="805" spans="1:2">
      <c r="A805" s="21">
        <v>95319</v>
      </c>
      <c r="B805" t="s">
        <v>198</v>
      </c>
    </row>
    <row r="806" spans="1:2">
      <c r="A806" s="21">
        <v>95320</v>
      </c>
      <c r="B806" t="s">
        <v>198</v>
      </c>
    </row>
    <row r="807" spans="1:2">
      <c r="A807" s="21">
        <v>95326</v>
      </c>
      <c r="B807" t="s">
        <v>198</v>
      </c>
    </row>
    <row r="808" spans="1:2">
      <c r="A808" s="21">
        <v>95328</v>
      </c>
      <c r="B808" t="s">
        <v>198</v>
      </c>
    </row>
    <row r="809" spans="1:2">
      <c r="A809" s="21">
        <v>95330</v>
      </c>
      <c r="B809" t="s">
        <v>198</v>
      </c>
    </row>
    <row r="810" spans="1:2">
      <c r="A810" s="21">
        <v>95336</v>
      </c>
      <c r="B810" t="s">
        <v>198</v>
      </c>
    </row>
    <row r="811" spans="1:2">
      <c r="A811" s="21">
        <v>95337</v>
      </c>
      <c r="B811" t="s">
        <v>198</v>
      </c>
    </row>
    <row r="812" spans="1:2">
      <c r="A812" s="21">
        <v>95350</v>
      </c>
      <c r="B812" t="s">
        <v>198</v>
      </c>
    </row>
    <row r="813" spans="1:2">
      <c r="A813" s="21">
        <v>95351</v>
      </c>
      <c r="B813" t="s">
        <v>198</v>
      </c>
    </row>
    <row r="814" spans="1:2">
      <c r="A814" s="21">
        <v>95354</v>
      </c>
      <c r="B814" t="s">
        <v>198</v>
      </c>
    </row>
    <row r="815" spans="1:2">
      <c r="A815" s="21">
        <v>95355</v>
      </c>
      <c r="B815" t="s">
        <v>198</v>
      </c>
    </row>
    <row r="816" spans="1:2">
      <c r="A816" s="21">
        <v>95356</v>
      </c>
      <c r="B816" t="s">
        <v>198</v>
      </c>
    </row>
    <row r="817" spans="1:2">
      <c r="A817" s="21">
        <v>95357</v>
      </c>
      <c r="B817" t="s">
        <v>198</v>
      </c>
    </row>
    <row r="818" spans="1:2">
      <c r="A818" s="21">
        <v>95358</v>
      </c>
      <c r="B818" t="s">
        <v>198</v>
      </c>
    </row>
    <row r="819" spans="1:2">
      <c r="A819" s="21">
        <v>95360</v>
      </c>
      <c r="B819" t="s">
        <v>198</v>
      </c>
    </row>
    <row r="820" spans="1:2">
      <c r="A820" s="21">
        <v>95361</v>
      </c>
      <c r="B820" t="s">
        <v>198</v>
      </c>
    </row>
    <row r="821" spans="1:2">
      <c r="A821" s="21">
        <v>95366</v>
      </c>
      <c r="B821" t="s">
        <v>198</v>
      </c>
    </row>
    <row r="822" spans="1:2">
      <c r="A822" s="21">
        <v>95367</v>
      </c>
      <c r="B822" t="s">
        <v>198</v>
      </c>
    </row>
    <row r="823" spans="1:2">
      <c r="A823" s="21">
        <v>95368</v>
      </c>
      <c r="B823" t="s">
        <v>198</v>
      </c>
    </row>
    <row r="824" spans="1:2">
      <c r="A824" s="21">
        <v>95376</v>
      </c>
      <c r="B824" t="s">
        <v>198</v>
      </c>
    </row>
    <row r="825" spans="1:2">
      <c r="A825" s="21">
        <v>95380</v>
      </c>
      <c r="B825" t="s">
        <v>198</v>
      </c>
    </row>
    <row r="826" spans="1:2">
      <c r="A826" s="21">
        <v>95382</v>
      </c>
      <c r="B826" t="s">
        <v>198</v>
      </c>
    </row>
    <row r="827" spans="1:2">
      <c r="A827" s="21">
        <v>95386</v>
      </c>
      <c r="B827" t="s">
        <v>198</v>
      </c>
    </row>
    <row r="828" spans="1:2">
      <c r="A828" s="21">
        <v>95391</v>
      </c>
      <c r="B828" t="s">
        <v>198</v>
      </c>
    </row>
    <row r="829" spans="1:2">
      <c r="A829" s="21">
        <v>95605</v>
      </c>
      <c r="B829" t="s">
        <v>198</v>
      </c>
    </row>
    <row r="830" spans="1:2">
      <c r="A830" s="21">
        <v>95608</v>
      </c>
      <c r="B830" t="s">
        <v>198</v>
      </c>
    </row>
    <row r="831" spans="1:2">
      <c r="A831" s="21">
        <v>95610</v>
      </c>
      <c r="B831" t="s">
        <v>198</v>
      </c>
    </row>
    <row r="832" spans="1:2">
      <c r="A832" s="21">
        <v>95616</v>
      </c>
      <c r="B832" t="s">
        <v>198</v>
      </c>
    </row>
    <row r="833" spans="1:2">
      <c r="A833" s="21">
        <v>95618</v>
      </c>
      <c r="B833" t="s">
        <v>198</v>
      </c>
    </row>
    <row r="834" spans="1:2">
      <c r="A834" s="21">
        <v>95621</v>
      </c>
      <c r="B834" t="s">
        <v>198</v>
      </c>
    </row>
    <row r="835" spans="1:2">
      <c r="A835" s="21">
        <v>95624</v>
      </c>
      <c r="B835" t="s">
        <v>198</v>
      </c>
    </row>
    <row r="836" spans="1:2">
      <c r="A836" s="21">
        <v>95626</v>
      </c>
      <c r="B836" t="s">
        <v>198</v>
      </c>
    </row>
    <row r="837" spans="1:2">
      <c r="A837" s="21">
        <v>95628</v>
      </c>
      <c r="B837" t="s">
        <v>198</v>
      </c>
    </row>
    <row r="838" spans="1:2">
      <c r="A838" s="21">
        <v>95630</v>
      </c>
      <c r="B838" t="s">
        <v>198</v>
      </c>
    </row>
    <row r="839" spans="1:2">
      <c r="A839" s="21">
        <v>95632</v>
      </c>
      <c r="B839" t="s">
        <v>198</v>
      </c>
    </row>
    <row r="840" spans="1:2">
      <c r="A840" s="21">
        <v>95648</v>
      </c>
      <c r="B840" t="s">
        <v>198</v>
      </c>
    </row>
    <row r="841" spans="1:2">
      <c r="A841" s="21">
        <v>95650</v>
      </c>
      <c r="B841" t="s">
        <v>198</v>
      </c>
    </row>
    <row r="842" spans="1:2">
      <c r="A842" s="21">
        <v>95652</v>
      </c>
      <c r="B842" t="s">
        <v>198</v>
      </c>
    </row>
    <row r="843" spans="1:2">
      <c r="A843" s="21">
        <v>95655</v>
      </c>
      <c r="B843" t="s">
        <v>198</v>
      </c>
    </row>
    <row r="844" spans="1:2">
      <c r="A844" s="21">
        <v>95660</v>
      </c>
      <c r="B844" t="s">
        <v>198</v>
      </c>
    </row>
    <row r="845" spans="1:2">
      <c r="A845" s="21">
        <v>95661</v>
      </c>
      <c r="B845" t="s">
        <v>198</v>
      </c>
    </row>
    <row r="846" spans="1:2">
      <c r="A846" s="21">
        <v>95662</v>
      </c>
      <c r="B846" t="s">
        <v>198</v>
      </c>
    </row>
    <row r="847" spans="1:2">
      <c r="A847" s="21">
        <v>95670</v>
      </c>
      <c r="B847" t="s">
        <v>198</v>
      </c>
    </row>
    <row r="848" spans="1:2">
      <c r="A848" s="21">
        <v>95673</v>
      </c>
      <c r="B848" t="s">
        <v>198</v>
      </c>
    </row>
    <row r="849" spans="1:2">
      <c r="A849" s="21">
        <v>95677</v>
      </c>
      <c r="B849" t="s">
        <v>198</v>
      </c>
    </row>
    <row r="850" spans="1:2">
      <c r="A850" s="21">
        <v>95678</v>
      </c>
      <c r="B850" t="s">
        <v>198</v>
      </c>
    </row>
    <row r="851" spans="1:2">
      <c r="A851" s="21">
        <v>95691</v>
      </c>
      <c r="B851" t="s">
        <v>198</v>
      </c>
    </row>
    <row r="852" spans="1:2">
      <c r="A852" s="21">
        <v>95742</v>
      </c>
      <c r="B852" t="s">
        <v>198</v>
      </c>
    </row>
    <row r="853" spans="1:2">
      <c r="A853" s="21">
        <v>95746</v>
      </c>
      <c r="B853" t="s">
        <v>198</v>
      </c>
    </row>
    <row r="854" spans="1:2">
      <c r="A854" s="21">
        <v>95747</v>
      </c>
      <c r="B854" t="s">
        <v>198</v>
      </c>
    </row>
    <row r="855" spans="1:2">
      <c r="A855" s="21">
        <v>95757</v>
      </c>
      <c r="B855" t="s">
        <v>198</v>
      </c>
    </row>
    <row r="856" spans="1:2">
      <c r="A856" s="21">
        <v>95758</v>
      </c>
      <c r="B856" t="s">
        <v>198</v>
      </c>
    </row>
    <row r="857" spans="1:2">
      <c r="A857" s="21">
        <v>95765</v>
      </c>
      <c r="B857" t="s">
        <v>198</v>
      </c>
    </row>
    <row r="858" spans="1:2">
      <c r="A858" s="21">
        <v>95811</v>
      </c>
      <c r="B858" t="s">
        <v>198</v>
      </c>
    </row>
    <row r="859" spans="1:2">
      <c r="A859" s="21">
        <v>95814</v>
      </c>
      <c r="B859" t="s">
        <v>198</v>
      </c>
    </row>
    <row r="860" spans="1:2">
      <c r="A860" s="21">
        <v>95815</v>
      </c>
      <c r="B860" t="s">
        <v>198</v>
      </c>
    </row>
    <row r="861" spans="1:2">
      <c r="A861" s="21">
        <v>95816</v>
      </c>
      <c r="B861" t="s">
        <v>198</v>
      </c>
    </row>
    <row r="862" spans="1:2">
      <c r="A862" s="21">
        <v>95817</v>
      </c>
      <c r="B862" t="s">
        <v>198</v>
      </c>
    </row>
    <row r="863" spans="1:2">
      <c r="A863" s="21">
        <v>95818</v>
      </c>
      <c r="B863" t="s">
        <v>198</v>
      </c>
    </row>
    <row r="864" spans="1:2">
      <c r="A864" s="21">
        <v>95819</v>
      </c>
      <c r="B864" t="s">
        <v>198</v>
      </c>
    </row>
    <row r="865" spans="1:2">
      <c r="A865" s="21">
        <v>95820</v>
      </c>
      <c r="B865" t="s">
        <v>198</v>
      </c>
    </row>
    <row r="866" spans="1:2">
      <c r="A866" s="21">
        <v>95821</v>
      </c>
      <c r="B866" t="s">
        <v>198</v>
      </c>
    </row>
    <row r="867" spans="1:2">
      <c r="A867" s="21">
        <v>95822</v>
      </c>
      <c r="B867" t="s">
        <v>198</v>
      </c>
    </row>
    <row r="868" spans="1:2">
      <c r="A868" s="21">
        <v>95823</v>
      </c>
      <c r="B868" t="s">
        <v>198</v>
      </c>
    </row>
    <row r="869" spans="1:2">
      <c r="A869" s="21">
        <v>95824</v>
      </c>
      <c r="B869" t="s">
        <v>198</v>
      </c>
    </row>
    <row r="870" spans="1:2">
      <c r="A870" s="21">
        <v>95825</v>
      </c>
      <c r="B870" t="s">
        <v>198</v>
      </c>
    </row>
    <row r="871" spans="1:2">
      <c r="A871" s="21">
        <v>95826</v>
      </c>
      <c r="B871" t="s">
        <v>198</v>
      </c>
    </row>
    <row r="872" spans="1:2">
      <c r="A872" s="21">
        <v>95827</v>
      </c>
      <c r="B872" t="s">
        <v>198</v>
      </c>
    </row>
    <row r="873" spans="1:2">
      <c r="A873" s="21">
        <v>95828</v>
      </c>
      <c r="B873" t="s">
        <v>198</v>
      </c>
    </row>
    <row r="874" spans="1:2">
      <c r="A874" s="21">
        <v>95829</v>
      </c>
      <c r="B874" t="s">
        <v>198</v>
      </c>
    </row>
    <row r="875" spans="1:2">
      <c r="A875" s="21">
        <v>95831</v>
      </c>
      <c r="B875" t="s">
        <v>198</v>
      </c>
    </row>
    <row r="876" spans="1:2">
      <c r="A876" s="21">
        <v>95832</v>
      </c>
      <c r="B876" t="s">
        <v>198</v>
      </c>
    </row>
    <row r="877" spans="1:2">
      <c r="A877" s="21">
        <v>95833</v>
      </c>
      <c r="B877" t="s">
        <v>198</v>
      </c>
    </row>
    <row r="878" spans="1:2">
      <c r="A878" s="21">
        <v>95834</v>
      </c>
      <c r="B878" t="s">
        <v>198</v>
      </c>
    </row>
    <row r="879" spans="1:2">
      <c r="A879" s="21">
        <v>95835</v>
      </c>
      <c r="B879" t="s">
        <v>198</v>
      </c>
    </row>
    <row r="880" spans="1:2">
      <c r="A880" s="21">
        <v>95838</v>
      </c>
      <c r="B880" t="s">
        <v>198</v>
      </c>
    </row>
    <row r="881" spans="1:2">
      <c r="A881" s="21">
        <v>95841</v>
      </c>
      <c r="B881" t="s">
        <v>198</v>
      </c>
    </row>
    <row r="882" spans="1:2">
      <c r="A882" s="21">
        <v>95842</v>
      </c>
      <c r="B882" t="s">
        <v>198</v>
      </c>
    </row>
    <row r="883" spans="1:2">
      <c r="A883" s="21">
        <v>95843</v>
      </c>
      <c r="B883" t="s">
        <v>198</v>
      </c>
    </row>
    <row r="884" spans="1:2">
      <c r="A884" s="21">
        <v>95864</v>
      </c>
      <c r="B884" t="s">
        <v>198</v>
      </c>
    </row>
    <row r="885" spans="1:2">
      <c r="A885" s="21">
        <v>93215</v>
      </c>
      <c r="B885" t="s">
        <v>198</v>
      </c>
    </row>
    <row r="886" spans="1:2">
      <c r="A886" s="21">
        <v>93250</v>
      </c>
      <c r="B886" t="s">
        <v>198</v>
      </c>
    </row>
    <row r="887" spans="1:2">
      <c r="A887" s="21">
        <v>93263</v>
      </c>
      <c r="B887" t="s">
        <v>198</v>
      </c>
    </row>
    <row r="888" spans="1:2">
      <c r="A888" s="21">
        <v>89005</v>
      </c>
      <c r="B888" t="s">
        <v>198</v>
      </c>
    </row>
    <row r="889" spans="1:2">
      <c r="A889" s="21">
        <v>89115</v>
      </c>
      <c r="B889" t="s">
        <v>198</v>
      </c>
    </row>
    <row r="890" spans="1:2">
      <c r="A890" s="21">
        <v>91908</v>
      </c>
      <c r="B890" t="s">
        <v>198</v>
      </c>
    </row>
    <row r="891" spans="1:2">
      <c r="A891" s="21">
        <v>91909</v>
      </c>
      <c r="B891" t="s">
        <v>198</v>
      </c>
    </row>
    <row r="892" spans="1:2">
      <c r="A892" s="21">
        <v>91912</v>
      </c>
      <c r="B892" t="s">
        <v>198</v>
      </c>
    </row>
    <row r="893" spans="1:2">
      <c r="A893" s="21">
        <v>91921</v>
      </c>
      <c r="B893" t="s">
        <v>198</v>
      </c>
    </row>
    <row r="894" spans="1:2">
      <c r="A894" s="21">
        <v>91933</v>
      </c>
      <c r="B894" t="s">
        <v>198</v>
      </c>
    </row>
    <row r="895" spans="1:2">
      <c r="A895" s="21">
        <v>91943</v>
      </c>
      <c r="B895" t="s">
        <v>198</v>
      </c>
    </row>
    <row r="896" spans="1:2">
      <c r="A896" s="21">
        <v>91944</v>
      </c>
      <c r="B896" t="s">
        <v>198</v>
      </c>
    </row>
    <row r="897" spans="1:2">
      <c r="A897" s="21">
        <v>91946</v>
      </c>
      <c r="B897" t="s">
        <v>198</v>
      </c>
    </row>
    <row r="898" spans="1:2">
      <c r="A898" s="21">
        <v>91951</v>
      </c>
      <c r="B898" t="s">
        <v>198</v>
      </c>
    </row>
    <row r="899" spans="1:2">
      <c r="A899" s="21">
        <v>91976</v>
      </c>
      <c r="B899" t="s">
        <v>198</v>
      </c>
    </row>
    <row r="900" spans="1:2">
      <c r="A900" s="21">
        <v>91979</v>
      </c>
      <c r="B900" t="s">
        <v>198</v>
      </c>
    </row>
    <row r="901" spans="1:2">
      <c r="A901" s="21">
        <v>92013</v>
      </c>
      <c r="B901" t="s">
        <v>198</v>
      </c>
    </row>
    <row r="902" spans="1:2">
      <c r="A902" s="21">
        <v>92018</v>
      </c>
      <c r="B902" t="s">
        <v>198</v>
      </c>
    </row>
    <row r="903" spans="1:2">
      <c r="A903" s="21">
        <v>92022</v>
      </c>
      <c r="B903" t="s">
        <v>198</v>
      </c>
    </row>
    <row r="904" spans="1:2">
      <c r="A904" s="21">
        <v>92023</v>
      </c>
      <c r="B904" t="s">
        <v>198</v>
      </c>
    </row>
    <row r="905" spans="1:2">
      <c r="A905" s="21">
        <v>92033</v>
      </c>
      <c r="B905" t="s">
        <v>198</v>
      </c>
    </row>
    <row r="906" spans="1:2">
      <c r="A906" s="21">
        <v>92038</v>
      </c>
      <c r="B906" t="s">
        <v>198</v>
      </c>
    </row>
    <row r="907" spans="1:2">
      <c r="A907" s="21">
        <v>92039</v>
      </c>
      <c r="B907" t="s">
        <v>198</v>
      </c>
    </row>
    <row r="908" spans="1:2">
      <c r="A908" s="21">
        <v>92046</v>
      </c>
      <c r="B908" t="s">
        <v>198</v>
      </c>
    </row>
    <row r="909" spans="1:2">
      <c r="A909" s="21">
        <v>92049</v>
      </c>
      <c r="B909" t="s">
        <v>198</v>
      </c>
    </row>
    <row r="910" spans="1:2">
      <c r="A910" s="21">
        <v>92051</v>
      </c>
      <c r="B910" t="s">
        <v>198</v>
      </c>
    </row>
    <row r="911" spans="1:2">
      <c r="A911" s="21">
        <v>92052</v>
      </c>
      <c r="B911" t="s">
        <v>198</v>
      </c>
    </row>
    <row r="912" spans="1:2">
      <c r="A912" s="21">
        <v>92072</v>
      </c>
      <c r="B912" t="s">
        <v>198</v>
      </c>
    </row>
    <row r="913" spans="1:2">
      <c r="A913" s="21">
        <v>92074</v>
      </c>
      <c r="B913" t="s">
        <v>198</v>
      </c>
    </row>
    <row r="914" spans="1:2">
      <c r="A914" s="21">
        <v>92079</v>
      </c>
      <c r="B914" t="s">
        <v>198</v>
      </c>
    </row>
    <row r="915" spans="1:2">
      <c r="A915" s="21">
        <v>92085</v>
      </c>
      <c r="B915" t="s">
        <v>198</v>
      </c>
    </row>
    <row r="916" spans="1:2">
      <c r="A916" s="21">
        <v>92112</v>
      </c>
      <c r="B916" t="s">
        <v>198</v>
      </c>
    </row>
    <row r="917" spans="1:2">
      <c r="A917" s="21">
        <v>92137</v>
      </c>
      <c r="B917" t="s">
        <v>198</v>
      </c>
    </row>
    <row r="918" spans="1:2">
      <c r="A918" s="21">
        <v>92138</v>
      </c>
      <c r="B918" t="s">
        <v>198</v>
      </c>
    </row>
    <row r="919" spans="1:2">
      <c r="A919" s="21">
        <v>92142</v>
      </c>
      <c r="B919" t="s">
        <v>198</v>
      </c>
    </row>
    <row r="920" spans="1:2">
      <c r="A920" s="21">
        <v>92149</v>
      </c>
      <c r="B920" t="s">
        <v>198</v>
      </c>
    </row>
    <row r="921" spans="1:2">
      <c r="A921" s="21">
        <v>92150</v>
      </c>
      <c r="B921" t="s">
        <v>198</v>
      </c>
    </row>
    <row r="922" spans="1:2">
      <c r="A922" s="21">
        <v>92152</v>
      </c>
      <c r="B922" t="s">
        <v>198</v>
      </c>
    </row>
    <row r="923" spans="1:2">
      <c r="A923" s="21">
        <v>92153</v>
      </c>
      <c r="B923" t="s">
        <v>198</v>
      </c>
    </row>
    <row r="924" spans="1:2">
      <c r="A924" s="21">
        <v>92159</v>
      </c>
      <c r="B924" t="s">
        <v>198</v>
      </c>
    </row>
    <row r="925" spans="1:2">
      <c r="A925" s="21">
        <v>92160</v>
      </c>
      <c r="B925" t="s">
        <v>198</v>
      </c>
    </row>
    <row r="926" spans="1:2">
      <c r="A926" s="21">
        <v>92161</v>
      </c>
      <c r="B926" t="s">
        <v>198</v>
      </c>
    </row>
    <row r="927" spans="1:2">
      <c r="A927" s="21">
        <v>92163</v>
      </c>
      <c r="B927" t="s">
        <v>198</v>
      </c>
    </row>
    <row r="928" spans="1:2">
      <c r="A928" s="21">
        <v>92165</v>
      </c>
      <c r="B928" t="s">
        <v>198</v>
      </c>
    </row>
    <row r="929" spans="1:2">
      <c r="A929" s="21">
        <v>92166</v>
      </c>
      <c r="B929" t="s">
        <v>198</v>
      </c>
    </row>
    <row r="930" spans="1:2">
      <c r="A930" s="21">
        <v>92167</v>
      </c>
      <c r="B930" t="s">
        <v>198</v>
      </c>
    </row>
    <row r="931" spans="1:2">
      <c r="A931" s="21">
        <v>92168</v>
      </c>
      <c r="B931" t="s">
        <v>198</v>
      </c>
    </row>
    <row r="932" spans="1:2">
      <c r="A932" s="21">
        <v>92169</v>
      </c>
      <c r="B932" t="s">
        <v>198</v>
      </c>
    </row>
    <row r="933" spans="1:2">
      <c r="A933" s="21">
        <v>92170</v>
      </c>
      <c r="B933" t="s">
        <v>198</v>
      </c>
    </row>
    <row r="934" spans="1:2">
      <c r="A934" s="21">
        <v>92171</v>
      </c>
      <c r="B934" t="s">
        <v>198</v>
      </c>
    </row>
    <row r="935" spans="1:2">
      <c r="A935" s="21">
        <v>92172</v>
      </c>
      <c r="B935" t="s">
        <v>198</v>
      </c>
    </row>
    <row r="936" spans="1:2">
      <c r="A936" s="21">
        <v>92174</v>
      </c>
      <c r="B936" t="s">
        <v>198</v>
      </c>
    </row>
    <row r="937" spans="1:2">
      <c r="A937" s="21">
        <v>92175</v>
      </c>
      <c r="B937" t="s">
        <v>198</v>
      </c>
    </row>
    <row r="938" spans="1:2">
      <c r="A938" s="21">
        <v>92176</v>
      </c>
      <c r="B938" t="s">
        <v>198</v>
      </c>
    </row>
    <row r="939" spans="1:2">
      <c r="A939" s="21">
        <v>92177</v>
      </c>
      <c r="B939" t="s">
        <v>198</v>
      </c>
    </row>
    <row r="940" spans="1:2">
      <c r="A940" s="21">
        <v>92182</v>
      </c>
      <c r="B940" t="s">
        <v>198</v>
      </c>
    </row>
    <row r="941" spans="1:2">
      <c r="A941" s="21">
        <v>92186</v>
      </c>
      <c r="B941" t="s">
        <v>198</v>
      </c>
    </row>
    <row r="942" spans="1:2">
      <c r="A942" s="21">
        <v>92191</v>
      </c>
      <c r="B942" t="s">
        <v>198</v>
      </c>
    </row>
    <row r="943" spans="1:2">
      <c r="A943" s="21">
        <v>92192</v>
      </c>
      <c r="B943" t="s">
        <v>198</v>
      </c>
    </row>
    <row r="944" spans="1:2">
      <c r="A944" s="21">
        <v>92193</v>
      </c>
      <c r="B944" t="s">
        <v>198</v>
      </c>
    </row>
    <row r="945" spans="1:2">
      <c r="A945" s="21">
        <v>92195</v>
      </c>
      <c r="B945" t="s">
        <v>198</v>
      </c>
    </row>
    <row r="946" spans="1:2">
      <c r="A946" s="21">
        <v>92196</v>
      </c>
      <c r="B946" t="s">
        <v>198</v>
      </c>
    </row>
    <row r="947" spans="1:2">
      <c r="A947" s="21">
        <v>92197</v>
      </c>
      <c r="B947" t="s">
        <v>198</v>
      </c>
    </row>
    <row r="948" spans="1:2">
      <c r="A948" s="21">
        <v>92198</v>
      </c>
      <c r="B948" t="s">
        <v>198</v>
      </c>
    </row>
    <row r="949" spans="1:2">
      <c r="A949" s="21">
        <v>92199</v>
      </c>
      <c r="B949" t="s">
        <v>198</v>
      </c>
    </row>
    <row r="950" spans="1:2">
      <c r="A950" s="21">
        <v>97003</v>
      </c>
      <c r="B950" t="s">
        <v>198</v>
      </c>
    </row>
    <row r="951" spans="1:2">
      <c r="A951" s="21">
        <v>97005</v>
      </c>
      <c r="B951" t="s">
        <v>198</v>
      </c>
    </row>
    <row r="952" spans="1:2">
      <c r="A952" s="21">
        <v>97007</v>
      </c>
      <c r="B952" t="s">
        <v>198</v>
      </c>
    </row>
    <row r="953" spans="1:2">
      <c r="A953" s="21">
        <v>97009</v>
      </c>
      <c r="B953" t="s">
        <v>198</v>
      </c>
    </row>
    <row r="954" spans="1:2">
      <c r="A954" s="21">
        <v>97015</v>
      </c>
      <c r="B954" t="s">
        <v>198</v>
      </c>
    </row>
    <row r="955" spans="1:2">
      <c r="A955" s="21">
        <v>97024</v>
      </c>
      <c r="B955" t="s">
        <v>198</v>
      </c>
    </row>
    <row r="956" spans="1:2">
      <c r="A956" s="21">
        <v>97027</v>
      </c>
      <c r="B956" t="s">
        <v>198</v>
      </c>
    </row>
    <row r="957" spans="1:2">
      <c r="A957" s="21">
        <v>97030</v>
      </c>
      <c r="B957" t="s">
        <v>198</v>
      </c>
    </row>
    <row r="958" spans="1:2">
      <c r="A958" s="21">
        <v>97034</v>
      </c>
      <c r="B958" t="s">
        <v>198</v>
      </c>
    </row>
    <row r="959" spans="1:2">
      <c r="A959" s="21">
        <v>97035</v>
      </c>
      <c r="B959" t="s">
        <v>198</v>
      </c>
    </row>
    <row r="960" spans="1:2">
      <c r="A960" s="21">
        <v>97045</v>
      </c>
      <c r="B960" t="s">
        <v>198</v>
      </c>
    </row>
    <row r="961" spans="1:2">
      <c r="A961" s="21">
        <v>97060</v>
      </c>
      <c r="B961" t="s">
        <v>198</v>
      </c>
    </row>
    <row r="962" spans="1:2">
      <c r="A962" s="21">
        <v>97062</v>
      </c>
      <c r="B962" t="s">
        <v>198</v>
      </c>
    </row>
    <row r="963" spans="1:2">
      <c r="A963" s="21">
        <v>97068</v>
      </c>
      <c r="B963" t="s">
        <v>198</v>
      </c>
    </row>
    <row r="964" spans="1:2">
      <c r="A964" s="21">
        <v>97070</v>
      </c>
      <c r="B964" t="s">
        <v>198</v>
      </c>
    </row>
    <row r="965" spans="1:2">
      <c r="A965" s="21">
        <v>97080</v>
      </c>
      <c r="B965" t="s">
        <v>198</v>
      </c>
    </row>
    <row r="966" spans="1:2">
      <c r="A966" s="21">
        <v>97086</v>
      </c>
      <c r="B966" t="s">
        <v>198</v>
      </c>
    </row>
    <row r="967" spans="1:2">
      <c r="A967" s="21">
        <v>97089</v>
      </c>
      <c r="B967" t="s">
        <v>198</v>
      </c>
    </row>
    <row r="968" spans="1:2">
      <c r="A968" s="21">
        <v>97140</v>
      </c>
      <c r="B968" t="s">
        <v>198</v>
      </c>
    </row>
    <row r="969" spans="1:2">
      <c r="A969" s="21">
        <v>97201</v>
      </c>
      <c r="B969" t="s">
        <v>198</v>
      </c>
    </row>
    <row r="970" spans="1:2">
      <c r="A970" s="21">
        <v>97202</v>
      </c>
      <c r="B970" t="s">
        <v>198</v>
      </c>
    </row>
    <row r="971" spans="1:2">
      <c r="A971" s="21">
        <v>97203</v>
      </c>
      <c r="B971" t="s">
        <v>198</v>
      </c>
    </row>
    <row r="972" spans="1:2">
      <c r="A972" s="21">
        <v>97205</v>
      </c>
      <c r="B972" t="s">
        <v>198</v>
      </c>
    </row>
    <row r="973" spans="1:2">
      <c r="A973" s="21">
        <v>97206</v>
      </c>
      <c r="B973" t="s">
        <v>198</v>
      </c>
    </row>
    <row r="974" spans="1:2">
      <c r="A974" s="21">
        <v>97210</v>
      </c>
      <c r="B974" t="s">
        <v>198</v>
      </c>
    </row>
    <row r="975" spans="1:2">
      <c r="A975" s="21">
        <v>97211</v>
      </c>
      <c r="B975" t="s">
        <v>198</v>
      </c>
    </row>
    <row r="976" spans="1:2">
      <c r="A976" s="21">
        <v>97212</v>
      </c>
      <c r="B976" t="s">
        <v>198</v>
      </c>
    </row>
    <row r="977" spans="1:2">
      <c r="A977" s="21">
        <v>97213</v>
      </c>
      <c r="B977" t="s">
        <v>198</v>
      </c>
    </row>
    <row r="978" spans="1:2">
      <c r="A978" s="21">
        <v>97216</v>
      </c>
      <c r="B978" t="s">
        <v>198</v>
      </c>
    </row>
    <row r="979" spans="1:2">
      <c r="A979" s="21">
        <v>97217</v>
      </c>
      <c r="B979" t="s">
        <v>198</v>
      </c>
    </row>
    <row r="980" spans="1:2">
      <c r="A980" s="21">
        <v>97218</v>
      </c>
      <c r="B980" t="s">
        <v>198</v>
      </c>
    </row>
    <row r="981" spans="1:2">
      <c r="A981" s="21">
        <v>97219</v>
      </c>
      <c r="B981" t="s">
        <v>198</v>
      </c>
    </row>
    <row r="982" spans="1:2">
      <c r="A982" s="21">
        <v>97220</v>
      </c>
      <c r="B982" t="s">
        <v>198</v>
      </c>
    </row>
    <row r="983" spans="1:2">
      <c r="A983" s="21">
        <v>97221</v>
      </c>
      <c r="B983" t="s">
        <v>198</v>
      </c>
    </row>
    <row r="984" spans="1:2">
      <c r="A984" s="21">
        <v>97222</v>
      </c>
      <c r="B984" t="s">
        <v>198</v>
      </c>
    </row>
    <row r="985" spans="1:2">
      <c r="A985" s="21">
        <v>97223</v>
      </c>
      <c r="B985" t="s">
        <v>198</v>
      </c>
    </row>
    <row r="986" spans="1:2">
      <c r="A986" s="21">
        <v>97224</v>
      </c>
      <c r="B986" t="s">
        <v>198</v>
      </c>
    </row>
    <row r="987" spans="1:2">
      <c r="A987" s="21">
        <v>97225</v>
      </c>
      <c r="B987" t="s">
        <v>198</v>
      </c>
    </row>
    <row r="988" spans="1:2">
      <c r="A988" s="21">
        <v>97227</v>
      </c>
      <c r="B988" t="s">
        <v>198</v>
      </c>
    </row>
    <row r="989" spans="1:2">
      <c r="A989" s="21">
        <v>97229</v>
      </c>
      <c r="B989" t="s">
        <v>198</v>
      </c>
    </row>
    <row r="990" spans="1:2">
      <c r="A990" s="21">
        <v>97230</v>
      </c>
      <c r="B990" t="s">
        <v>198</v>
      </c>
    </row>
    <row r="991" spans="1:2">
      <c r="A991" s="21">
        <v>97233</v>
      </c>
      <c r="B991" t="s">
        <v>198</v>
      </c>
    </row>
    <row r="992" spans="1:2">
      <c r="A992" s="21">
        <v>97236</v>
      </c>
      <c r="B992" t="s">
        <v>198</v>
      </c>
    </row>
    <row r="993" spans="1:2">
      <c r="A993" s="21">
        <v>97239</v>
      </c>
      <c r="B993" t="s">
        <v>198</v>
      </c>
    </row>
    <row r="994" spans="1:2">
      <c r="A994" s="21">
        <v>97266</v>
      </c>
      <c r="B994" t="s">
        <v>198</v>
      </c>
    </row>
    <row r="995" spans="1:2">
      <c r="A995" s="21">
        <v>97267</v>
      </c>
      <c r="B995" t="s">
        <v>198</v>
      </c>
    </row>
    <row r="996" spans="1:2">
      <c r="A996" s="21">
        <v>85140</v>
      </c>
      <c r="B996" t="s">
        <v>198</v>
      </c>
    </row>
    <row r="997" spans="1:2">
      <c r="A997" s="21">
        <v>85142</v>
      </c>
      <c r="B997" t="s">
        <v>198</v>
      </c>
    </row>
    <row r="998" spans="1:2">
      <c r="A998" s="21">
        <v>85143</v>
      </c>
      <c r="B998" t="s">
        <v>198</v>
      </c>
    </row>
    <row r="999" spans="1:2">
      <c r="A999" s="21">
        <v>85378</v>
      </c>
      <c r="B999" t="s">
        <v>198</v>
      </c>
    </row>
    <row r="1000" spans="1:2">
      <c r="A1000" s="21">
        <v>85380</v>
      </c>
      <c r="B1000" t="s">
        <v>198</v>
      </c>
    </row>
    <row r="1001" spans="1:2">
      <c r="A1001" s="21">
        <v>95231</v>
      </c>
      <c r="B1001" t="s">
        <v>198</v>
      </c>
    </row>
    <row r="1002" spans="1:2">
      <c r="A1002" s="21">
        <v>95638</v>
      </c>
      <c r="B1002" t="s">
        <v>198</v>
      </c>
    </row>
    <row r="1003" spans="1:2">
      <c r="A1003" s="21">
        <v>95658</v>
      </c>
      <c r="B1003" t="s">
        <v>198</v>
      </c>
    </row>
    <row r="1004" spans="1:2">
      <c r="A1004" s="21">
        <v>95682</v>
      </c>
      <c r="B1004" t="s">
        <v>198</v>
      </c>
    </row>
    <row r="1005" spans="1:2">
      <c r="A1005" s="21">
        <v>95693</v>
      </c>
      <c r="B1005" t="s">
        <v>198</v>
      </c>
    </row>
    <row r="1006" spans="1:2">
      <c r="A1006" s="21">
        <v>95762</v>
      </c>
      <c r="B1006" t="s">
        <v>198</v>
      </c>
    </row>
    <row r="1007" spans="1:2">
      <c r="A1007" s="21">
        <v>95687</v>
      </c>
      <c r="B1007" t="s">
        <v>198</v>
      </c>
    </row>
    <row r="1008" spans="1:2">
      <c r="A1008" s="21">
        <v>95688</v>
      </c>
      <c r="B1008" t="s">
        <v>198</v>
      </c>
    </row>
    <row r="1009" spans="1:1">
      <c r="A1009" s="15"/>
    </row>
    <row r="1010" spans="1:1">
      <c r="A1010" s="15"/>
    </row>
    <row r="1011" spans="1:1">
      <c r="A1011" s="15"/>
    </row>
    <row r="1012" spans="1:1">
      <c r="A1012" s="15"/>
    </row>
    <row r="1013" spans="1:1">
      <c r="A1013" s="15"/>
    </row>
    <row r="1014" spans="1:1">
      <c r="A1014" s="15"/>
    </row>
    <row r="1015" spans="1:1">
      <c r="A1015" s="15"/>
    </row>
    <row r="1016" spans="1:1">
      <c r="A1016" s="15"/>
    </row>
    <row r="1017" spans="1:1">
      <c r="A1017" s="15"/>
    </row>
    <row r="1018" spans="1:1">
      <c r="A1018" s="15"/>
    </row>
    <row r="1019" spans="1:1">
      <c r="A1019" s="15"/>
    </row>
    <row r="1020" spans="1:1">
      <c r="A1020" s="15"/>
    </row>
    <row r="1021" spans="1:1">
      <c r="A1021" s="15"/>
    </row>
    <row r="1022" spans="1:1">
      <c r="A1022" s="15"/>
    </row>
    <row r="1023" spans="1:1">
      <c r="A1023" s="15"/>
    </row>
    <row r="1024" spans="1:1">
      <c r="A1024" s="15"/>
    </row>
    <row r="1025" spans="1:1">
      <c r="A1025" s="15"/>
    </row>
    <row r="1026" spans="1:1">
      <c r="A1026" s="15"/>
    </row>
    <row r="1027" spans="1:1">
      <c r="A1027" s="15"/>
    </row>
    <row r="1028" spans="1:1">
      <c r="A1028" s="15"/>
    </row>
    <row r="1029" spans="1:1">
      <c r="A1029" s="15"/>
    </row>
    <row r="1030" spans="1:1">
      <c r="A1030" s="15"/>
    </row>
    <row r="1031" spans="1:1">
      <c r="A1031" s="15"/>
    </row>
    <row r="1032" spans="1:1">
      <c r="A1032" s="15"/>
    </row>
    <row r="1033" spans="1:1">
      <c r="A1033" s="15"/>
    </row>
    <row r="1034" spans="1:1">
      <c r="A1034" s="15"/>
    </row>
    <row r="1035" spans="1:1">
      <c r="A1035" s="15"/>
    </row>
    <row r="1036" spans="1:1">
      <c r="A1036" s="15"/>
    </row>
    <row r="1037" spans="1:1">
      <c r="A1037" s="15"/>
    </row>
    <row r="1038" spans="1:1">
      <c r="A1038" s="15"/>
    </row>
    <row r="1039" spans="1:1">
      <c r="A1039" s="15"/>
    </row>
    <row r="1040" spans="1:1">
      <c r="A1040" s="15"/>
    </row>
    <row r="1041" spans="1:1">
      <c r="A1041" s="15"/>
    </row>
    <row r="1042" spans="1:1">
      <c r="A1042" s="15"/>
    </row>
    <row r="1043" spans="1:1">
      <c r="A1043" s="15"/>
    </row>
    <row r="1044" spans="1:1">
      <c r="A1044" s="15"/>
    </row>
    <row r="1045" spans="1:1">
      <c r="A1045" s="15"/>
    </row>
    <row r="1046" spans="1:1">
      <c r="A1046" s="15"/>
    </row>
    <row r="1047" spans="1:1">
      <c r="A1047" s="15"/>
    </row>
    <row r="1048" spans="1:1">
      <c r="A1048" s="15"/>
    </row>
    <row r="1049" spans="1:1">
      <c r="A1049" s="15"/>
    </row>
    <row r="1050" spans="1:1">
      <c r="A1050" s="15"/>
    </row>
    <row r="1051" spans="1:1">
      <c r="A1051" s="15"/>
    </row>
    <row r="1052" spans="1:1">
      <c r="A1052" s="15"/>
    </row>
    <row r="1053" spans="1:1">
      <c r="A1053" s="15"/>
    </row>
    <row r="1054" spans="1:1">
      <c r="A1054" s="15"/>
    </row>
    <row r="1055" spans="1:1">
      <c r="A1055" s="15"/>
    </row>
    <row r="1056" spans="1:1">
      <c r="A1056" s="15"/>
    </row>
    <row r="1057" spans="1:1">
      <c r="A1057" s="15"/>
    </row>
    <row r="1058" spans="1:1">
      <c r="A1058" s="15"/>
    </row>
    <row r="1059" spans="1:1">
      <c r="A1059" s="15"/>
    </row>
    <row r="1060" spans="1:1">
      <c r="A1060" s="15"/>
    </row>
    <row r="1061" spans="1:1">
      <c r="A1061" s="15"/>
    </row>
    <row r="1062" spans="1:1">
      <c r="A1062" s="15"/>
    </row>
    <row r="1063" spans="1:1">
      <c r="A1063" s="15"/>
    </row>
    <row r="1064" spans="1:1">
      <c r="A1064" s="15"/>
    </row>
    <row r="1065" spans="1:1">
      <c r="A1065" s="15"/>
    </row>
    <row r="1066" spans="1:1">
      <c r="A1066" s="15"/>
    </row>
    <row r="1067" spans="1:1">
      <c r="A1067" s="15"/>
    </row>
    <row r="1068" spans="1:1">
      <c r="A1068" s="15"/>
    </row>
    <row r="1069" spans="1:1">
      <c r="A1069" s="15"/>
    </row>
    <row r="1070" spans="1:1">
      <c r="A1070" s="15"/>
    </row>
    <row r="1071" spans="1:1">
      <c r="A1071" s="15"/>
    </row>
    <row r="1072" spans="1:1">
      <c r="A1072" s="15"/>
    </row>
    <row r="1073" spans="1:1">
      <c r="A1073" s="15"/>
    </row>
    <row r="1074" spans="1:1">
      <c r="A1074" s="15"/>
    </row>
    <row r="1075" spans="1:1">
      <c r="A1075" s="15"/>
    </row>
    <row r="1076" spans="1:1">
      <c r="A1076" s="15"/>
    </row>
    <row r="1077" spans="1:1">
      <c r="A1077" s="15"/>
    </row>
    <row r="1078" spans="1:1">
      <c r="A1078" s="15"/>
    </row>
    <row r="1079" spans="1:1">
      <c r="A1079" s="15"/>
    </row>
    <row r="1080" spans="1:1">
      <c r="A1080" s="15"/>
    </row>
    <row r="1081" spans="1:1">
      <c r="A1081" s="15"/>
    </row>
    <row r="1082" spans="1:1">
      <c r="A1082" s="15"/>
    </row>
    <row r="1083" spans="1:1">
      <c r="A1083" s="15"/>
    </row>
    <row r="1084" spans="1:1">
      <c r="A1084" s="15"/>
    </row>
    <row r="1085" spans="1:1">
      <c r="A1085" s="15"/>
    </row>
    <row r="1086" spans="1:1">
      <c r="A1086" s="15"/>
    </row>
    <row r="1087" spans="1:1">
      <c r="A1087" s="15"/>
    </row>
    <row r="1088" spans="1:1">
      <c r="A1088" s="15"/>
    </row>
    <row r="1089" spans="1:1">
      <c r="A1089" s="15"/>
    </row>
    <row r="1090" spans="1:1">
      <c r="A1090" s="15"/>
    </row>
    <row r="1091" spans="1:1">
      <c r="A1091" s="15"/>
    </row>
    <row r="1092" spans="1:1">
      <c r="A1092" s="15"/>
    </row>
    <row r="1093" spans="1:1">
      <c r="A1093" s="15"/>
    </row>
    <row r="1094" spans="1:1">
      <c r="A1094" s="15"/>
    </row>
    <row r="1095" spans="1:1">
      <c r="A1095" s="15"/>
    </row>
    <row r="1096" spans="1:1">
      <c r="A1096" s="15"/>
    </row>
    <row r="1097" spans="1:1">
      <c r="A1097" s="15"/>
    </row>
    <row r="1098" spans="1:1">
      <c r="A1098" s="15"/>
    </row>
    <row r="1099" spans="1:1">
      <c r="A1099" s="15"/>
    </row>
    <row r="1100" spans="1:1">
      <c r="A1100" s="15"/>
    </row>
    <row r="1101" spans="1:1">
      <c r="A1101" s="15"/>
    </row>
    <row r="1102" spans="1:1">
      <c r="A1102" s="15"/>
    </row>
    <row r="1103" spans="1:1">
      <c r="A1103" s="15"/>
    </row>
    <row r="1104" spans="1:1">
      <c r="A1104" s="15"/>
    </row>
    <row r="1105" spans="1:1">
      <c r="A1105" s="15"/>
    </row>
    <row r="1106" spans="1:1">
      <c r="A1106" s="15"/>
    </row>
    <row r="1107" spans="1:1">
      <c r="A1107" s="15"/>
    </row>
    <row r="1108" spans="1:1">
      <c r="A1108" s="15"/>
    </row>
    <row r="1109" spans="1:1">
      <c r="A1109" s="15"/>
    </row>
    <row r="1110" spans="1:1">
      <c r="A1110" s="15"/>
    </row>
    <row r="1111" spans="1:1">
      <c r="A1111" s="15"/>
    </row>
    <row r="1112" spans="1:1">
      <c r="A1112" s="15"/>
    </row>
    <row r="1113" spans="1:1">
      <c r="A1113" s="15"/>
    </row>
    <row r="1114" spans="1:1">
      <c r="A1114" s="15"/>
    </row>
    <row r="1115" spans="1:1">
      <c r="A1115" s="15"/>
    </row>
    <row r="1116" spans="1:1">
      <c r="A1116" s="15"/>
    </row>
    <row r="1117" spans="1:1">
      <c r="A1117" s="15"/>
    </row>
    <row r="1118" spans="1:1">
      <c r="A1118" s="15"/>
    </row>
    <row r="1119" spans="1:1">
      <c r="A1119" s="15"/>
    </row>
    <row r="1120" spans="1:1">
      <c r="A1120" s="15"/>
    </row>
    <row r="1121" spans="1:1">
      <c r="A1121" s="15"/>
    </row>
    <row r="1122" spans="1:1">
      <c r="A1122" s="15"/>
    </row>
    <row r="1123" spans="1:1">
      <c r="A1123" s="15"/>
    </row>
    <row r="1124" spans="1:1">
      <c r="A1124" s="15"/>
    </row>
    <row r="1125" spans="1:1">
      <c r="A1125" s="15"/>
    </row>
    <row r="1126" spans="1:1">
      <c r="A1126" s="15"/>
    </row>
    <row r="1127" spans="1:1">
      <c r="A1127" s="15"/>
    </row>
    <row r="1128" spans="1:1">
      <c r="A1128" s="15"/>
    </row>
    <row r="1129" spans="1:1">
      <c r="A1129" s="15"/>
    </row>
    <row r="1130" spans="1:1">
      <c r="A1130" s="15"/>
    </row>
    <row r="1131" spans="1:1">
      <c r="A1131" s="15"/>
    </row>
    <row r="1132" spans="1:1">
      <c r="A1132" s="15"/>
    </row>
    <row r="1133" spans="1:1">
      <c r="A1133" s="15"/>
    </row>
    <row r="1134" spans="1:1">
      <c r="A1134" s="15"/>
    </row>
    <row r="1135" spans="1:1">
      <c r="A1135" s="15"/>
    </row>
    <row r="1136" spans="1:1">
      <c r="A1136" s="15"/>
    </row>
    <row r="1137" spans="1:1">
      <c r="A1137" s="15"/>
    </row>
    <row r="1138" spans="1:1">
      <c r="A1138" s="15"/>
    </row>
    <row r="1139" spans="1:1">
      <c r="A1139" s="15"/>
    </row>
    <row r="1140" spans="1:1">
      <c r="A1140" s="15"/>
    </row>
    <row r="1141" spans="1:1">
      <c r="A1141" s="15"/>
    </row>
    <row r="1142" spans="1:1">
      <c r="A1142" s="15"/>
    </row>
    <row r="1143" spans="1:1">
      <c r="A1143" s="15"/>
    </row>
    <row r="1144" spans="1:1">
      <c r="A1144" s="15"/>
    </row>
    <row r="1145" spans="1:1">
      <c r="A1145" s="15"/>
    </row>
    <row r="1146" spans="1:1">
      <c r="A1146" s="15"/>
    </row>
    <row r="1147" spans="1:1">
      <c r="A1147" s="15"/>
    </row>
    <row r="1148" spans="1:1">
      <c r="A1148" s="15"/>
    </row>
    <row r="1149" spans="1:1">
      <c r="A1149" s="15"/>
    </row>
    <row r="1150" spans="1:1">
      <c r="A1150" s="15"/>
    </row>
    <row r="1151" spans="1:1">
      <c r="A1151" s="15"/>
    </row>
    <row r="1152" spans="1:1">
      <c r="A1152" s="15"/>
    </row>
    <row r="1153" spans="1:1">
      <c r="A1153" s="15"/>
    </row>
    <row r="1154" spans="1:1">
      <c r="A1154" s="15"/>
    </row>
    <row r="1155" spans="1:1">
      <c r="A1155" s="15"/>
    </row>
    <row r="1156" spans="1:1">
      <c r="A1156" s="15"/>
    </row>
    <row r="1157" spans="1:1">
      <c r="A1157" s="15"/>
    </row>
    <row r="1158" spans="1:1">
      <c r="A1158" s="15"/>
    </row>
    <row r="1159" spans="1:1">
      <c r="A1159" s="15"/>
    </row>
    <row r="1160" spans="1:1">
      <c r="A1160" s="15"/>
    </row>
    <row r="1161" spans="1:1">
      <c r="A1161" s="15"/>
    </row>
    <row r="1162" spans="1:1">
      <c r="A1162" s="15"/>
    </row>
    <row r="1163" spans="1:1">
      <c r="A1163" s="15"/>
    </row>
    <row r="1164" spans="1:1">
      <c r="A1164" s="15"/>
    </row>
    <row r="1165" spans="1:1">
      <c r="A1165" s="15"/>
    </row>
    <row r="1166" spans="1:1">
      <c r="A1166" s="15"/>
    </row>
    <row r="1167" spans="1:1">
      <c r="A1167" s="15"/>
    </row>
    <row r="1168" spans="1:1">
      <c r="A1168" s="15"/>
    </row>
    <row r="1169" spans="1:1">
      <c r="A1169" s="15"/>
    </row>
    <row r="1170" spans="1:1">
      <c r="A1170" s="15"/>
    </row>
    <row r="1171" spans="1:1">
      <c r="A1171" s="15"/>
    </row>
    <row r="1172" spans="1:1">
      <c r="A1172" s="15"/>
    </row>
    <row r="1173" spans="1:1">
      <c r="A1173" s="15"/>
    </row>
    <row r="1174" spans="1:1">
      <c r="A1174" s="15"/>
    </row>
    <row r="1175" spans="1:1">
      <c r="A1175" s="15"/>
    </row>
    <row r="1176" spans="1:1">
      <c r="A1176" s="15"/>
    </row>
    <row r="1177" spans="1:1">
      <c r="A1177" s="15"/>
    </row>
    <row r="1178" spans="1:1">
      <c r="A1178" s="15"/>
    </row>
    <row r="1179" spans="1:1">
      <c r="A1179" s="15"/>
    </row>
    <row r="1180" spans="1:1">
      <c r="A1180" s="15"/>
    </row>
    <row r="1181" spans="1:1">
      <c r="A1181" s="15"/>
    </row>
    <row r="1182" spans="1:1">
      <c r="A1182" s="15"/>
    </row>
    <row r="1183" spans="1:1">
      <c r="A1183" s="15"/>
    </row>
    <row r="1184" spans="1:1">
      <c r="A1184" s="15"/>
    </row>
    <row r="1185" spans="1:1">
      <c r="A1185" s="15"/>
    </row>
    <row r="1186" spans="1:1">
      <c r="A1186" s="15"/>
    </row>
    <row r="1187" spans="1:1">
      <c r="A1187" s="15"/>
    </row>
    <row r="1188" spans="1:1">
      <c r="A1188" s="15"/>
    </row>
    <row r="1189" spans="1:1">
      <c r="A1189" s="15"/>
    </row>
    <row r="1190" spans="1:1">
      <c r="A1190" s="15"/>
    </row>
    <row r="1191" spans="1:1">
      <c r="A1191" s="15"/>
    </row>
    <row r="1192" spans="1:1">
      <c r="A1192" s="15"/>
    </row>
    <row r="1193" spans="1:1">
      <c r="A1193" s="15"/>
    </row>
    <row r="1194" spans="1:1">
      <c r="A1194" s="15"/>
    </row>
    <row r="1195" spans="1:1">
      <c r="A1195" s="15"/>
    </row>
    <row r="1196" spans="1:1">
      <c r="A1196" s="15"/>
    </row>
    <row r="1197" spans="1:1">
      <c r="A1197" s="15"/>
    </row>
    <row r="1198" spans="1:1">
      <c r="A1198" s="15"/>
    </row>
    <row r="1199" spans="1:1">
      <c r="A1199" s="15"/>
    </row>
    <row r="1200" spans="1:1">
      <c r="A1200" s="15"/>
    </row>
    <row r="1201" spans="1:1">
      <c r="A1201" s="15"/>
    </row>
    <row r="1202" spans="1:1">
      <c r="A1202" s="15"/>
    </row>
    <row r="1203" spans="1:1">
      <c r="A1203" s="15"/>
    </row>
    <row r="1204" spans="1:1">
      <c r="A1204" s="15"/>
    </row>
    <row r="1205" spans="1:1">
      <c r="A1205" s="15"/>
    </row>
    <row r="1206" spans="1:1">
      <c r="A1206" s="15"/>
    </row>
    <row r="1207" spans="1:1">
      <c r="A1207" s="15"/>
    </row>
    <row r="1208" spans="1:1">
      <c r="A1208" s="15"/>
    </row>
    <row r="1209" spans="1:1">
      <c r="A1209" s="15"/>
    </row>
    <row r="1210" spans="1:1">
      <c r="A1210" s="15"/>
    </row>
    <row r="1211" spans="1:1">
      <c r="A1211" s="15"/>
    </row>
    <row r="1212" spans="1:1">
      <c r="A1212" s="15"/>
    </row>
    <row r="1213" spans="1:1">
      <c r="A1213" s="15"/>
    </row>
    <row r="1214" spans="1:1">
      <c r="A1214" s="15"/>
    </row>
    <row r="1215" spans="1:1">
      <c r="A1215" s="15"/>
    </row>
    <row r="1216" spans="1:1">
      <c r="A1216" s="15"/>
    </row>
    <row r="1217" spans="1:1">
      <c r="A1217" s="15"/>
    </row>
    <row r="1218" spans="1:1">
      <c r="A1218" s="15"/>
    </row>
    <row r="1219" spans="1:1">
      <c r="A1219" s="15"/>
    </row>
    <row r="1220" spans="1:1">
      <c r="A1220" s="15"/>
    </row>
    <row r="1221" spans="1:1">
      <c r="A1221" s="15"/>
    </row>
    <row r="1222" spans="1:1">
      <c r="A1222" s="15"/>
    </row>
    <row r="1223" spans="1:1">
      <c r="A1223" s="15"/>
    </row>
    <row r="1224" spans="1:1">
      <c r="A1224" s="15"/>
    </row>
    <row r="1225" spans="1:1">
      <c r="A1225" s="15"/>
    </row>
    <row r="1226" spans="1:1">
      <c r="A1226" s="15"/>
    </row>
    <row r="1227" spans="1:1">
      <c r="A1227" s="15"/>
    </row>
    <row r="1228" spans="1:1">
      <c r="A1228" s="15"/>
    </row>
    <row r="1229" spans="1:1">
      <c r="A1229" s="15"/>
    </row>
    <row r="1230" spans="1:1">
      <c r="A1230" s="15"/>
    </row>
    <row r="1231" spans="1:1">
      <c r="A1231" s="15"/>
    </row>
    <row r="1232" spans="1:1">
      <c r="A1232" s="15"/>
    </row>
    <row r="1233" spans="1:1">
      <c r="A1233" s="15"/>
    </row>
    <row r="1234" spans="1:1">
      <c r="A1234" s="15"/>
    </row>
    <row r="1235" spans="1:1">
      <c r="A1235" s="15"/>
    </row>
    <row r="1236" spans="1:1">
      <c r="A1236" s="15"/>
    </row>
    <row r="1237" spans="1:1">
      <c r="A1237" s="15"/>
    </row>
    <row r="1238" spans="1:1">
      <c r="A1238" s="15"/>
    </row>
    <row r="1239" spans="1:1">
      <c r="A1239" s="15"/>
    </row>
    <row r="1240" spans="1:1">
      <c r="A1240" s="15"/>
    </row>
    <row r="1241" spans="1:1">
      <c r="A1241" s="15"/>
    </row>
    <row r="1242" spans="1:1">
      <c r="A1242" s="15"/>
    </row>
    <row r="1243" spans="1:1">
      <c r="A1243" s="15"/>
    </row>
    <row r="1244" spans="1:1">
      <c r="A1244" s="15"/>
    </row>
    <row r="1245" spans="1:1">
      <c r="A1245" s="15"/>
    </row>
    <row r="1246" spans="1:1">
      <c r="A1246" s="15"/>
    </row>
    <row r="1247" spans="1:1">
      <c r="A1247" s="15"/>
    </row>
    <row r="1248" spans="1:1">
      <c r="A1248" s="15"/>
    </row>
    <row r="1249" spans="1:1">
      <c r="A1249" s="15"/>
    </row>
    <row r="1250" spans="1:1">
      <c r="A1250" s="15"/>
    </row>
    <row r="1251" spans="1:1">
      <c r="A1251" s="15"/>
    </row>
    <row r="1252" spans="1:1">
      <c r="A1252" s="15"/>
    </row>
    <row r="1253" spans="1:1">
      <c r="A1253" s="15"/>
    </row>
    <row r="1254" spans="1:1">
      <c r="A1254" s="15"/>
    </row>
    <row r="1255" spans="1:1">
      <c r="A1255" s="15"/>
    </row>
    <row r="1256" spans="1:1">
      <c r="A1256" s="15"/>
    </row>
    <row r="1257" spans="1:1">
      <c r="A1257" s="15"/>
    </row>
    <row r="1258" spans="1:1">
      <c r="A1258" s="15"/>
    </row>
    <row r="1259" spans="1:1">
      <c r="A1259" s="15"/>
    </row>
    <row r="1260" spans="1:1">
      <c r="A1260" s="15"/>
    </row>
    <row r="1261" spans="1:1">
      <c r="A1261" s="15"/>
    </row>
    <row r="1262" spans="1:1">
      <c r="A1262" s="15"/>
    </row>
    <row r="1263" spans="1:1">
      <c r="A1263" s="15"/>
    </row>
    <row r="1264" spans="1:1">
      <c r="A1264" s="15"/>
    </row>
    <row r="1265" spans="1:1">
      <c r="A1265" s="15"/>
    </row>
    <row r="1266" spans="1:1">
      <c r="A1266" s="15"/>
    </row>
    <row r="1267" spans="1:1">
      <c r="A1267" s="15"/>
    </row>
    <row r="1268" spans="1:1">
      <c r="A1268" s="15"/>
    </row>
    <row r="1269" spans="1:1">
      <c r="A1269" s="15"/>
    </row>
    <row r="1270" spans="1:1">
      <c r="A1270" s="15"/>
    </row>
    <row r="1271" spans="1:1">
      <c r="A1271" s="15"/>
    </row>
    <row r="1272" spans="1:1">
      <c r="A1272" s="15"/>
    </row>
    <row r="1273" spans="1:1">
      <c r="A1273" s="15"/>
    </row>
    <row r="1274" spans="1:1">
      <c r="A1274" s="15"/>
    </row>
    <row r="1275" spans="1:1">
      <c r="A1275" s="15"/>
    </row>
    <row r="1276" spans="1:1">
      <c r="A1276" s="15"/>
    </row>
    <row r="1277" spans="1:1">
      <c r="A1277" s="15"/>
    </row>
    <row r="1278" spans="1:1">
      <c r="A1278" s="15"/>
    </row>
    <row r="1279" spans="1:1">
      <c r="A1279" s="15"/>
    </row>
    <row r="1280" spans="1:1">
      <c r="A1280" s="15"/>
    </row>
    <row r="1281" spans="1:1">
      <c r="A1281" s="15"/>
    </row>
    <row r="1282" spans="1:1">
      <c r="A1282" s="15"/>
    </row>
    <row r="1283" spans="1:1">
      <c r="A1283" s="15"/>
    </row>
    <row r="1284" spans="1:1">
      <c r="A1284" s="15"/>
    </row>
    <row r="1285" spans="1:1">
      <c r="A1285" s="15"/>
    </row>
    <row r="1286" spans="1:1">
      <c r="A1286" s="15"/>
    </row>
    <row r="1287" spans="1:1">
      <c r="A1287" s="15"/>
    </row>
    <row r="1288" spans="1:1">
      <c r="A1288" s="15"/>
    </row>
    <row r="1289" spans="1:1">
      <c r="A1289" s="15"/>
    </row>
    <row r="1290" spans="1:1">
      <c r="A1290" s="15"/>
    </row>
    <row r="1291" spans="1:1">
      <c r="A1291" s="15"/>
    </row>
    <row r="1292" spans="1:1">
      <c r="A1292" s="15"/>
    </row>
    <row r="1293" spans="1:1">
      <c r="A1293" s="15"/>
    </row>
    <row r="1294" spans="1:1">
      <c r="A1294" s="15"/>
    </row>
    <row r="1295" spans="1:1">
      <c r="A1295" s="15"/>
    </row>
    <row r="1296" spans="1:1">
      <c r="A1296" s="15"/>
    </row>
    <row r="1297" spans="1:1">
      <c r="A1297" s="15"/>
    </row>
    <row r="1298" spans="1:1">
      <c r="A1298" s="15"/>
    </row>
    <row r="1299" spans="1:1">
      <c r="A1299" s="15"/>
    </row>
    <row r="1300" spans="1:1">
      <c r="A1300" s="15"/>
    </row>
    <row r="1301" spans="1:1">
      <c r="A1301" s="15"/>
    </row>
    <row r="1302" spans="1:1">
      <c r="A1302" s="15"/>
    </row>
    <row r="1303" spans="1:1">
      <c r="A1303" s="15"/>
    </row>
    <row r="1304" spans="1:1">
      <c r="A1304" s="15"/>
    </row>
    <row r="1305" spans="1:1">
      <c r="A1305" s="15"/>
    </row>
    <row r="1306" spans="1:1">
      <c r="A1306" s="15"/>
    </row>
    <row r="1307" spans="1:1">
      <c r="A1307" s="15"/>
    </row>
    <row r="1308" spans="1:1">
      <c r="A1308" s="15"/>
    </row>
    <row r="1309" spans="1:1">
      <c r="A1309" s="15"/>
    </row>
    <row r="1310" spans="1:1">
      <c r="A1310" s="15"/>
    </row>
    <row r="1311" spans="1:1">
      <c r="A1311" s="15"/>
    </row>
    <row r="1312" spans="1:1">
      <c r="A1312" s="15"/>
    </row>
    <row r="1313" spans="1:1">
      <c r="A1313" s="15"/>
    </row>
    <row r="1314" spans="1:1">
      <c r="A1314" s="15"/>
    </row>
    <row r="1315" spans="1:1">
      <c r="A1315" s="15"/>
    </row>
    <row r="1316" spans="1:1">
      <c r="A1316" s="15"/>
    </row>
    <row r="1317" spans="1:1">
      <c r="A1317" s="15"/>
    </row>
    <row r="1318" spans="1:1">
      <c r="A1318" s="15"/>
    </row>
    <row r="1319" spans="1:1">
      <c r="A1319" s="15"/>
    </row>
    <row r="1320" spans="1:1">
      <c r="A1320" s="15"/>
    </row>
    <row r="1321" spans="1:1">
      <c r="A1321" s="15"/>
    </row>
    <row r="1322" spans="1:1">
      <c r="A1322" s="15"/>
    </row>
    <row r="1323" spans="1:1">
      <c r="A1323" s="15"/>
    </row>
    <row r="1324" spans="1:1">
      <c r="A1324" s="15"/>
    </row>
    <row r="1325" spans="1:1">
      <c r="A1325" s="15"/>
    </row>
    <row r="1326" spans="1:1">
      <c r="A1326" s="15"/>
    </row>
    <row r="1327" spans="1:1">
      <c r="A1327" s="15"/>
    </row>
    <row r="1328" spans="1:1">
      <c r="A1328" s="15"/>
    </row>
    <row r="1329" spans="1:1">
      <c r="A1329" s="15"/>
    </row>
    <row r="1330" spans="1:1">
      <c r="A1330" s="15"/>
    </row>
    <row r="1331" spans="1:1">
      <c r="A1331" s="15"/>
    </row>
    <row r="1332" spans="1:1">
      <c r="A1332" s="15"/>
    </row>
    <row r="1333" spans="1:1">
      <c r="A1333" s="15"/>
    </row>
    <row r="1334" spans="1:1">
      <c r="A1334" s="15"/>
    </row>
    <row r="1335" spans="1:1">
      <c r="A1335" s="15"/>
    </row>
    <row r="1336" spans="1:1">
      <c r="A1336" s="15"/>
    </row>
    <row r="1337" spans="1:1">
      <c r="A1337" s="15"/>
    </row>
    <row r="1338" spans="1:1">
      <c r="A1338" s="15"/>
    </row>
    <row r="1339" spans="1:1">
      <c r="A1339" s="15"/>
    </row>
    <row r="1340" spans="1:1">
      <c r="A1340" s="15"/>
    </row>
    <row r="1341" spans="1:1">
      <c r="A1341" s="15"/>
    </row>
    <row r="1342" spans="1:1">
      <c r="A1342" s="15"/>
    </row>
    <row r="1343" spans="1:1">
      <c r="A1343" s="15"/>
    </row>
    <row r="1344" spans="1:1">
      <c r="A1344" s="15"/>
    </row>
    <row r="1345" spans="1:1">
      <c r="A1345" s="15"/>
    </row>
    <row r="1346" spans="1:1">
      <c r="A1346" s="15"/>
    </row>
    <row r="1347" spans="1:1">
      <c r="A1347" s="15"/>
    </row>
    <row r="1348" spans="1:1">
      <c r="A1348" s="15"/>
    </row>
    <row r="1349" spans="1:1">
      <c r="A1349" s="15"/>
    </row>
    <row r="1350" spans="1:1">
      <c r="A1350" s="15"/>
    </row>
    <row r="1351" spans="1:1">
      <c r="A1351" s="15"/>
    </row>
    <row r="1352" spans="1:1">
      <c r="A1352" s="15"/>
    </row>
    <row r="1353" spans="1:1">
      <c r="A1353" s="15"/>
    </row>
    <row r="1354" spans="1:1">
      <c r="A1354" s="15"/>
    </row>
    <row r="1355" spans="1:1">
      <c r="A1355" s="15"/>
    </row>
    <row r="1356" spans="1:1">
      <c r="A1356" s="15"/>
    </row>
    <row r="1357" spans="1:1">
      <c r="A1357" s="15"/>
    </row>
    <row r="1358" spans="1:1">
      <c r="A1358" s="15"/>
    </row>
    <row r="1359" spans="1:1">
      <c r="A1359" s="15"/>
    </row>
    <row r="1360" spans="1:1">
      <c r="A1360" s="15"/>
    </row>
    <row r="1361" spans="1:1">
      <c r="A1361" s="15"/>
    </row>
    <row r="1362" spans="1:1">
      <c r="A1362" s="15"/>
    </row>
    <row r="1363" spans="1:1">
      <c r="A1363" s="15"/>
    </row>
    <row r="1364" spans="1:1">
      <c r="A1364" s="15"/>
    </row>
    <row r="1365" spans="1:1">
      <c r="A1365" s="15"/>
    </row>
    <row r="1366" spans="1:1">
      <c r="A1366" s="15"/>
    </row>
    <row r="1367" spans="1:1">
      <c r="A1367" s="15"/>
    </row>
    <row r="1368" spans="1:1">
      <c r="A1368" s="15"/>
    </row>
    <row r="1369" spans="1:1">
      <c r="A1369" s="15"/>
    </row>
    <row r="1370" spans="1:1">
      <c r="A1370" s="15"/>
    </row>
    <row r="1371" spans="1:1">
      <c r="A1371" s="15"/>
    </row>
    <row r="1372" spans="1:1">
      <c r="A1372" s="15"/>
    </row>
    <row r="1373" spans="1:1">
      <c r="A1373" s="15"/>
    </row>
    <row r="1374" spans="1:1">
      <c r="A1374" s="15"/>
    </row>
    <row r="1375" spans="1:1">
      <c r="A1375" s="15"/>
    </row>
    <row r="1376" spans="1:1">
      <c r="A1376" s="15"/>
    </row>
    <row r="1377" spans="1:1">
      <c r="A1377" s="15"/>
    </row>
    <row r="1378" spans="1:1">
      <c r="A1378" s="15"/>
    </row>
    <row r="1379" spans="1:1">
      <c r="A1379" s="15"/>
    </row>
    <row r="1380" spans="1:1">
      <c r="A1380" s="15"/>
    </row>
    <row r="1381" spans="1:1">
      <c r="A1381" s="15"/>
    </row>
    <row r="1382" spans="1:1">
      <c r="A1382" s="15"/>
    </row>
    <row r="1383" spans="1:1">
      <c r="A1383" s="15"/>
    </row>
    <row r="1384" spans="1:1">
      <c r="A1384" s="15"/>
    </row>
    <row r="1385" spans="1:1">
      <c r="A1385" s="15"/>
    </row>
    <row r="1386" spans="1:1">
      <c r="A1386" s="15"/>
    </row>
    <row r="1387" spans="1:1">
      <c r="A1387" s="15"/>
    </row>
    <row r="1388" spans="1:1">
      <c r="A1388" s="15"/>
    </row>
    <row r="1389" spans="1:1">
      <c r="A1389" s="15"/>
    </row>
    <row r="1390" spans="1:1">
      <c r="A1390" s="15"/>
    </row>
    <row r="1391" spans="1:1">
      <c r="A1391" s="15"/>
    </row>
    <row r="1392" spans="1:1">
      <c r="A1392" s="15"/>
    </row>
    <row r="1393" spans="1:1">
      <c r="A1393" s="15"/>
    </row>
    <row r="1394" spans="1:1">
      <c r="A1394" s="15"/>
    </row>
    <row r="1395" spans="1:1">
      <c r="A1395" s="15"/>
    </row>
    <row r="1396" spans="1:1">
      <c r="A1396" s="15"/>
    </row>
    <row r="1397" spans="1:1">
      <c r="A1397" s="15"/>
    </row>
    <row r="1398" spans="1:1">
      <c r="A1398" s="15"/>
    </row>
    <row r="1399" spans="1:1">
      <c r="A1399" s="15"/>
    </row>
    <row r="1400" spans="1:1">
      <c r="A1400" s="15"/>
    </row>
    <row r="1401" spans="1:1">
      <c r="A1401" s="15"/>
    </row>
    <row r="1402" spans="1:1">
      <c r="A1402" s="15"/>
    </row>
    <row r="1403" spans="1:1">
      <c r="A1403" s="15"/>
    </row>
    <row r="1404" spans="1:1">
      <c r="A1404" s="15"/>
    </row>
    <row r="1405" spans="1:1">
      <c r="A1405" s="15"/>
    </row>
    <row r="1406" spans="1:1">
      <c r="A1406" s="15"/>
    </row>
    <row r="1407" spans="1:1">
      <c r="A1407" s="15"/>
    </row>
    <row r="1408" spans="1:1">
      <c r="A1408" s="15"/>
    </row>
    <row r="1409" spans="1:1">
      <c r="A1409" s="15"/>
    </row>
    <row r="1410" spans="1:1">
      <c r="A1410" s="15"/>
    </row>
    <row r="1411" spans="1:1">
      <c r="A1411" s="15"/>
    </row>
    <row r="1412" spans="1:1">
      <c r="A1412" s="15"/>
    </row>
    <row r="1413" spans="1:1">
      <c r="A1413" s="15"/>
    </row>
    <row r="1414" spans="1:1">
      <c r="A1414" s="15"/>
    </row>
    <row r="1415" spans="1:1">
      <c r="A1415" s="15"/>
    </row>
    <row r="1416" spans="1:1">
      <c r="A1416" s="15"/>
    </row>
    <row r="1417" spans="1:1">
      <c r="A1417" s="15"/>
    </row>
    <row r="1418" spans="1:1">
      <c r="A1418" s="15"/>
    </row>
    <row r="1419" spans="1:1">
      <c r="A1419" s="15"/>
    </row>
    <row r="1420" spans="1:1">
      <c r="A1420" s="15"/>
    </row>
    <row r="1421" spans="1:1">
      <c r="A1421" s="15"/>
    </row>
    <row r="1422" spans="1:1">
      <c r="A1422" s="15"/>
    </row>
    <row r="1423" spans="1:1">
      <c r="A1423" s="15"/>
    </row>
    <row r="1424" spans="1:1">
      <c r="A1424" s="15"/>
    </row>
    <row r="1425" spans="1:1">
      <c r="A1425" s="15"/>
    </row>
    <row r="1426" spans="1:1">
      <c r="A1426" s="15"/>
    </row>
    <row r="1427" spans="1:1">
      <c r="A1427" s="15"/>
    </row>
    <row r="1428" spans="1:1">
      <c r="A1428" s="15"/>
    </row>
    <row r="1429" spans="1:1">
      <c r="A1429" s="15"/>
    </row>
    <row r="1430" spans="1:1">
      <c r="A1430" s="15"/>
    </row>
    <row r="1431" spans="1:1">
      <c r="A1431" s="15"/>
    </row>
    <row r="1432" spans="1:1">
      <c r="A1432" s="15"/>
    </row>
    <row r="1433" spans="1:1">
      <c r="A1433" s="15"/>
    </row>
    <row r="1434" spans="1:1">
      <c r="A1434" s="15"/>
    </row>
    <row r="1435" spans="1:1">
      <c r="A1435" s="15"/>
    </row>
    <row r="1436" spans="1:1">
      <c r="A1436" s="15"/>
    </row>
    <row r="1437" spans="1:1">
      <c r="A1437" s="15"/>
    </row>
    <row r="1438" spans="1:1">
      <c r="A1438" s="15"/>
    </row>
    <row r="1439" spans="1:1">
      <c r="A1439" s="15"/>
    </row>
    <row r="1440" spans="1:1">
      <c r="A1440" s="15"/>
    </row>
    <row r="1441" spans="1:1">
      <c r="A1441" s="15"/>
    </row>
    <row r="1442" spans="1:1">
      <c r="A1442" s="15"/>
    </row>
    <row r="1443" spans="1:1">
      <c r="A1443" s="15"/>
    </row>
    <row r="1444" spans="1:1">
      <c r="A1444" s="15"/>
    </row>
    <row r="1445" spans="1:1">
      <c r="A1445" s="15"/>
    </row>
    <row r="1446" spans="1:1">
      <c r="A1446" s="15"/>
    </row>
    <row r="1447" spans="1:1">
      <c r="A1447" s="15"/>
    </row>
    <row r="1448" spans="1:1">
      <c r="A1448" s="15"/>
    </row>
    <row r="1449" spans="1:1">
      <c r="A1449" s="15"/>
    </row>
    <row r="1450" spans="1:1">
      <c r="A1450" s="15"/>
    </row>
    <row r="1451" spans="1:1">
      <c r="A1451" s="15"/>
    </row>
    <row r="1452" spans="1:1">
      <c r="A1452" s="15"/>
    </row>
    <row r="1453" spans="1:1">
      <c r="A1453" s="15"/>
    </row>
    <row r="1454" spans="1:1">
      <c r="A1454" s="15"/>
    </row>
    <row r="1455" spans="1:1">
      <c r="A1455" s="15"/>
    </row>
    <row r="1456" spans="1:1">
      <c r="A1456" s="15"/>
    </row>
    <row r="1457" spans="1:1">
      <c r="A1457" s="15"/>
    </row>
    <row r="1458" spans="1:1">
      <c r="A1458" s="15"/>
    </row>
    <row r="1459" spans="1:1">
      <c r="A1459" s="15"/>
    </row>
    <row r="1460" spans="1:1">
      <c r="A1460" s="15"/>
    </row>
    <row r="1461" spans="1:1">
      <c r="A1461" s="15"/>
    </row>
    <row r="1462" spans="1:1">
      <c r="A1462" s="15"/>
    </row>
    <row r="1463" spans="1:1">
      <c r="A1463" s="15"/>
    </row>
    <row r="1464" spans="1:1">
      <c r="A1464" s="15"/>
    </row>
    <row r="1465" spans="1:1">
      <c r="A1465" s="15"/>
    </row>
    <row r="1466" spans="1:1">
      <c r="A1466" s="15"/>
    </row>
    <row r="1467" spans="1:1">
      <c r="A1467" s="15"/>
    </row>
    <row r="1468" spans="1:1">
      <c r="A1468" s="15"/>
    </row>
    <row r="1469" spans="1:1">
      <c r="A1469" s="15"/>
    </row>
    <row r="1470" spans="1:1">
      <c r="A1470" s="15"/>
    </row>
    <row r="1471" spans="1:1">
      <c r="A1471" s="15"/>
    </row>
    <row r="1472" spans="1:1">
      <c r="A1472" s="15"/>
    </row>
    <row r="1473" spans="1:1">
      <c r="A1473" s="15"/>
    </row>
    <row r="1474" spans="1:1">
      <c r="A1474" s="15"/>
    </row>
    <row r="1475" spans="1:1">
      <c r="A1475" s="15"/>
    </row>
    <row r="1476" spans="1:1">
      <c r="A1476" s="15"/>
    </row>
    <row r="1477" spans="1:1">
      <c r="A1477" s="15"/>
    </row>
    <row r="1478" spans="1:1">
      <c r="A1478" s="15"/>
    </row>
    <row r="1479" spans="1:1">
      <c r="A1479" s="15"/>
    </row>
    <row r="1480" spans="1:1">
      <c r="A1480" s="15"/>
    </row>
    <row r="1481" spans="1:1">
      <c r="A1481" s="15"/>
    </row>
    <row r="1482" spans="1:1">
      <c r="A1482" s="15"/>
    </row>
    <row r="1483" spans="1:1">
      <c r="A1483" s="15"/>
    </row>
    <row r="1484" spans="1:1">
      <c r="A1484" s="15"/>
    </row>
    <row r="1485" spans="1:1">
      <c r="A1485" s="15"/>
    </row>
    <row r="1486" spans="1:1">
      <c r="A1486" s="15"/>
    </row>
    <row r="1487" spans="1:1">
      <c r="A1487" s="15"/>
    </row>
    <row r="1488" spans="1:1">
      <c r="A1488" s="15"/>
    </row>
    <row r="1489" spans="1:1">
      <c r="A1489" s="15"/>
    </row>
    <row r="1490" spans="1:1">
      <c r="A1490" s="15"/>
    </row>
    <row r="1491" spans="1:1">
      <c r="A1491" s="15"/>
    </row>
    <row r="1492" spans="1:1">
      <c r="A1492" s="15"/>
    </row>
    <row r="1493" spans="1:1">
      <c r="A1493" s="15"/>
    </row>
    <row r="1494" spans="1:1">
      <c r="A1494" s="15"/>
    </row>
    <row r="1495" spans="1:1">
      <c r="A1495" s="15"/>
    </row>
    <row r="1496" spans="1:1">
      <c r="A1496" s="15"/>
    </row>
    <row r="1497" spans="1:1">
      <c r="A1497" s="15"/>
    </row>
    <row r="1498" spans="1:1">
      <c r="A1498" s="15"/>
    </row>
    <row r="1499" spans="1:1">
      <c r="A1499" s="15"/>
    </row>
    <row r="1500" spans="1:1">
      <c r="A1500" s="15"/>
    </row>
    <row r="1501" spans="1:1">
      <c r="A1501" s="15"/>
    </row>
    <row r="1502" spans="1:1">
      <c r="A1502" s="15"/>
    </row>
    <row r="1503" spans="1:1">
      <c r="A1503" s="15"/>
    </row>
    <row r="1504" spans="1:1">
      <c r="A1504" s="15"/>
    </row>
    <row r="1505" spans="1:1">
      <c r="A1505" s="15"/>
    </row>
    <row r="1506" spans="1:1">
      <c r="A1506" s="15"/>
    </row>
    <row r="1507" spans="1:1">
      <c r="A1507" s="15"/>
    </row>
    <row r="1508" spans="1:1">
      <c r="A1508" s="15"/>
    </row>
    <row r="1509" spans="1:1">
      <c r="A1509" s="15"/>
    </row>
    <row r="1510" spans="1:1">
      <c r="A1510" s="15"/>
    </row>
    <row r="1511" spans="1:1">
      <c r="A1511" s="15"/>
    </row>
    <row r="1512" spans="1:1">
      <c r="A1512" s="15"/>
    </row>
    <row r="1513" spans="1:1">
      <c r="A1513" s="15"/>
    </row>
    <row r="1514" spans="1:1">
      <c r="A1514" s="15"/>
    </row>
    <row r="1515" spans="1:1">
      <c r="A1515" s="15"/>
    </row>
    <row r="1516" spans="1:1">
      <c r="A1516" s="15"/>
    </row>
    <row r="1517" spans="1:1">
      <c r="A1517" s="15"/>
    </row>
    <row r="1518" spans="1:1">
      <c r="A1518" s="15"/>
    </row>
    <row r="1519" spans="1:1">
      <c r="A1519" s="15"/>
    </row>
    <row r="1520" spans="1:1">
      <c r="A1520" s="15"/>
    </row>
    <row r="1521" spans="1:1">
      <c r="A1521" s="15"/>
    </row>
    <row r="1522" spans="1:1">
      <c r="A1522" s="15"/>
    </row>
    <row r="1523" spans="1:1">
      <c r="A1523" s="15"/>
    </row>
    <row r="1524" spans="1:1">
      <c r="A1524" s="15"/>
    </row>
    <row r="1525" spans="1:1">
      <c r="A1525" s="15"/>
    </row>
    <row r="1526" spans="1:1">
      <c r="A1526" s="15"/>
    </row>
    <row r="1527" spans="1:1">
      <c r="A1527" s="15"/>
    </row>
    <row r="1528" spans="1:1">
      <c r="A1528" s="15"/>
    </row>
    <row r="1529" spans="1:1">
      <c r="A1529" s="15"/>
    </row>
    <row r="1530" spans="1:1">
      <c r="A1530" s="15"/>
    </row>
    <row r="1531" spans="1:1">
      <c r="A1531" s="15"/>
    </row>
    <row r="1532" spans="1:1">
      <c r="A1532" s="15"/>
    </row>
    <row r="1533" spans="1:1">
      <c r="A1533" s="15"/>
    </row>
    <row r="1534" spans="1:1">
      <c r="A1534" s="15"/>
    </row>
    <row r="1535" spans="1:1">
      <c r="A1535" s="15"/>
    </row>
    <row r="1536" spans="1:1">
      <c r="A1536" s="15"/>
    </row>
    <row r="1537" spans="1:1">
      <c r="A1537" s="15"/>
    </row>
    <row r="1538" spans="1:1">
      <c r="A1538" s="15"/>
    </row>
    <row r="1539" spans="1:1">
      <c r="A1539" s="15"/>
    </row>
    <row r="1540" spans="1:1">
      <c r="A1540" s="15"/>
    </row>
    <row r="1541" spans="1:1">
      <c r="A1541" s="15"/>
    </row>
    <row r="1542" spans="1:1">
      <c r="A1542" s="15"/>
    </row>
    <row r="1543" spans="1:1">
      <c r="A1543" s="15"/>
    </row>
    <row r="1544" spans="1:1">
      <c r="A1544" s="15"/>
    </row>
    <row r="1545" spans="1:1">
      <c r="A1545" s="15"/>
    </row>
    <row r="1546" spans="1:1">
      <c r="A1546" s="15"/>
    </row>
    <row r="1547" spans="1:1">
      <c r="A1547" s="15"/>
    </row>
    <row r="1548" spans="1:1">
      <c r="A1548" s="15"/>
    </row>
    <row r="1549" spans="1:1">
      <c r="A1549" s="15"/>
    </row>
    <row r="1550" spans="1:1">
      <c r="A1550" s="15"/>
    </row>
    <row r="1551" spans="1:1">
      <c r="A1551" s="15"/>
    </row>
    <row r="1552" spans="1:1">
      <c r="A1552" s="15"/>
    </row>
    <row r="1553" spans="1:1">
      <c r="A1553" s="15"/>
    </row>
    <row r="1554" spans="1:1">
      <c r="A1554" s="15"/>
    </row>
    <row r="1555" spans="1:1">
      <c r="A1555" s="15"/>
    </row>
    <row r="1556" spans="1:1">
      <c r="A1556" s="15"/>
    </row>
    <row r="1557" spans="1:1">
      <c r="A1557" s="15"/>
    </row>
    <row r="1558" spans="1:1">
      <c r="A1558" s="15"/>
    </row>
    <row r="1559" spans="1:1">
      <c r="A1559" s="15"/>
    </row>
    <row r="1560" spans="1:1">
      <c r="A1560" s="15"/>
    </row>
    <row r="1561" spans="1:1">
      <c r="A1561" s="15"/>
    </row>
    <row r="1562" spans="1:1">
      <c r="A1562" s="15"/>
    </row>
    <row r="1563" spans="1:1">
      <c r="A1563" s="15"/>
    </row>
    <row r="1564" spans="1:1">
      <c r="A1564" s="15"/>
    </row>
    <row r="1565" spans="1:1">
      <c r="A1565" s="15"/>
    </row>
    <row r="1566" spans="1:1">
      <c r="A1566" s="15"/>
    </row>
    <row r="1567" spans="1:1">
      <c r="A1567" s="15"/>
    </row>
    <row r="1568" spans="1:1">
      <c r="A1568" s="15"/>
    </row>
    <row r="1569" spans="1:1">
      <c r="A1569" s="15"/>
    </row>
    <row r="1570" spans="1:1">
      <c r="A1570" s="15"/>
    </row>
    <row r="1571" spans="1:1">
      <c r="A1571" s="15"/>
    </row>
    <row r="1572" spans="1:1">
      <c r="A1572" s="15"/>
    </row>
    <row r="1573" spans="1:1">
      <c r="A1573" s="15"/>
    </row>
    <row r="1574" spans="1:1">
      <c r="A1574" s="15"/>
    </row>
    <row r="1575" spans="1:1">
      <c r="A1575" s="15"/>
    </row>
    <row r="1576" spans="1:1">
      <c r="A1576" s="15"/>
    </row>
    <row r="1577" spans="1:1">
      <c r="A1577" s="15"/>
    </row>
    <row r="1578" spans="1:1">
      <c r="A1578" s="15"/>
    </row>
    <row r="1579" spans="1:1">
      <c r="A1579" s="15"/>
    </row>
    <row r="1580" spans="1:1">
      <c r="A1580" s="15"/>
    </row>
    <row r="1581" spans="1:1">
      <c r="A1581" s="15"/>
    </row>
    <row r="1582" spans="1:1">
      <c r="A1582" s="15"/>
    </row>
    <row r="1583" spans="1:1">
      <c r="A1583" s="15"/>
    </row>
    <row r="1584" spans="1:1">
      <c r="A1584" s="15"/>
    </row>
    <row r="1585" spans="1:1">
      <c r="A1585" s="15"/>
    </row>
    <row r="1586" spans="1:1">
      <c r="A1586" s="15"/>
    </row>
    <row r="1587" spans="1:1">
      <c r="A1587" s="15"/>
    </row>
    <row r="1588" spans="1:1">
      <c r="A1588" s="15"/>
    </row>
    <row r="1589" spans="1:1">
      <c r="A1589" s="15"/>
    </row>
    <row r="1590" spans="1:1">
      <c r="A1590" s="15"/>
    </row>
    <row r="1591" spans="1:1">
      <c r="A1591" s="15"/>
    </row>
    <row r="1592" spans="1:1">
      <c r="A1592" s="15"/>
    </row>
    <row r="1593" spans="1:1">
      <c r="A1593" s="15"/>
    </row>
    <row r="1594" spans="1:1">
      <c r="A1594" s="15"/>
    </row>
    <row r="1595" spans="1:1">
      <c r="A1595" s="15"/>
    </row>
    <row r="1596" spans="1:1">
      <c r="A1596" s="15"/>
    </row>
    <row r="1597" spans="1:1">
      <c r="A1597" s="15"/>
    </row>
    <row r="1598" spans="1:1">
      <c r="A1598" s="15"/>
    </row>
    <row r="1599" spans="1:1">
      <c r="A1599" s="15"/>
    </row>
    <row r="1600" spans="1:1">
      <c r="A1600" s="15"/>
    </row>
    <row r="1601" spans="1:1">
      <c r="A1601" s="15"/>
    </row>
    <row r="1602" spans="1:1">
      <c r="A1602" s="15"/>
    </row>
    <row r="1603" spans="1:1">
      <c r="A1603" s="15"/>
    </row>
    <row r="1604" spans="1:1">
      <c r="A1604" s="15"/>
    </row>
    <row r="1605" spans="1:1">
      <c r="A1605" s="15"/>
    </row>
    <row r="1606" spans="1:1">
      <c r="A1606" s="15"/>
    </row>
    <row r="1607" spans="1:1">
      <c r="A1607" s="15"/>
    </row>
    <row r="1608" spans="1:1">
      <c r="A1608" s="15"/>
    </row>
    <row r="1609" spans="1:1">
      <c r="A1609" s="15"/>
    </row>
    <row r="1610" spans="1:1">
      <c r="A1610" s="15"/>
    </row>
    <row r="1611" spans="1:1">
      <c r="A1611" s="15"/>
    </row>
    <row r="1612" spans="1:1">
      <c r="A1612" s="15"/>
    </row>
    <row r="1613" spans="1:1">
      <c r="A1613" s="15"/>
    </row>
    <row r="1614" spans="1:1">
      <c r="A1614" s="15"/>
    </row>
    <row r="1615" spans="1:1">
      <c r="A1615" s="15"/>
    </row>
    <row r="1616" spans="1:1">
      <c r="A1616" s="15"/>
    </row>
    <row r="1617" spans="1:1">
      <c r="A1617" s="15"/>
    </row>
    <row r="1618" spans="1:1">
      <c r="A1618" s="15"/>
    </row>
    <row r="1619" spans="1:1">
      <c r="A1619" s="15"/>
    </row>
    <row r="1620" spans="1:1">
      <c r="A1620" s="15"/>
    </row>
    <row r="1621" spans="1:1">
      <c r="A1621" s="15"/>
    </row>
    <row r="1622" spans="1:1">
      <c r="A1622" s="15"/>
    </row>
    <row r="1623" spans="1:1">
      <c r="A1623" s="15"/>
    </row>
    <row r="1624" spans="1:1">
      <c r="A1624" s="15"/>
    </row>
    <row r="1625" spans="1:1">
      <c r="A1625" s="15"/>
    </row>
    <row r="1626" spans="1:1">
      <c r="A1626" s="15"/>
    </row>
    <row r="1627" spans="1:1">
      <c r="A1627" s="15"/>
    </row>
    <row r="1628" spans="1:1">
      <c r="A1628" s="15"/>
    </row>
    <row r="1629" spans="1:1">
      <c r="A1629" s="15"/>
    </row>
    <row r="1630" spans="1:1">
      <c r="A1630" s="15"/>
    </row>
    <row r="1631" spans="1:1">
      <c r="A1631" s="15"/>
    </row>
    <row r="1632" spans="1:1">
      <c r="A1632" s="15"/>
    </row>
    <row r="1633" spans="1:1">
      <c r="A1633" s="15"/>
    </row>
    <row r="1634" spans="1:1">
      <c r="A1634" s="15"/>
    </row>
    <row r="1635" spans="1:1">
      <c r="A1635" s="15"/>
    </row>
    <row r="1636" spans="1:1">
      <c r="A1636" s="15"/>
    </row>
    <row r="1637" spans="1:1">
      <c r="A1637" s="15"/>
    </row>
    <row r="1638" spans="1:1">
      <c r="A1638" s="15"/>
    </row>
    <row r="1639" spans="1:1">
      <c r="A1639" s="15"/>
    </row>
    <row r="1640" spans="1:1">
      <c r="A1640" s="15"/>
    </row>
    <row r="1641" spans="1:1">
      <c r="A1641" s="15"/>
    </row>
    <row r="1642" spans="1:1">
      <c r="A1642" s="15"/>
    </row>
    <row r="1643" spans="1:1">
      <c r="A1643" s="15"/>
    </row>
    <row r="1644" spans="1:1">
      <c r="A1644" s="15"/>
    </row>
    <row r="1645" spans="1:1">
      <c r="A1645" s="15"/>
    </row>
    <row r="1646" spans="1:1">
      <c r="A1646" s="15"/>
    </row>
    <row r="1647" spans="1:1">
      <c r="A1647" s="15"/>
    </row>
    <row r="1648" spans="1:1">
      <c r="A1648" s="15"/>
    </row>
    <row r="1649" spans="1:1">
      <c r="A1649" s="15"/>
    </row>
    <row r="1650" spans="1:1">
      <c r="A1650" s="15"/>
    </row>
    <row r="1651" spans="1:1">
      <c r="A1651" s="15"/>
    </row>
    <row r="1652" spans="1:1">
      <c r="A1652" s="15"/>
    </row>
    <row r="1653" spans="1:1">
      <c r="A1653" s="15"/>
    </row>
    <row r="1654" spans="1:1">
      <c r="A1654" s="15"/>
    </row>
    <row r="1655" spans="1:1">
      <c r="A1655" s="15"/>
    </row>
    <row r="1656" spans="1:1">
      <c r="A1656" s="15"/>
    </row>
    <row r="1657" spans="1:1">
      <c r="A1657" s="15"/>
    </row>
    <row r="1658" spans="1:1">
      <c r="A1658" s="15"/>
    </row>
    <row r="1659" spans="1:1">
      <c r="A1659" s="15"/>
    </row>
    <row r="1660" spans="1:1">
      <c r="A1660" s="15"/>
    </row>
    <row r="1661" spans="1:1">
      <c r="A1661" s="15"/>
    </row>
    <row r="1662" spans="1:1">
      <c r="A1662" s="15"/>
    </row>
    <row r="1663" spans="1:1">
      <c r="A1663" s="15"/>
    </row>
    <row r="1664" spans="1:1">
      <c r="A1664" s="15"/>
    </row>
    <row r="1665" spans="1:1">
      <c r="A1665" s="15"/>
    </row>
    <row r="1666" spans="1:1">
      <c r="A1666" s="15"/>
    </row>
    <row r="1667" spans="1:1">
      <c r="A1667" s="15"/>
    </row>
    <row r="1668" spans="1:1">
      <c r="A1668" s="15"/>
    </row>
    <row r="1669" spans="1:1">
      <c r="A1669" s="15"/>
    </row>
    <row r="1670" spans="1:1">
      <c r="A1670" s="15"/>
    </row>
    <row r="1671" spans="1:1">
      <c r="A1671" s="15"/>
    </row>
    <row r="1672" spans="1:1">
      <c r="A1672" s="15"/>
    </row>
    <row r="1673" spans="1:1">
      <c r="A1673" s="15"/>
    </row>
    <row r="1674" spans="1:1">
      <c r="A1674" s="15"/>
    </row>
    <row r="1675" spans="1:1">
      <c r="A1675" s="15"/>
    </row>
    <row r="1676" spans="1:1">
      <c r="A1676" s="15"/>
    </row>
    <row r="1677" spans="1:1">
      <c r="A1677" s="15"/>
    </row>
    <row r="1678" spans="1:1">
      <c r="A1678" s="15"/>
    </row>
    <row r="1679" spans="1:1">
      <c r="A1679" s="15"/>
    </row>
    <row r="1680" spans="1:1">
      <c r="A1680" s="15"/>
    </row>
    <row r="1681" spans="1:1">
      <c r="A1681" s="15"/>
    </row>
    <row r="1682" spans="1:1">
      <c r="A1682" s="15"/>
    </row>
    <row r="1683" spans="1:1">
      <c r="A1683" s="15"/>
    </row>
    <row r="1684" spans="1:1">
      <c r="A1684" s="15"/>
    </row>
    <row r="1685" spans="1:1">
      <c r="A1685" s="15"/>
    </row>
    <row r="1686" spans="1:1">
      <c r="A1686" s="15"/>
    </row>
    <row r="1687" spans="1:1">
      <c r="A1687" s="15"/>
    </row>
    <row r="1688" spans="1:1">
      <c r="A1688" s="15"/>
    </row>
    <row r="1689" spans="1:1">
      <c r="A1689" s="15"/>
    </row>
    <row r="1690" spans="1:1">
      <c r="A1690" s="15"/>
    </row>
    <row r="1691" spans="1:1">
      <c r="A1691" s="15"/>
    </row>
    <row r="1692" spans="1:1">
      <c r="A1692" s="15"/>
    </row>
    <row r="1693" spans="1:1">
      <c r="A1693" s="15"/>
    </row>
    <row r="1694" spans="1:1">
      <c r="A1694" s="15"/>
    </row>
    <row r="1695" spans="1:1">
      <c r="A1695" s="15"/>
    </row>
    <row r="1696" spans="1:1">
      <c r="A1696" s="15"/>
    </row>
    <row r="1697" spans="1:1">
      <c r="A1697" s="15"/>
    </row>
    <row r="1698" spans="1:1">
      <c r="A1698" s="15"/>
    </row>
    <row r="1699" spans="1:1">
      <c r="A1699" s="15"/>
    </row>
    <row r="1700" spans="1:1">
      <c r="A1700" s="15"/>
    </row>
    <row r="1701" spans="1:1">
      <c r="A1701" s="15"/>
    </row>
    <row r="1702" spans="1:1">
      <c r="A1702" s="15"/>
    </row>
    <row r="1703" spans="1:1">
      <c r="A1703" s="15"/>
    </row>
    <row r="1704" spans="1:1">
      <c r="A1704" s="15"/>
    </row>
    <row r="1705" spans="1:1">
      <c r="A1705" s="15"/>
    </row>
    <row r="1706" spans="1:1">
      <c r="A1706" s="15"/>
    </row>
    <row r="1707" spans="1:1">
      <c r="A1707" s="15"/>
    </row>
    <row r="1708" spans="1:1">
      <c r="A1708" s="15"/>
    </row>
    <row r="1709" spans="1:1">
      <c r="A1709" s="15"/>
    </row>
    <row r="1710" spans="1:1">
      <c r="A1710" s="15"/>
    </row>
    <row r="1711" spans="1:1">
      <c r="A1711" s="15"/>
    </row>
    <row r="1712" spans="1:1">
      <c r="A1712" s="15"/>
    </row>
    <row r="1713" spans="1:1">
      <c r="A1713" s="15"/>
    </row>
    <row r="1714" spans="1:1">
      <c r="A1714" s="15"/>
    </row>
    <row r="1715" spans="1:1">
      <c r="A1715" s="15"/>
    </row>
    <row r="1716" spans="1:1">
      <c r="A1716" s="15"/>
    </row>
    <row r="1717" spans="1:1">
      <c r="A1717" s="15"/>
    </row>
    <row r="1718" spans="1:1">
      <c r="A1718" s="15"/>
    </row>
    <row r="1719" spans="1:1">
      <c r="A1719" s="15"/>
    </row>
    <row r="1720" spans="1:1">
      <c r="A1720" s="15"/>
    </row>
    <row r="1721" spans="1:1">
      <c r="A1721" s="15"/>
    </row>
    <row r="1722" spans="1:1">
      <c r="A1722" s="15"/>
    </row>
    <row r="1723" spans="1:1">
      <c r="A1723" s="15"/>
    </row>
    <row r="1724" spans="1:1">
      <c r="A1724" s="15"/>
    </row>
    <row r="1725" spans="1:1">
      <c r="A1725" s="15"/>
    </row>
    <row r="1726" spans="1:1">
      <c r="A1726" s="15"/>
    </row>
    <row r="1727" spans="1:1">
      <c r="A1727" s="15"/>
    </row>
    <row r="1728" spans="1:1">
      <c r="A1728" s="15"/>
    </row>
    <row r="1729" spans="1:1">
      <c r="A1729" s="15"/>
    </row>
    <row r="1730" spans="1:1">
      <c r="A1730" s="15"/>
    </row>
    <row r="1731" spans="1:1">
      <c r="A1731" s="15"/>
    </row>
    <row r="1732" spans="1:1">
      <c r="A1732" s="15"/>
    </row>
    <row r="1733" spans="1:1">
      <c r="A1733" s="15"/>
    </row>
    <row r="1734" spans="1:1">
      <c r="A1734" s="15"/>
    </row>
    <row r="1735" spans="1:1">
      <c r="A1735" s="15"/>
    </row>
    <row r="1736" spans="1:1">
      <c r="A1736" s="15"/>
    </row>
    <row r="1737" spans="1:1">
      <c r="A1737" s="15"/>
    </row>
    <row r="1738" spans="1:1">
      <c r="A1738" s="15"/>
    </row>
    <row r="1739" spans="1:1">
      <c r="A1739" s="15"/>
    </row>
    <row r="1740" spans="1:1">
      <c r="A1740" s="15"/>
    </row>
    <row r="1741" spans="1:1">
      <c r="A1741" s="15"/>
    </row>
    <row r="1742" spans="1:1">
      <c r="A1742" s="15"/>
    </row>
    <row r="1743" spans="1:1">
      <c r="A1743" s="15"/>
    </row>
    <row r="1744" spans="1:1">
      <c r="A1744" s="15"/>
    </row>
    <row r="1745" spans="1:1">
      <c r="A1745" s="15"/>
    </row>
    <row r="1746" spans="1:1">
      <c r="A1746" s="15"/>
    </row>
    <row r="1747" spans="1:1">
      <c r="A1747" s="15"/>
    </row>
    <row r="1748" spans="1:1">
      <c r="A1748" s="15"/>
    </row>
    <row r="1749" spans="1:1">
      <c r="A1749" s="15"/>
    </row>
    <row r="1750" spans="1:1">
      <c r="A1750" s="15"/>
    </row>
    <row r="1751" spans="1:1">
      <c r="A1751" s="15"/>
    </row>
    <row r="1752" spans="1:1">
      <c r="A1752" s="15"/>
    </row>
    <row r="1753" spans="1:1">
      <c r="A1753" s="15"/>
    </row>
    <row r="1754" spans="1:1">
      <c r="A1754" s="15"/>
    </row>
    <row r="1755" spans="1:1">
      <c r="A1755" s="15"/>
    </row>
    <row r="1756" spans="1:1">
      <c r="A1756" s="15"/>
    </row>
    <row r="1757" spans="1:1">
      <c r="A1757" s="15"/>
    </row>
    <row r="1758" spans="1:1">
      <c r="A1758" s="15"/>
    </row>
    <row r="1759" spans="1:1">
      <c r="A1759" s="15"/>
    </row>
    <row r="1760" spans="1:1">
      <c r="A1760" s="15"/>
    </row>
    <row r="1761" spans="1:1">
      <c r="A1761" s="15"/>
    </row>
    <row r="1762" spans="1:1">
      <c r="A1762" s="15"/>
    </row>
    <row r="1763" spans="1:1">
      <c r="A1763" s="15"/>
    </row>
    <row r="1764" spans="1:1">
      <c r="A1764" s="15"/>
    </row>
    <row r="1765" spans="1:1">
      <c r="A1765" s="15"/>
    </row>
    <row r="1766" spans="1:1">
      <c r="A1766" s="15"/>
    </row>
    <row r="1767" spans="1:1">
      <c r="A1767" s="15"/>
    </row>
    <row r="1768" spans="1:1">
      <c r="A1768" s="15"/>
    </row>
    <row r="1769" spans="1:1">
      <c r="A1769" s="15"/>
    </row>
    <row r="1770" spans="1:1">
      <c r="A1770" s="15"/>
    </row>
    <row r="1771" spans="1:1">
      <c r="A1771" s="15"/>
    </row>
    <row r="1772" spans="1:1">
      <c r="A1772" s="15"/>
    </row>
    <row r="1773" spans="1:1">
      <c r="A1773" s="15"/>
    </row>
    <row r="1774" spans="1:1">
      <c r="A1774" s="15"/>
    </row>
    <row r="1775" spans="1:1">
      <c r="A1775" s="15"/>
    </row>
    <row r="1776" spans="1:1">
      <c r="A1776" s="15"/>
    </row>
    <row r="1777" spans="1:1">
      <c r="A1777" s="15"/>
    </row>
    <row r="1778" spans="1:1">
      <c r="A1778" s="15"/>
    </row>
    <row r="1779" spans="1:1">
      <c r="A1779" s="15"/>
    </row>
    <row r="1780" spans="1:1">
      <c r="A1780" s="15"/>
    </row>
    <row r="1781" spans="1:1">
      <c r="A1781" s="15"/>
    </row>
    <row r="1782" spans="1:1">
      <c r="A1782" s="15"/>
    </row>
    <row r="1783" spans="1:1">
      <c r="A1783" s="15"/>
    </row>
    <row r="1784" spans="1:1">
      <c r="A1784" s="15"/>
    </row>
    <row r="1785" spans="1:1">
      <c r="A1785" s="15"/>
    </row>
    <row r="1786" spans="1:1">
      <c r="A1786" s="15"/>
    </row>
    <row r="1787" spans="1:1">
      <c r="A1787" s="15"/>
    </row>
    <row r="1788" spans="1:1">
      <c r="A1788" s="15"/>
    </row>
    <row r="1789" spans="1:1">
      <c r="A1789" s="15"/>
    </row>
    <row r="1790" spans="1:1">
      <c r="A1790" s="15"/>
    </row>
    <row r="1791" spans="1:1">
      <c r="A1791" s="15"/>
    </row>
    <row r="1792" spans="1:1">
      <c r="A1792" s="15"/>
    </row>
    <row r="1793" spans="1:1">
      <c r="A1793" s="15"/>
    </row>
    <row r="1794" spans="1:1">
      <c r="A1794" s="15"/>
    </row>
    <row r="1795" spans="1:1">
      <c r="A1795" s="15"/>
    </row>
    <row r="1796" spans="1:1">
      <c r="A1796" s="15"/>
    </row>
    <row r="1797" spans="1:1">
      <c r="A1797" s="15"/>
    </row>
    <row r="1798" spans="1:1">
      <c r="A1798" s="15"/>
    </row>
    <row r="1799" spans="1:1">
      <c r="A1799" s="15"/>
    </row>
    <row r="1800" spans="1:1">
      <c r="A1800" s="15"/>
    </row>
    <row r="1801" spans="1:1">
      <c r="A1801" s="15"/>
    </row>
    <row r="1802" spans="1:1">
      <c r="A1802" s="15"/>
    </row>
    <row r="1803" spans="1:1">
      <c r="A1803" s="15"/>
    </row>
    <row r="1804" spans="1:1">
      <c r="A1804" s="15"/>
    </row>
    <row r="1805" spans="1:1">
      <c r="A1805" s="15"/>
    </row>
    <row r="1806" spans="1:1">
      <c r="A1806" s="15"/>
    </row>
    <row r="1807" spans="1:1">
      <c r="A1807" s="15"/>
    </row>
    <row r="1808" spans="1:1">
      <c r="A1808" s="15"/>
    </row>
    <row r="1809" spans="1:1">
      <c r="A1809" s="15"/>
    </row>
    <row r="1810" spans="1:1">
      <c r="A1810" s="15"/>
    </row>
    <row r="1811" spans="1:1">
      <c r="A1811" s="15"/>
    </row>
    <row r="1812" spans="1:1">
      <c r="A1812" s="15"/>
    </row>
    <row r="1813" spans="1:1">
      <c r="A1813" s="15"/>
    </row>
    <row r="1814" spans="1:1">
      <c r="A1814" s="15"/>
    </row>
    <row r="1815" spans="1:1">
      <c r="A1815" s="15"/>
    </row>
    <row r="1816" spans="1:1">
      <c r="A1816" s="15"/>
    </row>
    <row r="1817" spans="1:1">
      <c r="A1817" s="15"/>
    </row>
    <row r="1818" spans="1:1">
      <c r="A1818" s="15"/>
    </row>
    <row r="1819" spans="1:1">
      <c r="A1819" s="15"/>
    </row>
    <row r="1820" spans="1:1">
      <c r="A1820" s="15"/>
    </row>
    <row r="1821" spans="1:1">
      <c r="A1821" s="15"/>
    </row>
    <row r="1822" spans="1:1">
      <c r="A1822" s="15"/>
    </row>
    <row r="1823" spans="1:1">
      <c r="A1823" s="15"/>
    </row>
    <row r="1824" spans="1:1">
      <c r="A1824" s="15"/>
    </row>
    <row r="1825" spans="1:1">
      <c r="A1825" s="15"/>
    </row>
    <row r="1826" spans="1:1">
      <c r="A1826" s="15"/>
    </row>
    <row r="1827" spans="1:1">
      <c r="A1827" s="15"/>
    </row>
    <row r="1828" spans="1:1">
      <c r="A1828" s="15"/>
    </row>
    <row r="1829" spans="1:1">
      <c r="A1829" s="15"/>
    </row>
    <row r="1830" spans="1:1">
      <c r="A1830" s="15"/>
    </row>
    <row r="1831" spans="1:1">
      <c r="A1831" s="15"/>
    </row>
    <row r="1832" spans="1:1">
      <c r="A1832" s="15"/>
    </row>
    <row r="1833" spans="1:1">
      <c r="A1833" s="15"/>
    </row>
    <row r="1834" spans="1:1">
      <c r="A1834" s="15"/>
    </row>
    <row r="1835" spans="1:1">
      <c r="A1835" s="15"/>
    </row>
    <row r="1836" spans="1:1">
      <c r="A1836" s="15"/>
    </row>
    <row r="1837" spans="1:1">
      <c r="A1837" s="15"/>
    </row>
    <row r="1838" spans="1:1">
      <c r="A1838" s="15"/>
    </row>
    <row r="1839" spans="1:1">
      <c r="A1839" s="15"/>
    </row>
    <row r="1840" spans="1:1">
      <c r="A1840" s="15"/>
    </row>
    <row r="1841" spans="1:1">
      <c r="A1841" s="15"/>
    </row>
    <row r="1842" spans="1:1">
      <c r="A1842" s="15"/>
    </row>
    <row r="1843" spans="1:1">
      <c r="A1843" s="15"/>
    </row>
    <row r="1844" spans="1:1">
      <c r="A1844" s="15"/>
    </row>
    <row r="1845" spans="1:1">
      <c r="A1845" s="15"/>
    </row>
    <row r="1846" spans="1:1">
      <c r="A1846" s="15"/>
    </row>
    <row r="1847" spans="1:1">
      <c r="A1847" s="15"/>
    </row>
    <row r="1848" spans="1:1">
      <c r="A1848" s="15"/>
    </row>
    <row r="1849" spans="1:1">
      <c r="A1849" s="15"/>
    </row>
    <row r="1850" spans="1:1">
      <c r="A1850" s="15"/>
    </row>
    <row r="1851" spans="1:1">
      <c r="A1851" s="15"/>
    </row>
    <row r="1852" spans="1:1">
      <c r="A1852" s="15"/>
    </row>
    <row r="1853" spans="1:1">
      <c r="A1853" s="15"/>
    </row>
    <row r="1854" spans="1:1">
      <c r="A1854" s="15"/>
    </row>
    <row r="1855" spans="1:1">
      <c r="A1855" s="15"/>
    </row>
    <row r="1856" spans="1:1">
      <c r="A1856" s="15"/>
    </row>
    <row r="1857" spans="1:1">
      <c r="A1857" s="15"/>
    </row>
    <row r="1858" spans="1:1">
      <c r="A1858" s="15"/>
    </row>
    <row r="1859" spans="1:1">
      <c r="A1859" s="15"/>
    </row>
    <row r="1860" spans="1:1">
      <c r="A1860" s="15"/>
    </row>
    <row r="1861" spans="1:1">
      <c r="A1861" s="15"/>
    </row>
    <row r="1862" spans="1:1">
      <c r="A1862" s="15"/>
    </row>
    <row r="1863" spans="1:1">
      <c r="A1863" s="15"/>
    </row>
    <row r="1864" spans="1:1">
      <c r="A1864" s="15"/>
    </row>
    <row r="1865" spans="1:1">
      <c r="A1865" s="15"/>
    </row>
    <row r="1866" spans="1:1">
      <c r="A1866" s="15"/>
    </row>
    <row r="1867" spans="1:1">
      <c r="A1867" s="15"/>
    </row>
    <row r="1868" spans="1:1">
      <c r="A1868" s="15"/>
    </row>
    <row r="1869" spans="1:1">
      <c r="A1869" s="15"/>
    </row>
    <row r="1870" spans="1:1">
      <c r="A1870" s="15"/>
    </row>
    <row r="1871" spans="1:1">
      <c r="A1871" s="15"/>
    </row>
    <row r="1872" spans="1:1">
      <c r="A1872" s="15"/>
    </row>
    <row r="1873" spans="1:1">
      <c r="A1873" s="15"/>
    </row>
    <row r="1874" spans="1:1">
      <c r="A1874" s="15"/>
    </row>
    <row r="1875" spans="1:1">
      <c r="A1875" s="15"/>
    </row>
    <row r="1876" spans="1:1">
      <c r="A1876" s="15"/>
    </row>
    <row r="1877" spans="1:1">
      <c r="A1877" s="15"/>
    </row>
    <row r="1878" spans="1:1">
      <c r="A1878" s="15"/>
    </row>
    <row r="1879" spans="1:1">
      <c r="A1879" s="15"/>
    </row>
    <row r="1880" spans="1:1">
      <c r="A1880" s="15"/>
    </row>
    <row r="1881" spans="1:1">
      <c r="A1881" s="15"/>
    </row>
    <row r="1882" spans="1:1">
      <c r="A1882" s="15"/>
    </row>
    <row r="1883" spans="1:1">
      <c r="A1883" s="15"/>
    </row>
    <row r="1884" spans="1:1">
      <c r="A1884" s="15"/>
    </row>
    <row r="1885" spans="1:1">
      <c r="A1885" s="15"/>
    </row>
    <row r="1886" spans="1:1">
      <c r="A1886" s="15"/>
    </row>
    <row r="1887" spans="1:1">
      <c r="A1887" s="15"/>
    </row>
    <row r="1888" spans="1:1">
      <c r="A1888" s="15"/>
    </row>
    <row r="1889" spans="1:1">
      <c r="A1889" s="15"/>
    </row>
    <row r="1890" spans="1:1">
      <c r="A1890" s="15"/>
    </row>
    <row r="1891" spans="1:1">
      <c r="A1891" s="15"/>
    </row>
    <row r="1892" spans="1:1">
      <c r="A1892" s="15"/>
    </row>
    <row r="1893" spans="1:1">
      <c r="A1893" s="15"/>
    </row>
    <row r="1894" spans="1:1">
      <c r="A1894" s="15"/>
    </row>
    <row r="1895" spans="1:1">
      <c r="A1895" s="15"/>
    </row>
    <row r="1896" spans="1:1">
      <c r="A1896" s="15"/>
    </row>
    <row r="1897" spans="1:1">
      <c r="A1897" s="15"/>
    </row>
    <row r="1898" spans="1:1">
      <c r="A1898" s="15"/>
    </row>
    <row r="1899" spans="1:1">
      <c r="A1899" s="15"/>
    </row>
    <row r="1900" spans="1:1">
      <c r="A1900" s="15"/>
    </row>
    <row r="1901" spans="1:1">
      <c r="A1901" s="15"/>
    </row>
    <row r="1902" spans="1:1">
      <c r="A1902" s="15"/>
    </row>
    <row r="1903" spans="1:1">
      <c r="A1903" s="15"/>
    </row>
    <row r="1904" spans="1:1">
      <c r="A1904" s="15"/>
    </row>
    <row r="1905" spans="1:1">
      <c r="A1905" s="15"/>
    </row>
    <row r="1906" spans="1:1">
      <c r="A1906" s="15"/>
    </row>
    <row r="1907" spans="1:1">
      <c r="A1907" s="15"/>
    </row>
    <row r="1908" spans="1:1">
      <c r="A1908" s="15"/>
    </row>
    <row r="1909" spans="1:1">
      <c r="A1909" s="15"/>
    </row>
    <row r="1910" spans="1:1">
      <c r="A1910" s="15"/>
    </row>
    <row r="1911" spans="1:1">
      <c r="A1911" s="15"/>
    </row>
    <row r="1912" spans="1:1">
      <c r="A1912" s="15"/>
    </row>
    <row r="1913" spans="1:1">
      <c r="A1913" s="15"/>
    </row>
    <row r="1914" spans="1:1">
      <c r="A1914" s="15"/>
    </row>
    <row r="1915" spans="1:1">
      <c r="A1915" s="15"/>
    </row>
    <row r="1916" spans="1:1">
      <c r="A1916" s="15"/>
    </row>
    <row r="1917" spans="1:1">
      <c r="A1917" s="15"/>
    </row>
    <row r="1918" spans="1:1">
      <c r="A1918" s="15"/>
    </row>
    <row r="1919" spans="1:1">
      <c r="A1919" s="15"/>
    </row>
    <row r="1920" spans="1:1">
      <c r="A1920" s="15"/>
    </row>
    <row r="1921" spans="1:1">
      <c r="A1921" s="15"/>
    </row>
    <row r="1922" spans="1:1">
      <c r="A1922" s="15"/>
    </row>
    <row r="1923" spans="1:1">
      <c r="A1923" s="15"/>
    </row>
    <row r="1924" spans="1:1">
      <c r="A1924" s="15"/>
    </row>
    <row r="1925" spans="1:1">
      <c r="A1925" s="15"/>
    </row>
    <row r="1926" spans="1:1">
      <c r="A1926" s="15"/>
    </row>
    <row r="1927" spans="1:1">
      <c r="A1927" s="15"/>
    </row>
    <row r="1928" spans="1:1">
      <c r="A1928" s="15"/>
    </row>
    <row r="1929" spans="1:1">
      <c r="A1929" s="15"/>
    </row>
    <row r="1930" spans="1:1">
      <c r="A1930" s="15"/>
    </row>
    <row r="1931" spans="1:1">
      <c r="A1931" s="15"/>
    </row>
    <row r="1932" spans="1:1">
      <c r="A1932" s="15"/>
    </row>
    <row r="1933" spans="1:1">
      <c r="A1933" s="15"/>
    </row>
    <row r="1934" spans="1:1">
      <c r="A1934" s="15"/>
    </row>
    <row r="1935" spans="1:1">
      <c r="A1935" s="15"/>
    </row>
    <row r="1936" spans="1:1">
      <c r="A1936" s="15"/>
    </row>
    <row r="1937" spans="1:1">
      <c r="A1937" s="15"/>
    </row>
    <row r="1938" spans="1:1">
      <c r="A1938" s="15"/>
    </row>
    <row r="1939" spans="1:1">
      <c r="A1939" s="15"/>
    </row>
    <row r="1940" spans="1:1">
      <c r="A1940" s="15"/>
    </row>
    <row r="1941" spans="1:1">
      <c r="A1941" s="15"/>
    </row>
    <row r="1942" spans="1:1">
      <c r="A1942" s="15"/>
    </row>
    <row r="1943" spans="1:1">
      <c r="A1943" s="15"/>
    </row>
    <row r="1944" spans="1:1">
      <c r="A1944" s="15"/>
    </row>
    <row r="1945" spans="1:1">
      <c r="A1945" s="15"/>
    </row>
    <row r="1946" spans="1:1">
      <c r="A1946" s="15"/>
    </row>
    <row r="1947" spans="1:1">
      <c r="A1947" s="15"/>
    </row>
    <row r="1948" spans="1:1">
      <c r="A1948" s="15"/>
    </row>
    <row r="1949" spans="1:1">
      <c r="A1949" s="15"/>
    </row>
    <row r="1950" spans="1:1">
      <c r="A1950" s="15"/>
    </row>
    <row r="1951" spans="1:1">
      <c r="A1951" s="15"/>
    </row>
    <row r="1952" spans="1:1">
      <c r="A1952" s="15"/>
    </row>
    <row r="1953" spans="1:1">
      <c r="A1953" s="15"/>
    </row>
    <row r="1954" spans="1:1">
      <c r="A1954" s="15"/>
    </row>
    <row r="1955" spans="1:1">
      <c r="A1955" s="15"/>
    </row>
    <row r="1956" spans="1:1">
      <c r="A1956" s="15"/>
    </row>
    <row r="1957" spans="1:1">
      <c r="A1957" s="15"/>
    </row>
    <row r="1958" spans="1:1">
      <c r="A1958" s="15"/>
    </row>
    <row r="1959" spans="1:1">
      <c r="A1959" s="15"/>
    </row>
    <row r="1960" spans="1:1">
      <c r="A1960" s="15"/>
    </row>
    <row r="1961" spans="1:1">
      <c r="A1961" s="15"/>
    </row>
    <row r="1962" spans="1:1">
      <c r="A1962" s="15"/>
    </row>
    <row r="1963" spans="1:1">
      <c r="A1963" s="15"/>
    </row>
    <row r="1964" spans="1:1">
      <c r="A1964" s="15"/>
    </row>
    <row r="1965" spans="1:1">
      <c r="A1965" s="15"/>
    </row>
    <row r="1966" spans="1:1">
      <c r="A1966" s="15"/>
    </row>
    <row r="1967" spans="1:1">
      <c r="A1967" s="15"/>
    </row>
    <row r="1968" spans="1:1">
      <c r="A1968" s="15"/>
    </row>
    <row r="1969" spans="1:1">
      <c r="A1969" s="15"/>
    </row>
    <row r="1970" spans="1:1">
      <c r="A1970" s="15"/>
    </row>
    <row r="1971" spans="1:1">
      <c r="A1971" s="15"/>
    </row>
    <row r="1972" spans="1:1">
      <c r="A1972" s="15"/>
    </row>
    <row r="1973" spans="1:1">
      <c r="A1973" s="15"/>
    </row>
    <row r="1974" spans="1:1">
      <c r="A1974" s="15"/>
    </row>
    <row r="1975" spans="1:1">
      <c r="A1975" s="15"/>
    </row>
    <row r="1976" spans="1:1">
      <c r="A1976" s="15"/>
    </row>
    <row r="1977" spans="1:1">
      <c r="A1977" s="15"/>
    </row>
    <row r="1978" spans="1:1">
      <c r="A1978" s="15"/>
    </row>
    <row r="1979" spans="1:1">
      <c r="A1979" s="15"/>
    </row>
    <row r="1980" spans="1:1">
      <c r="A1980" s="15"/>
    </row>
    <row r="1981" spans="1:1">
      <c r="A1981" s="15"/>
    </row>
    <row r="1982" spans="1:1">
      <c r="A1982" s="15"/>
    </row>
    <row r="1983" spans="1:1">
      <c r="A1983" s="15"/>
    </row>
    <row r="1984" spans="1:1">
      <c r="A1984" s="15"/>
    </row>
    <row r="1985" spans="1:1">
      <c r="A1985" s="15"/>
    </row>
    <row r="1986" spans="1:1">
      <c r="A1986" s="15"/>
    </row>
    <row r="1987" spans="1:1">
      <c r="A1987" s="15"/>
    </row>
    <row r="1988" spans="1:1">
      <c r="A1988" s="15"/>
    </row>
    <row r="1989" spans="1:1">
      <c r="A1989" s="15"/>
    </row>
    <row r="1990" spans="1:1">
      <c r="A1990" s="15"/>
    </row>
    <row r="1991" spans="1:1">
      <c r="A1991" s="15"/>
    </row>
    <row r="1992" spans="1:1">
      <c r="A1992" s="15"/>
    </row>
    <row r="1993" spans="1:1">
      <c r="A1993" s="15"/>
    </row>
    <row r="1994" spans="1:1">
      <c r="A1994" s="15"/>
    </row>
    <row r="1995" spans="1:1">
      <c r="A1995" s="15"/>
    </row>
    <row r="1996" spans="1:1">
      <c r="A1996" s="15"/>
    </row>
    <row r="1997" spans="1:1">
      <c r="A1997" s="15"/>
    </row>
    <row r="1998" spans="1:1">
      <c r="A1998" s="15"/>
    </row>
    <row r="1999" spans="1:1">
      <c r="A1999" s="15"/>
    </row>
    <row r="2000" spans="1:1">
      <c r="A2000" s="15"/>
    </row>
    <row r="2001" spans="1:1">
      <c r="A2001" s="15"/>
    </row>
    <row r="2002" spans="1:1">
      <c r="A2002" s="15"/>
    </row>
    <row r="2003" spans="1:1">
      <c r="A2003" s="15"/>
    </row>
    <row r="2004" spans="1:1">
      <c r="A2004" s="15"/>
    </row>
    <row r="2005" spans="1:1">
      <c r="A2005" s="15"/>
    </row>
    <row r="2006" spans="1:1">
      <c r="A2006" s="15"/>
    </row>
    <row r="2007" spans="1:1">
      <c r="A2007" s="15"/>
    </row>
    <row r="2008" spans="1:1">
      <c r="A2008" s="15"/>
    </row>
    <row r="2009" spans="1:1">
      <c r="A2009" s="15"/>
    </row>
    <row r="2010" spans="1:1">
      <c r="A2010" s="15"/>
    </row>
    <row r="2011" spans="1:1">
      <c r="A2011" s="15"/>
    </row>
    <row r="2012" spans="1:1">
      <c r="A2012" s="15"/>
    </row>
    <row r="2013" spans="1:1">
      <c r="A2013" s="15"/>
    </row>
    <row r="2014" spans="1:1">
      <c r="A2014" s="15"/>
    </row>
    <row r="2015" spans="1:1">
      <c r="A2015" s="15"/>
    </row>
    <row r="2016" spans="1:1">
      <c r="A2016" s="15"/>
    </row>
    <row r="2017" spans="1:1">
      <c r="A2017" s="15"/>
    </row>
    <row r="2018" spans="1:1">
      <c r="A2018" s="15"/>
    </row>
    <row r="2019" spans="1:1">
      <c r="A2019" s="15"/>
    </row>
    <row r="2020" spans="1:1">
      <c r="A2020" s="15"/>
    </row>
    <row r="2021" spans="1:1">
      <c r="A2021" s="15"/>
    </row>
    <row r="2022" spans="1:1">
      <c r="A2022" s="15"/>
    </row>
    <row r="2023" spans="1:1">
      <c r="A2023" s="15"/>
    </row>
    <row r="2024" spans="1:1">
      <c r="A2024" s="15"/>
    </row>
    <row r="2025" spans="1:1">
      <c r="A2025" s="15"/>
    </row>
    <row r="2026" spans="1:1">
      <c r="A2026" s="15"/>
    </row>
    <row r="2027" spans="1:1">
      <c r="A2027" s="15"/>
    </row>
    <row r="2028" spans="1:1">
      <c r="A2028" s="15"/>
    </row>
    <row r="2029" spans="1:1">
      <c r="A2029" s="15"/>
    </row>
    <row r="2030" spans="1:1">
      <c r="A2030" s="15"/>
    </row>
    <row r="2031" spans="1:1">
      <c r="A2031" s="15"/>
    </row>
    <row r="2032" spans="1:1">
      <c r="A2032" s="15"/>
    </row>
    <row r="2033" spans="1:1">
      <c r="A2033" s="15"/>
    </row>
    <row r="2034" spans="1:1">
      <c r="A2034" s="15"/>
    </row>
    <row r="2035" spans="1:1">
      <c r="A2035" s="15"/>
    </row>
    <row r="2036" spans="1:1">
      <c r="A2036" s="15"/>
    </row>
    <row r="2037" spans="1:1">
      <c r="A2037" s="15"/>
    </row>
    <row r="2038" spans="1:1">
      <c r="A2038" s="15"/>
    </row>
    <row r="2039" spans="1:1">
      <c r="A2039" s="15"/>
    </row>
    <row r="2040" spans="1:1">
      <c r="A2040" s="15"/>
    </row>
    <row r="2041" spans="1:1">
      <c r="A2041" s="15"/>
    </row>
    <row r="2042" spans="1:1">
      <c r="A2042" s="15"/>
    </row>
    <row r="2043" spans="1:1">
      <c r="A2043" s="15"/>
    </row>
    <row r="2044" spans="1:1">
      <c r="A2044" s="15"/>
    </row>
    <row r="2045" spans="1:1">
      <c r="A2045" s="15"/>
    </row>
    <row r="2046" spans="1:1">
      <c r="A2046" s="15"/>
    </row>
    <row r="2047" spans="1:1">
      <c r="A2047" s="15"/>
    </row>
    <row r="2048" spans="1:1">
      <c r="A2048" s="15"/>
    </row>
    <row r="2049" spans="1:1">
      <c r="A2049" s="15"/>
    </row>
    <row r="2050" spans="1:1">
      <c r="A2050" s="15"/>
    </row>
    <row r="2051" spans="1:1">
      <c r="A2051" s="15"/>
    </row>
    <row r="2052" spans="1:1">
      <c r="A2052" s="15"/>
    </row>
    <row r="2053" spans="1:1">
      <c r="A2053" s="15"/>
    </row>
    <row r="2054" spans="1:1">
      <c r="A2054" s="15"/>
    </row>
    <row r="2055" spans="1:1">
      <c r="A2055" s="15"/>
    </row>
    <row r="2056" spans="1:1">
      <c r="A2056" s="15"/>
    </row>
    <row r="2057" spans="1:1">
      <c r="A2057" s="15"/>
    </row>
    <row r="2058" spans="1:1">
      <c r="A2058" s="15"/>
    </row>
    <row r="2059" spans="1:1">
      <c r="A2059" s="15"/>
    </row>
    <row r="2060" spans="1:1">
      <c r="A2060" s="15"/>
    </row>
    <row r="2061" spans="1:1">
      <c r="A2061" s="15"/>
    </row>
    <row r="2062" spans="1:1">
      <c r="A2062" s="15"/>
    </row>
    <row r="2063" spans="1:1">
      <c r="A2063" s="15"/>
    </row>
    <row r="2064" spans="1:1">
      <c r="A2064" s="15"/>
    </row>
    <row r="2065" spans="1:1">
      <c r="A2065" s="15"/>
    </row>
    <row r="2066" spans="1:1">
      <c r="A2066" s="15"/>
    </row>
    <row r="2067" spans="1:1">
      <c r="A2067" s="15"/>
    </row>
    <row r="2068" spans="1:1">
      <c r="A2068" s="15"/>
    </row>
    <row r="2069" spans="1:1">
      <c r="A2069" s="15"/>
    </row>
    <row r="2070" spans="1:1">
      <c r="A2070" s="15"/>
    </row>
    <row r="2071" spans="1:1">
      <c r="A2071" s="15"/>
    </row>
    <row r="2072" spans="1:1">
      <c r="A2072" s="15"/>
    </row>
    <row r="2073" spans="1:1">
      <c r="A2073" s="15"/>
    </row>
    <row r="2074" spans="1:1">
      <c r="A2074" s="15"/>
    </row>
    <row r="2075" spans="1:1">
      <c r="A2075" s="15"/>
    </row>
    <row r="2076" spans="1:1">
      <c r="A2076" s="15"/>
    </row>
    <row r="2077" spans="1:1">
      <c r="A2077" s="15"/>
    </row>
    <row r="2078" spans="1:1">
      <c r="A2078" s="15"/>
    </row>
    <row r="2079" spans="1:1">
      <c r="A2079" s="15"/>
    </row>
    <row r="2080" spans="1:1">
      <c r="A2080" s="15"/>
    </row>
    <row r="2081" spans="1:1">
      <c r="A2081" s="15"/>
    </row>
    <row r="2082" spans="1:1">
      <c r="A2082" s="15"/>
    </row>
    <row r="2083" spans="1:1">
      <c r="A2083" s="15"/>
    </row>
    <row r="2084" spans="1:1">
      <c r="A2084" s="15"/>
    </row>
    <row r="2085" spans="1:1">
      <c r="A2085" s="15"/>
    </row>
    <row r="2086" spans="1:1">
      <c r="A2086" s="15"/>
    </row>
    <row r="2087" spans="1:1">
      <c r="A2087" s="15"/>
    </row>
    <row r="2088" spans="1:1">
      <c r="A2088" s="15"/>
    </row>
    <row r="2089" spans="1:1">
      <c r="A2089" s="15"/>
    </row>
    <row r="2090" spans="1:1">
      <c r="A2090" s="15"/>
    </row>
    <row r="2091" spans="1:1">
      <c r="A2091" s="15"/>
    </row>
    <row r="2092" spans="1:1">
      <c r="A2092" s="15"/>
    </row>
    <row r="2093" spans="1:1">
      <c r="A2093" s="15"/>
    </row>
    <row r="2094" spans="1:1">
      <c r="A2094" s="15"/>
    </row>
    <row r="2095" spans="1:1">
      <c r="A2095" s="15"/>
    </row>
    <row r="2096" spans="1:1">
      <c r="A2096" s="15"/>
    </row>
    <row r="2097" spans="1:1">
      <c r="A2097" s="15"/>
    </row>
    <row r="2098" spans="1:1">
      <c r="A2098" s="15"/>
    </row>
    <row r="2099" spans="1:1">
      <c r="A2099" s="15"/>
    </row>
    <row r="2100" spans="1:1">
      <c r="A2100" s="15"/>
    </row>
    <row r="2101" spans="1:1">
      <c r="A2101" s="15"/>
    </row>
    <row r="2102" spans="1:1">
      <c r="A2102" s="15"/>
    </row>
    <row r="2103" spans="1:1">
      <c r="A2103" s="15"/>
    </row>
    <row r="2104" spans="1:1">
      <c r="A2104" s="15"/>
    </row>
    <row r="2105" spans="1:1">
      <c r="A2105" s="15"/>
    </row>
    <row r="2106" spans="1:1">
      <c r="A2106" s="15"/>
    </row>
    <row r="2107" spans="1:1">
      <c r="A2107" s="15"/>
    </row>
    <row r="2108" spans="1:1">
      <c r="A2108" s="15"/>
    </row>
    <row r="2109" spans="1:1">
      <c r="A2109" s="15"/>
    </row>
    <row r="2110" spans="1:1">
      <c r="A2110" s="15"/>
    </row>
    <row r="2111" spans="1:1">
      <c r="A2111" s="15"/>
    </row>
    <row r="2112" spans="1:1">
      <c r="A2112" s="15"/>
    </row>
    <row r="2113" spans="1:1">
      <c r="A2113" s="15"/>
    </row>
    <row r="2114" spans="1:1">
      <c r="A2114" s="15"/>
    </row>
    <row r="2115" spans="1:1">
      <c r="A2115" s="15"/>
    </row>
    <row r="2116" spans="1:1">
      <c r="A2116" s="15"/>
    </row>
    <row r="2117" spans="1:1">
      <c r="A2117" s="15"/>
    </row>
    <row r="2118" spans="1:1">
      <c r="A2118" s="15"/>
    </row>
    <row r="2119" spans="1:1">
      <c r="A2119" s="15"/>
    </row>
    <row r="2120" spans="1:1">
      <c r="A2120" s="15"/>
    </row>
    <row r="2121" spans="1:1">
      <c r="A2121" s="15"/>
    </row>
    <row r="2122" spans="1:1">
      <c r="A2122" s="15"/>
    </row>
    <row r="2123" spans="1:1">
      <c r="A2123" s="15"/>
    </row>
    <row r="2124" spans="1:1">
      <c r="A2124" s="15"/>
    </row>
    <row r="2125" spans="1:1">
      <c r="A2125" s="15"/>
    </row>
    <row r="2126" spans="1:1">
      <c r="A2126" s="15"/>
    </row>
    <row r="2127" spans="1:1">
      <c r="A2127" s="15"/>
    </row>
    <row r="2128" spans="1:1">
      <c r="A2128" s="15"/>
    </row>
    <row r="2129" spans="1:1">
      <c r="A2129" s="15"/>
    </row>
    <row r="2130" spans="1:1">
      <c r="A2130" s="15"/>
    </row>
    <row r="2131" spans="1:1">
      <c r="A2131" s="15"/>
    </row>
    <row r="2132" spans="1:1">
      <c r="A2132" s="15"/>
    </row>
    <row r="2133" spans="1:1">
      <c r="A2133" s="15"/>
    </row>
    <row r="2134" spans="1:1">
      <c r="A2134" s="15"/>
    </row>
    <row r="2135" spans="1:1">
      <c r="A2135" s="15"/>
    </row>
    <row r="2136" spans="1:1">
      <c r="A2136" s="15"/>
    </row>
    <row r="2137" spans="1:1">
      <c r="A2137" s="15"/>
    </row>
    <row r="2138" spans="1:1">
      <c r="A2138" s="15"/>
    </row>
    <row r="2139" spans="1:1">
      <c r="A2139" s="15"/>
    </row>
    <row r="2140" spans="1:1">
      <c r="A2140" s="15"/>
    </row>
    <row r="2141" spans="1:1">
      <c r="A2141" s="15"/>
    </row>
    <row r="2142" spans="1:1">
      <c r="A2142" s="15"/>
    </row>
    <row r="2143" spans="1:1">
      <c r="A2143" s="15"/>
    </row>
    <row r="2144" spans="1:1">
      <c r="A2144" s="15"/>
    </row>
    <row r="2145" spans="1:1">
      <c r="A2145" s="15"/>
    </row>
    <row r="2146" spans="1:1">
      <c r="A2146" s="15"/>
    </row>
    <row r="2147" spans="1:1">
      <c r="A2147" s="15"/>
    </row>
    <row r="2148" spans="1:1">
      <c r="A2148" s="15"/>
    </row>
    <row r="2149" spans="1:1">
      <c r="A2149" s="15"/>
    </row>
    <row r="2150" spans="1:1">
      <c r="A2150" s="15"/>
    </row>
    <row r="2151" spans="1:1">
      <c r="A2151" s="15"/>
    </row>
    <row r="2152" spans="1:1">
      <c r="A2152" s="15"/>
    </row>
    <row r="2153" spans="1:1">
      <c r="A2153" s="15"/>
    </row>
    <row r="2154" spans="1:1">
      <c r="A2154" s="15"/>
    </row>
    <row r="2155" spans="1:1">
      <c r="A2155" s="15"/>
    </row>
    <row r="2156" spans="1:1">
      <c r="A2156" s="15"/>
    </row>
    <row r="2157" spans="1:1">
      <c r="A2157" s="15"/>
    </row>
    <row r="2158" spans="1:1">
      <c r="A2158" s="15"/>
    </row>
    <row r="2159" spans="1:1">
      <c r="A2159" s="15"/>
    </row>
    <row r="2160" spans="1:1">
      <c r="A2160" s="15"/>
    </row>
    <row r="2161" spans="1:1">
      <c r="A2161" s="15"/>
    </row>
    <row r="2162" spans="1:1">
      <c r="A2162" s="15"/>
    </row>
    <row r="2163" spans="1:1">
      <c r="A2163" s="15"/>
    </row>
    <row r="2164" spans="1:1">
      <c r="A2164" s="15"/>
    </row>
    <row r="2165" spans="1:1">
      <c r="A2165" s="15"/>
    </row>
    <row r="2166" spans="1:1">
      <c r="A2166" s="15"/>
    </row>
    <row r="2167" spans="1:1">
      <c r="A2167" s="15"/>
    </row>
    <row r="2168" spans="1:1">
      <c r="A2168" s="15"/>
    </row>
    <row r="2169" spans="1:1">
      <c r="A2169" s="15"/>
    </row>
    <row r="2170" spans="1:1">
      <c r="A2170" s="15"/>
    </row>
    <row r="2171" spans="1:1">
      <c r="A2171" s="15"/>
    </row>
    <row r="2172" spans="1:1">
      <c r="A2172" s="15"/>
    </row>
    <row r="2173" spans="1:1">
      <c r="A2173" s="15"/>
    </row>
    <row r="2174" spans="1:1">
      <c r="A2174" s="15"/>
    </row>
    <row r="2175" spans="1:1">
      <c r="A2175" s="15"/>
    </row>
    <row r="2176" spans="1:1">
      <c r="A2176" s="15"/>
    </row>
    <row r="2177" spans="1:1">
      <c r="A2177" s="15"/>
    </row>
    <row r="2178" spans="1:1">
      <c r="A2178" s="15"/>
    </row>
    <row r="2179" spans="1:1">
      <c r="A2179" s="15"/>
    </row>
    <row r="2180" spans="1:1">
      <c r="A2180" s="15"/>
    </row>
    <row r="2181" spans="1:1">
      <c r="A2181" s="15"/>
    </row>
    <row r="2182" spans="1:1">
      <c r="A2182" s="15"/>
    </row>
    <row r="2183" spans="1:1">
      <c r="A2183" s="15"/>
    </row>
    <row r="2184" spans="1:1">
      <c r="A2184" s="15"/>
    </row>
    <row r="2185" spans="1:1">
      <c r="A2185" s="15"/>
    </row>
    <row r="2186" spans="1:1">
      <c r="A2186" s="15"/>
    </row>
    <row r="2187" spans="1:1">
      <c r="A2187" s="15"/>
    </row>
    <row r="2188" spans="1:1">
      <c r="A2188" s="15"/>
    </row>
    <row r="2189" spans="1:1">
      <c r="A2189" s="15"/>
    </row>
    <row r="2190" spans="1:1">
      <c r="A2190" s="15"/>
    </row>
    <row r="2191" spans="1:1">
      <c r="A2191" s="15"/>
    </row>
    <row r="2192" spans="1:1">
      <c r="A2192" s="15"/>
    </row>
    <row r="2193" spans="1:1">
      <c r="A2193" s="15"/>
    </row>
    <row r="2194" spans="1:1">
      <c r="A2194" s="15"/>
    </row>
    <row r="2195" spans="1:1">
      <c r="A2195" s="15"/>
    </row>
    <row r="2196" spans="1:1">
      <c r="A2196" s="15"/>
    </row>
    <row r="2197" spans="1:1">
      <c r="A2197" s="15"/>
    </row>
    <row r="2198" spans="1:1">
      <c r="A2198" s="15"/>
    </row>
    <row r="2199" spans="1:1">
      <c r="A2199" s="15"/>
    </row>
    <row r="2200" spans="1:1">
      <c r="A2200" s="15"/>
    </row>
    <row r="2201" spans="1:1">
      <c r="A2201" s="15"/>
    </row>
    <row r="2202" spans="1:1">
      <c r="A2202" s="15"/>
    </row>
    <row r="2203" spans="1:1">
      <c r="A2203" s="15"/>
    </row>
    <row r="2204" spans="1:1">
      <c r="A2204" s="15"/>
    </row>
    <row r="2205" spans="1:1">
      <c r="A2205" s="15"/>
    </row>
    <row r="2206" spans="1:1">
      <c r="A2206" s="15"/>
    </row>
    <row r="2207" spans="1:1">
      <c r="A2207" s="15"/>
    </row>
    <row r="2208" spans="1:1">
      <c r="A2208" s="15"/>
    </row>
    <row r="2209" spans="1:1">
      <c r="A2209" s="15"/>
    </row>
    <row r="2210" spans="1:1">
      <c r="A2210" s="15"/>
    </row>
    <row r="2211" spans="1:1">
      <c r="A2211" s="15"/>
    </row>
    <row r="2212" spans="1:1">
      <c r="A2212" s="15"/>
    </row>
    <row r="2213" spans="1:1">
      <c r="A2213" s="15"/>
    </row>
    <row r="2214" spans="1:1">
      <c r="A2214" s="15"/>
    </row>
    <row r="2215" spans="1:1">
      <c r="A2215" s="15"/>
    </row>
    <row r="2216" spans="1:1">
      <c r="A2216" s="15"/>
    </row>
    <row r="2217" spans="1:1">
      <c r="A2217" s="15"/>
    </row>
    <row r="2218" spans="1:1">
      <c r="A2218" s="15"/>
    </row>
    <row r="2219" spans="1:1">
      <c r="A2219" s="15"/>
    </row>
    <row r="2220" spans="1:1">
      <c r="A2220" s="15"/>
    </row>
    <row r="2221" spans="1:1">
      <c r="A2221" s="15"/>
    </row>
    <row r="2222" spans="1:1">
      <c r="A2222" s="15"/>
    </row>
    <row r="2223" spans="1:1">
      <c r="A2223" s="15"/>
    </row>
    <row r="2224" spans="1:1">
      <c r="A2224" s="15"/>
    </row>
    <row r="2225" spans="1:1">
      <c r="A2225" s="15"/>
    </row>
    <row r="2226" spans="1:1">
      <c r="A2226" s="15"/>
    </row>
    <row r="2227" spans="1:1">
      <c r="A2227" s="15"/>
    </row>
    <row r="2228" spans="1:1">
      <c r="A2228" s="15"/>
    </row>
    <row r="2229" spans="1:1">
      <c r="A2229" s="15"/>
    </row>
    <row r="2230" spans="1:1">
      <c r="A2230" s="15"/>
    </row>
    <row r="2231" spans="1:1">
      <c r="A2231" s="15"/>
    </row>
    <row r="2232" spans="1:1">
      <c r="A2232" s="15"/>
    </row>
    <row r="2233" spans="1:1">
      <c r="A2233" s="15"/>
    </row>
    <row r="2234" spans="1:1">
      <c r="A2234" s="15"/>
    </row>
    <row r="2235" spans="1:1">
      <c r="A2235" s="15"/>
    </row>
    <row r="2236" spans="1:1">
      <c r="A2236" s="15"/>
    </row>
    <row r="2237" spans="1:1">
      <c r="A2237" s="15"/>
    </row>
    <row r="2238" spans="1:1">
      <c r="A2238" s="15"/>
    </row>
    <row r="2239" spans="1:1">
      <c r="A2239" s="15"/>
    </row>
    <row r="2240" spans="1:1">
      <c r="A2240" s="15"/>
    </row>
    <row r="2241" spans="1:1">
      <c r="A2241" s="15"/>
    </row>
    <row r="2242" spans="1:1">
      <c r="A2242" s="15"/>
    </row>
    <row r="2243" spans="1:1">
      <c r="A2243" s="15"/>
    </row>
    <row r="2244" spans="1:1">
      <c r="A2244" s="15"/>
    </row>
    <row r="2245" spans="1:1">
      <c r="A2245" s="15"/>
    </row>
    <row r="2246" spans="1:1">
      <c r="A2246" s="15"/>
    </row>
    <row r="2247" spans="1:1">
      <c r="A2247" s="15"/>
    </row>
    <row r="2248" spans="1:1">
      <c r="A2248" s="15"/>
    </row>
    <row r="2249" spans="1:1">
      <c r="A2249" s="15"/>
    </row>
    <row r="2250" spans="1:1">
      <c r="A2250" s="15"/>
    </row>
    <row r="2251" spans="1:1">
      <c r="A2251" s="15"/>
    </row>
    <row r="2252" spans="1:1">
      <c r="A2252" s="15"/>
    </row>
    <row r="2253" spans="1:1">
      <c r="A2253" s="15"/>
    </row>
    <row r="2254" spans="1:1">
      <c r="A2254" s="15"/>
    </row>
    <row r="2255" spans="1:1">
      <c r="A2255" s="15"/>
    </row>
    <row r="2256" spans="1:1">
      <c r="A2256" s="15"/>
    </row>
    <row r="2257" spans="1:1">
      <c r="A2257" s="15"/>
    </row>
    <row r="2258" spans="1:1">
      <c r="A2258" s="15"/>
    </row>
    <row r="2259" spans="1:1">
      <c r="A2259" s="15"/>
    </row>
    <row r="2260" spans="1:1">
      <c r="A2260" s="15"/>
    </row>
    <row r="2261" spans="1:1">
      <c r="A2261" s="15"/>
    </row>
    <row r="2262" spans="1:1">
      <c r="A2262" s="15"/>
    </row>
    <row r="2263" spans="1:1">
      <c r="A2263" s="15"/>
    </row>
    <row r="2264" spans="1:1">
      <c r="A2264" s="15"/>
    </row>
    <row r="2265" spans="1:1">
      <c r="A2265" s="15"/>
    </row>
    <row r="2266" spans="1:1">
      <c r="A2266" s="15"/>
    </row>
    <row r="2267" spans="1:1">
      <c r="A2267" s="15"/>
    </row>
    <row r="2268" spans="1:1">
      <c r="A2268" s="15"/>
    </row>
    <row r="2269" spans="1:1">
      <c r="A2269" s="15"/>
    </row>
    <row r="2270" spans="1:1">
      <c r="A2270" s="15"/>
    </row>
    <row r="2271" spans="1:1">
      <c r="A2271" s="15"/>
    </row>
    <row r="2272" spans="1:1">
      <c r="A2272" s="15"/>
    </row>
    <row r="2273" spans="1:1">
      <c r="A2273" s="15"/>
    </row>
    <row r="2274" spans="1:1">
      <c r="A2274" s="15"/>
    </row>
    <row r="2275" spans="1:1">
      <c r="A2275" s="15"/>
    </row>
    <row r="2276" spans="1:1">
      <c r="A2276" s="15"/>
    </row>
    <row r="2277" spans="1:1">
      <c r="A2277" s="15"/>
    </row>
    <row r="2278" spans="1:1">
      <c r="A2278" s="15"/>
    </row>
    <row r="2279" spans="1:1">
      <c r="A2279" s="15"/>
    </row>
    <row r="2280" spans="1:1">
      <c r="A2280" s="15"/>
    </row>
    <row r="2281" spans="1:1">
      <c r="A2281" s="15"/>
    </row>
    <row r="2282" spans="1:1">
      <c r="A2282" s="15"/>
    </row>
    <row r="2283" spans="1:1">
      <c r="A2283" s="15"/>
    </row>
    <row r="2284" spans="1:1">
      <c r="A2284" s="15"/>
    </row>
    <row r="2285" spans="1:1">
      <c r="A2285" s="15"/>
    </row>
    <row r="2286" spans="1:1">
      <c r="A2286" s="15"/>
    </row>
    <row r="2287" spans="1:1">
      <c r="A2287" s="15"/>
    </row>
    <row r="2288" spans="1:1">
      <c r="A2288" s="15"/>
    </row>
    <row r="2289" spans="1:1">
      <c r="A2289" s="15"/>
    </row>
    <row r="2290" spans="1:1">
      <c r="A2290" s="15"/>
    </row>
    <row r="2291" spans="1:1">
      <c r="A2291" s="15"/>
    </row>
    <row r="2292" spans="1:1">
      <c r="A2292" s="15"/>
    </row>
    <row r="2293" spans="1:1">
      <c r="A2293" s="15"/>
    </row>
    <row r="2294" spans="1:1">
      <c r="A2294" s="15"/>
    </row>
    <row r="2295" spans="1:1">
      <c r="A2295" s="15"/>
    </row>
    <row r="2296" spans="1:1">
      <c r="A2296" s="15"/>
    </row>
    <row r="2297" spans="1:1">
      <c r="A2297" s="15"/>
    </row>
    <row r="2298" spans="1:1">
      <c r="A2298" s="15"/>
    </row>
    <row r="2299" spans="1:1">
      <c r="A2299" s="15"/>
    </row>
    <row r="2300" spans="1:1">
      <c r="A2300" s="15"/>
    </row>
    <row r="2301" spans="1:1">
      <c r="A2301" s="15"/>
    </row>
    <row r="2302" spans="1:1">
      <c r="A2302" s="15"/>
    </row>
    <row r="2303" spans="1:1">
      <c r="A2303" s="15"/>
    </row>
    <row r="2304" spans="1:1">
      <c r="A2304" s="15"/>
    </row>
    <row r="2305" spans="1:1">
      <c r="A2305" s="15"/>
    </row>
    <row r="2306" spans="1:1">
      <c r="A2306" s="15"/>
    </row>
    <row r="2307" spans="1:1">
      <c r="A2307" s="15"/>
    </row>
    <row r="2308" spans="1:1">
      <c r="A2308" s="15"/>
    </row>
    <row r="2309" spans="1:1">
      <c r="A2309" s="15"/>
    </row>
    <row r="2310" spans="1:1">
      <c r="A2310" s="15"/>
    </row>
    <row r="2311" spans="1:1">
      <c r="A2311" s="15"/>
    </row>
    <row r="2312" spans="1:1">
      <c r="A2312" s="15"/>
    </row>
    <row r="2313" spans="1:1">
      <c r="A2313" s="15"/>
    </row>
    <row r="2314" spans="1:1">
      <c r="A2314" s="15"/>
    </row>
    <row r="2315" spans="1:1">
      <c r="A2315" s="15"/>
    </row>
    <row r="2316" spans="1:1">
      <c r="A2316" s="15"/>
    </row>
    <row r="2317" spans="1:1">
      <c r="A2317" s="15"/>
    </row>
    <row r="2318" spans="1:1">
      <c r="A2318" s="15"/>
    </row>
    <row r="2319" spans="1:1">
      <c r="A2319" s="15"/>
    </row>
    <row r="2320" spans="1:1">
      <c r="A2320" s="15"/>
    </row>
    <row r="2321" spans="1:1">
      <c r="A2321" s="15"/>
    </row>
    <row r="2322" spans="1:1">
      <c r="A2322" s="15"/>
    </row>
    <row r="2323" spans="1:1">
      <c r="A2323" s="15"/>
    </row>
    <row r="2324" spans="1:1">
      <c r="A2324" s="15"/>
    </row>
    <row r="2325" spans="1:1">
      <c r="A2325" s="15"/>
    </row>
    <row r="2326" spans="1:1">
      <c r="A2326" s="15"/>
    </row>
    <row r="2327" spans="1:1">
      <c r="A2327" s="15"/>
    </row>
    <row r="2328" spans="1:1">
      <c r="A2328" s="15"/>
    </row>
    <row r="2329" spans="1:1">
      <c r="A2329" s="15"/>
    </row>
    <row r="2330" spans="1:1">
      <c r="A2330" s="15"/>
    </row>
    <row r="2331" spans="1:1">
      <c r="A2331" s="15"/>
    </row>
    <row r="2332" spans="1:1">
      <c r="A2332" s="15"/>
    </row>
    <row r="2333" spans="1:1">
      <c r="A2333" s="15"/>
    </row>
    <row r="2334" spans="1:1">
      <c r="A2334" s="15"/>
    </row>
    <row r="2335" spans="1:1">
      <c r="A2335" s="15"/>
    </row>
    <row r="2336" spans="1:1">
      <c r="A2336" s="15"/>
    </row>
    <row r="2337" spans="1:1">
      <c r="A2337" s="15"/>
    </row>
    <row r="2338" spans="1:1">
      <c r="A2338" s="15"/>
    </row>
    <row r="2339" spans="1:1">
      <c r="A2339" s="15"/>
    </row>
    <row r="2340" spans="1:1">
      <c r="A2340" s="15"/>
    </row>
    <row r="2341" spans="1:1">
      <c r="A2341" s="15"/>
    </row>
    <row r="2342" spans="1:1">
      <c r="A2342" s="15"/>
    </row>
    <row r="2343" spans="1:1">
      <c r="A2343" s="15"/>
    </row>
    <row r="2344" spans="1:1">
      <c r="A2344" s="15"/>
    </row>
    <row r="2345" spans="1:1">
      <c r="A2345" s="15"/>
    </row>
    <row r="2346" spans="1:1">
      <c r="A2346" s="15"/>
    </row>
    <row r="2347" spans="1:1">
      <c r="A2347" s="15"/>
    </row>
    <row r="2348" spans="1:1">
      <c r="A2348" s="15"/>
    </row>
    <row r="2349" spans="1:1">
      <c r="A2349" s="15"/>
    </row>
    <row r="2350" spans="1:1">
      <c r="A2350" s="15"/>
    </row>
    <row r="2351" spans="1:1">
      <c r="A2351" s="15"/>
    </row>
    <row r="2352" spans="1:1">
      <c r="A2352" s="15"/>
    </row>
    <row r="2353" spans="1:1">
      <c r="A2353" s="15"/>
    </row>
    <row r="2354" spans="1:1">
      <c r="A2354" s="15"/>
    </row>
    <row r="2355" spans="1:1">
      <c r="A2355" s="15"/>
    </row>
    <row r="2356" spans="1:1">
      <c r="A2356" s="15"/>
    </row>
    <row r="2357" spans="1:1">
      <c r="A2357" s="15"/>
    </row>
    <row r="2358" spans="1:1">
      <c r="A2358" s="15"/>
    </row>
    <row r="2359" spans="1:1">
      <c r="A2359" s="15"/>
    </row>
    <row r="2360" spans="1:1">
      <c r="A2360" s="15"/>
    </row>
    <row r="2361" spans="1:1">
      <c r="A2361" s="15"/>
    </row>
    <row r="2362" spans="1:1">
      <c r="A2362" s="15"/>
    </row>
    <row r="2363" spans="1:1">
      <c r="A2363" s="15"/>
    </row>
    <row r="2364" spans="1:1">
      <c r="A2364" s="15"/>
    </row>
    <row r="2365" spans="1:1">
      <c r="A2365" s="15"/>
    </row>
    <row r="2366" spans="1:1">
      <c r="A2366" s="15"/>
    </row>
    <row r="2367" spans="1:1">
      <c r="A2367" s="15"/>
    </row>
    <row r="2368" spans="1:1">
      <c r="A2368" s="15"/>
    </row>
    <row r="2369" spans="1:1">
      <c r="A2369" s="15"/>
    </row>
    <row r="2370" spans="1:1">
      <c r="A2370" s="15"/>
    </row>
    <row r="2371" spans="1:1">
      <c r="A2371" s="15"/>
    </row>
    <row r="2372" spans="1:1">
      <c r="A2372" s="15"/>
    </row>
    <row r="2373" spans="1:1">
      <c r="A2373" s="15"/>
    </row>
    <row r="2374" spans="1:1">
      <c r="A2374" s="15"/>
    </row>
    <row r="2375" spans="1:1">
      <c r="A2375" s="15"/>
    </row>
    <row r="2376" spans="1:1">
      <c r="A2376" s="15"/>
    </row>
    <row r="2377" spans="1:1">
      <c r="A2377" s="15"/>
    </row>
    <row r="2378" spans="1:1">
      <c r="A2378" s="15"/>
    </row>
    <row r="2379" spans="1:1">
      <c r="A2379" s="15"/>
    </row>
    <row r="2380" spans="1:1">
      <c r="A2380" s="15"/>
    </row>
    <row r="2381" spans="1:1">
      <c r="A2381" s="15"/>
    </row>
    <row r="2382" spans="1:1">
      <c r="A2382" s="15"/>
    </row>
    <row r="2383" spans="1:1">
      <c r="A2383" s="15"/>
    </row>
    <row r="2384" spans="1:1">
      <c r="A2384" s="15"/>
    </row>
    <row r="2385" spans="1:1">
      <c r="A2385" s="15"/>
    </row>
    <row r="2386" spans="1:1">
      <c r="A2386" s="15"/>
    </row>
    <row r="2387" spans="1:1">
      <c r="A2387" s="15"/>
    </row>
    <row r="2388" spans="1:1">
      <c r="A2388" s="15"/>
    </row>
    <row r="2389" spans="1:1">
      <c r="A2389" s="15"/>
    </row>
    <row r="2390" spans="1:1">
      <c r="A2390" s="15"/>
    </row>
    <row r="2391" spans="1:1">
      <c r="A2391" s="15"/>
    </row>
    <row r="2392" spans="1:1">
      <c r="A2392" s="15"/>
    </row>
    <row r="2393" spans="1:1">
      <c r="A2393" s="15"/>
    </row>
    <row r="2394" spans="1:1">
      <c r="A2394" s="15"/>
    </row>
    <row r="2395" spans="1:1">
      <c r="A2395" s="15"/>
    </row>
    <row r="2396" spans="1:1">
      <c r="A2396" s="15"/>
    </row>
    <row r="2397" spans="1:1">
      <c r="A2397" s="15"/>
    </row>
    <row r="2398" spans="1:1">
      <c r="A2398" s="15"/>
    </row>
    <row r="2399" spans="1:1">
      <c r="A2399" s="15"/>
    </row>
    <row r="2400" spans="1:1">
      <c r="A2400" s="15"/>
    </row>
    <row r="2401" spans="1:1">
      <c r="A2401" s="15"/>
    </row>
    <row r="2402" spans="1:1">
      <c r="A2402" s="15"/>
    </row>
    <row r="2403" spans="1:1">
      <c r="A2403" s="15"/>
    </row>
    <row r="2404" spans="1:1">
      <c r="A2404" s="15"/>
    </row>
    <row r="2405" spans="1:1">
      <c r="A2405" s="15"/>
    </row>
    <row r="2406" spans="1:1">
      <c r="A2406" s="15"/>
    </row>
    <row r="2407" spans="1:1">
      <c r="A2407" s="15"/>
    </row>
    <row r="2408" spans="1:1">
      <c r="A2408" s="15"/>
    </row>
    <row r="2409" spans="1:1">
      <c r="A2409" s="15"/>
    </row>
    <row r="2410" spans="1:1">
      <c r="A2410" s="15"/>
    </row>
    <row r="2411" spans="1:1">
      <c r="A2411" s="15"/>
    </row>
    <row r="2412" spans="1:1">
      <c r="A2412" s="15"/>
    </row>
    <row r="2413" spans="1:1">
      <c r="A2413" s="15"/>
    </row>
    <row r="2414" spans="1:1">
      <c r="A2414" s="15"/>
    </row>
    <row r="2415" spans="1:1">
      <c r="A2415" s="15"/>
    </row>
    <row r="2416" spans="1:1">
      <c r="A2416" s="15"/>
    </row>
    <row r="2417" spans="1:1">
      <c r="A2417" s="15"/>
    </row>
    <row r="2418" spans="1:1">
      <c r="A2418" s="15"/>
    </row>
    <row r="2419" spans="1:1">
      <c r="A2419" s="15"/>
    </row>
    <row r="2420" spans="1:1">
      <c r="A2420" s="15"/>
    </row>
    <row r="2421" spans="1:1">
      <c r="A2421" s="15"/>
    </row>
    <row r="2422" spans="1:1">
      <c r="A2422" s="15"/>
    </row>
    <row r="2423" spans="1:1">
      <c r="A2423" s="15"/>
    </row>
    <row r="2424" spans="1:1">
      <c r="A2424" s="15"/>
    </row>
    <row r="2425" spans="1:1">
      <c r="A2425" s="15"/>
    </row>
    <row r="2426" spans="1:1">
      <c r="A2426" s="15"/>
    </row>
    <row r="2427" spans="1:1">
      <c r="A2427" s="15"/>
    </row>
    <row r="2428" spans="1:1">
      <c r="A2428" s="15"/>
    </row>
    <row r="2429" spans="1:1">
      <c r="A2429" s="15"/>
    </row>
    <row r="2430" spans="1:1">
      <c r="A2430" s="15"/>
    </row>
    <row r="2431" spans="1:1">
      <c r="A2431" s="15"/>
    </row>
    <row r="2432" spans="1:1">
      <c r="A2432" s="15"/>
    </row>
    <row r="2433" spans="1:1">
      <c r="A2433" s="15"/>
    </row>
    <row r="2434" spans="1:1">
      <c r="A2434" s="15"/>
    </row>
    <row r="2435" spans="1:1">
      <c r="A2435" s="15"/>
    </row>
    <row r="2436" spans="1:1">
      <c r="A2436" s="15"/>
    </row>
    <row r="2437" spans="1:1">
      <c r="A2437" s="15"/>
    </row>
    <row r="2438" spans="1:1">
      <c r="A2438" s="15"/>
    </row>
    <row r="2439" spans="1:1">
      <c r="A2439" s="15"/>
    </row>
    <row r="2440" spans="1:1">
      <c r="A2440" s="15"/>
    </row>
    <row r="2441" spans="1:1">
      <c r="A2441" s="15"/>
    </row>
    <row r="2442" spans="1:1">
      <c r="A2442" s="15"/>
    </row>
    <row r="2443" spans="1:1">
      <c r="A2443" s="15"/>
    </row>
    <row r="2444" spans="1:1">
      <c r="A2444" s="15"/>
    </row>
    <row r="2445" spans="1:1">
      <c r="A2445" s="15"/>
    </row>
    <row r="2446" spans="1:1">
      <c r="A2446" s="15"/>
    </row>
    <row r="2447" spans="1:1">
      <c r="A2447" s="15"/>
    </row>
    <row r="2448" spans="1:1">
      <c r="A2448" s="15"/>
    </row>
    <row r="2449" spans="1:1">
      <c r="A2449" s="15"/>
    </row>
    <row r="2450" spans="1:1">
      <c r="A2450" s="15"/>
    </row>
    <row r="2451" spans="1:1">
      <c r="A2451" s="15"/>
    </row>
    <row r="2452" spans="1:1">
      <c r="A2452" s="15"/>
    </row>
    <row r="2453" spans="1:1">
      <c r="A2453" s="15"/>
    </row>
    <row r="2454" spans="1:1">
      <c r="A2454" s="15"/>
    </row>
    <row r="2455" spans="1:1">
      <c r="A2455" s="15"/>
    </row>
    <row r="2456" spans="1:1">
      <c r="A2456" s="15"/>
    </row>
    <row r="2457" spans="1:1">
      <c r="A2457" s="15"/>
    </row>
    <row r="2458" spans="1:1">
      <c r="A2458" s="15"/>
    </row>
    <row r="2459" spans="1:1">
      <c r="A2459" s="15"/>
    </row>
    <row r="2460" spans="1:1">
      <c r="A2460" s="15"/>
    </row>
    <row r="2461" spans="1:1">
      <c r="A2461" s="15"/>
    </row>
    <row r="2462" spans="1:1">
      <c r="A2462" s="15"/>
    </row>
    <row r="2463" spans="1:1">
      <c r="A2463" s="15"/>
    </row>
    <row r="2464" spans="1:1">
      <c r="A2464" s="15"/>
    </row>
    <row r="2465" spans="1:1">
      <c r="A2465" s="15"/>
    </row>
    <row r="2466" spans="1:1">
      <c r="A2466" s="15"/>
    </row>
    <row r="2467" spans="1:1">
      <c r="A2467" s="15"/>
    </row>
    <row r="2468" spans="1:1">
      <c r="A2468" s="15"/>
    </row>
    <row r="2469" spans="1:1">
      <c r="A2469" s="15"/>
    </row>
    <row r="2470" spans="1:1">
      <c r="A2470" s="15"/>
    </row>
    <row r="2471" spans="1:1">
      <c r="A2471" s="15"/>
    </row>
    <row r="2472" spans="1:1">
      <c r="A2472" s="15"/>
    </row>
    <row r="2473" spans="1:1">
      <c r="A2473" s="15"/>
    </row>
    <row r="2474" spans="1:1">
      <c r="A2474" s="15"/>
    </row>
    <row r="2475" spans="1:1">
      <c r="A2475" s="15"/>
    </row>
    <row r="2476" spans="1:1">
      <c r="A2476" s="15"/>
    </row>
    <row r="2477" spans="1:1">
      <c r="A2477" s="15"/>
    </row>
    <row r="2478" spans="1:1">
      <c r="A2478" s="15"/>
    </row>
    <row r="2479" spans="1:1">
      <c r="A2479" s="15"/>
    </row>
    <row r="2480" spans="1:1">
      <c r="A2480" s="15"/>
    </row>
    <row r="2481" spans="1:1">
      <c r="A2481" s="15"/>
    </row>
    <row r="2482" spans="1:1">
      <c r="A2482" s="15"/>
    </row>
    <row r="2483" spans="1:1">
      <c r="A2483" s="15"/>
    </row>
    <row r="2484" spans="1:1">
      <c r="A2484" s="15"/>
    </row>
    <row r="2485" spans="1:1">
      <c r="A2485" s="15"/>
    </row>
    <row r="2486" spans="1:1">
      <c r="A2486" s="15"/>
    </row>
    <row r="2487" spans="1:1">
      <c r="A2487" s="15"/>
    </row>
    <row r="2488" spans="1:1">
      <c r="A2488" s="15"/>
    </row>
    <row r="2489" spans="1:1">
      <c r="A2489" s="15"/>
    </row>
    <row r="2490" spans="1:1">
      <c r="A2490" s="15"/>
    </row>
    <row r="2491" spans="1:1">
      <c r="A2491" s="15"/>
    </row>
    <row r="2492" spans="1:1">
      <c r="A2492" s="15"/>
    </row>
    <row r="2493" spans="1:1">
      <c r="A2493" s="15"/>
    </row>
    <row r="2494" spans="1:1">
      <c r="A2494" s="15"/>
    </row>
    <row r="2495" spans="1:1">
      <c r="A2495" s="15"/>
    </row>
    <row r="2496" spans="1:1">
      <c r="A2496" s="15"/>
    </row>
    <row r="2497" spans="1:1">
      <c r="A2497" s="15"/>
    </row>
    <row r="2498" spans="1:1">
      <c r="A2498" s="15"/>
    </row>
    <row r="2499" spans="1:1">
      <c r="A2499" s="15"/>
    </row>
    <row r="2500" spans="1:1">
      <c r="A2500" s="15"/>
    </row>
    <row r="2501" spans="1:1">
      <c r="A2501" s="15"/>
    </row>
    <row r="2502" spans="1:1">
      <c r="A2502" s="15"/>
    </row>
    <row r="2503" spans="1:1">
      <c r="A2503" s="15"/>
    </row>
    <row r="2504" spans="1:1">
      <c r="A2504" s="15"/>
    </row>
    <row r="2505" spans="1:1">
      <c r="A2505" s="15"/>
    </row>
    <row r="2506" spans="1:1">
      <c r="A2506" s="15"/>
    </row>
    <row r="2507" spans="1:1">
      <c r="A2507" s="15"/>
    </row>
    <row r="2508" spans="1:1">
      <c r="A2508" s="15"/>
    </row>
    <row r="2509" spans="1:1">
      <c r="A2509" s="15"/>
    </row>
    <row r="2510" spans="1:1">
      <c r="A2510" s="15"/>
    </row>
    <row r="2511" spans="1:1">
      <c r="A2511" s="15"/>
    </row>
    <row r="2512" spans="1:1">
      <c r="A2512" s="15"/>
    </row>
    <row r="2513" spans="1:1">
      <c r="A2513" s="15"/>
    </row>
    <row r="2514" spans="1:1">
      <c r="A2514" s="15"/>
    </row>
    <row r="2515" spans="1:1">
      <c r="A2515" s="15"/>
    </row>
    <row r="2516" spans="1:1">
      <c r="A2516" s="15"/>
    </row>
    <row r="2517" spans="1:1">
      <c r="A2517" s="15"/>
    </row>
    <row r="2518" spans="1:1">
      <c r="A2518" s="15"/>
    </row>
    <row r="2519" spans="1:1">
      <c r="A2519" s="15"/>
    </row>
    <row r="2520" spans="1:1">
      <c r="A2520" s="15"/>
    </row>
    <row r="2521" spans="1:1">
      <c r="A2521" s="15"/>
    </row>
    <row r="2522" spans="1:1">
      <c r="A2522" s="15"/>
    </row>
    <row r="2523" spans="1:1">
      <c r="A2523" s="15"/>
    </row>
    <row r="2524" spans="1:1">
      <c r="A2524" s="15"/>
    </row>
    <row r="2525" spans="1:1">
      <c r="A2525" s="15"/>
    </row>
    <row r="2526" spans="1:1">
      <c r="A2526" s="15"/>
    </row>
    <row r="2527" spans="1:1">
      <c r="A2527" s="15"/>
    </row>
    <row r="2528" spans="1:1">
      <c r="A2528" s="15"/>
    </row>
    <row r="2529" spans="1:1">
      <c r="A2529" s="15"/>
    </row>
    <row r="2530" spans="1:1">
      <c r="A2530" s="15"/>
    </row>
    <row r="2531" spans="1:1">
      <c r="A2531" s="15"/>
    </row>
    <row r="2532" spans="1:1">
      <c r="A2532" s="15"/>
    </row>
    <row r="2533" spans="1:1">
      <c r="A2533" s="15"/>
    </row>
    <row r="2534" spans="1:1">
      <c r="A2534" s="15"/>
    </row>
    <row r="2535" spans="1:1">
      <c r="A2535" s="15"/>
    </row>
    <row r="2536" spans="1:1">
      <c r="A2536" s="15"/>
    </row>
    <row r="2537" spans="1:1">
      <c r="A2537" s="15"/>
    </row>
    <row r="2538" spans="1:1">
      <c r="A2538" s="15"/>
    </row>
    <row r="2539" spans="1:1">
      <c r="A2539" s="15"/>
    </row>
    <row r="2540" spans="1:1">
      <c r="A2540" s="15"/>
    </row>
    <row r="2541" spans="1:1">
      <c r="A2541" s="15"/>
    </row>
    <row r="2542" spans="1:1">
      <c r="A2542" s="15"/>
    </row>
    <row r="2543" spans="1:1">
      <c r="A2543" s="15"/>
    </row>
    <row r="2544" spans="1:1">
      <c r="A2544" s="15"/>
    </row>
    <row r="2545" spans="1:1">
      <c r="A2545" s="15"/>
    </row>
    <row r="2546" spans="1:1">
      <c r="A2546" s="15"/>
    </row>
    <row r="2547" spans="1:1">
      <c r="A2547" s="15"/>
    </row>
    <row r="2548" spans="1:1">
      <c r="A2548" s="15"/>
    </row>
    <row r="2549" spans="1:1">
      <c r="A2549" s="15"/>
    </row>
    <row r="2550" spans="1:1">
      <c r="A2550" s="15"/>
    </row>
    <row r="2551" spans="1:1">
      <c r="A2551" s="15"/>
    </row>
    <row r="2552" spans="1:1">
      <c r="A2552" s="15"/>
    </row>
    <row r="2553" spans="1:1">
      <c r="A2553" s="15"/>
    </row>
    <row r="2554" spans="1:1">
      <c r="A2554" s="15"/>
    </row>
    <row r="2555" spans="1:1">
      <c r="A2555" s="15"/>
    </row>
    <row r="2556" spans="1:1">
      <c r="A2556" s="15"/>
    </row>
    <row r="2557" spans="1:1">
      <c r="A2557" s="15"/>
    </row>
    <row r="2558" spans="1:1">
      <c r="A2558" s="15"/>
    </row>
    <row r="2559" spans="1:1">
      <c r="A2559" s="15"/>
    </row>
    <row r="2560" spans="1:1">
      <c r="A2560" s="15"/>
    </row>
    <row r="2561" spans="1:1">
      <c r="A2561" s="15"/>
    </row>
    <row r="2562" spans="1:1">
      <c r="A2562" s="15"/>
    </row>
    <row r="2563" spans="1:1">
      <c r="A2563" s="15"/>
    </row>
    <row r="2564" spans="1:1">
      <c r="A2564" s="15"/>
    </row>
    <row r="2565" spans="1:1">
      <c r="A2565" s="15"/>
    </row>
    <row r="2566" spans="1:1">
      <c r="A2566" s="15"/>
    </row>
    <row r="2567" spans="1:1">
      <c r="A2567" s="15"/>
    </row>
    <row r="2568" spans="1:1">
      <c r="A2568" s="15"/>
    </row>
    <row r="2569" spans="1:1">
      <c r="A2569" s="15"/>
    </row>
    <row r="2570" spans="1:1">
      <c r="A2570" s="15"/>
    </row>
    <row r="2571" spans="1:1">
      <c r="A2571" s="15"/>
    </row>
    <row r="2572" spans="1:1">
      <c r="A2572" s="15"/>
    </row>
    <row r="2573" spans="1:1">
      <c r="A2573" s="15"/>
    </row>
    <row r="2574" spans="1:1">
      <c r="A2574" s="15"/>
    </row>
    <row r="2575" spans="1:1">
      <c r="A2575" s="15"/>
    </row>
    <row r="2576" spans="1:1">
      <c r="A2576" s="15"/>
    </row>
    <row r="2577" spans="1:1">
      <c r="A2577" s="15"/>
    </row>
    <row r="2578" spans="1:1">
      <c r="A2578" s="15"/>
    </row>
    <row r="2579" spans="1:1">
      <c r="A2579" s="15"/>
    </row>
    <row r="2580" spans="1:1">
      <c r="A2580" s="15"/>
    </row>
    <row r="2581" spans="1:1">
      <c r="A2581" s="15"/>
    </row>
    <row r="2582" spans="1:1">
      <c r="A2582" s="15"/>
    </row>
    <row r="2583" spans="1:1">
      <c r="A2583" s="15"/>
    </row>
    <row r="2584" spans="1:1">
      <c r="A2584" s="15"/>
    </row>
    <row r="2585" spans="1:1">
      <c r="A2585" s="15"/>
    </row>
    <row r="2586" spans="1:1">
      <c r="A2586" s="15"/>
    </row>
    <row r="2587" spans="1:1">
      <c r="A2587" s="15"/>
    </row>
    <row r="2588" spans="1:1">
      <c r="A2588" s="15"/>
    </row>
    <row r="2589" spans="1:1">
      <c r="A2589" s="15"/>
    </row>
    <row r="2590" spans="1:1">
      <c r="A2590" s="15"/>
    </row>
    <row r="2591" spans="1:1">
      <c r="A2591" s="15"/>
    </row>
    <row r="2592" spans="1:1">
      <c r="A2592" s="15"/>
    </row>
    <row r="2593" spans="1:1">
      <c r="A2593" s="15"/>
    </row>
    <row r="2594" spans="1:1">
      <c r="A2594" s="15"/>
    </row>
    <row r="2595" spans="1:1">
      <c r="A2595" s="15"/>
    </row>
    <row r="2596" spans="1:1">
      <c r="A2596" s="15"/>
    </row>
    <row r="2597" spans="1:1">
      <c r="A2597" s="15"/>
    </row>
    <row r="2598" spans="1:1">
      <c r="A2598" s="15"/>
    </row>
    <row r="2599" spans="1:1">
      <c r="A2599" s="15"/>
    </row>
    <row r="2600" spans="1:1">
      <c r="A2600" s="15"/>
    </row>
    <row r="2601" spans="1:1">
      <c r="A2601" s="15"/>
    </row>
    <row r="2602" spans="1:1">
      <c r="A2602" s="15"/>
    </row>
    <row r="2603" spans="1:1">
      <c r="A2603" s="15"/>
    </row>
    <row r="2604" spans="1:1">
      <c r="A2604" s="15"/>
    </row>
    <row r="2605" spans="1:1">
      <c r="A2605" s="15"/>
    </row>
    <row r="2606" spans="1:1">
      <c r="A2606" s="15"/>
    </row>
    <row r="2607" spans="1:1">
      <c r="A2607" s="15"/>
    </row>
    <row r="2608" spans="1:1">
      <c r="A2608" s="15"/>
    </row>
    <row r="2609" spans="1:1">
      <c r="A2609" s="15"/>
    </row>
    <row r="2610" spans="1:1">
      <c r="A2610" s="15"/>
    </row>
    <row r="2611" spans="1:1">
      <c r="A2611" s="15"/>
    </row>
    <row r="2612" spans="1:1">
      <c r="A2612" s="15"/>
    </row>
    <row r="2613" spans="1:1">
      <c r="A2613" s="15"/>
    </row>
    <row r="2614" spans="1:1">
      <c r="A2614" s="15"/>
    </row>
    <row r="2615" spans="1:1">
      <c r="A2615" s="15"/>
    </row>
    <row r="2616" spans="1:1">
      <c r="A2616" s="15"/>
    </row>
    <row r="2617" spans="1:1">
      <c r="A2617" s="15"/>
    </row>
    <row r="2618" spans="1:1">
      <c r="A2618" s="15"/>
    </row>
    <row r="2619" spans="1:1">
      <c r="A2619" s="15"/>
    </row>
    <row r="2620" spans="1:1">
      <c r="A2620" s="15"/>
    </row>
    <row r="2621" spans="1:1">
      <c r="A2621" s="15"/>
    </row>
    <row r="2622" spans="1:1">
      <c r="A2622" s="15"/>
    </row>
    <row r="2623" spans="1:1">
      <c r="A2623" s="15"/>
    </row>
    <row r="2624" spans="1:1">
      <c r="A2624" s="15"/>
    </row>
    <row r="2625" spans="1:1">
      <c r="A2625" s="15"/>
    </row>
    <row r="2626" spans="1:1">
      <c r="A2626" s="15"/>
    </row>
    <row r="2627" spans="1:1">
      <c r="A2627" s="15"/>
    </row>
    <row r="2628" spans="1:1">
      <c r="A2628" s="15"/>
    </row>
    <row r="2629" spans="1:1">
      <c r="A2629" s="15"/>
    </row>
    <row r="2630" spans="1:1">
      <c r="A2630" s="15"/>
    </row>
    <row r="2631" spans="1:1">
      <c r="A2631" s="15"/>
    </row>
    <row r="2632" spans="1:1">
      <c r="A2632" s="15"/>
    </row>
    <row r="2633" spans="1:1">
      <c r="A2633" s="15"/>
    </row>
    <row r="2634" spans="1:1">
      <c r="A2634" s="15"/>
    </row>
    <row r="2635" spans="1:1">
      <c r="A2635" s="15"/>
    </row>
    <row r="2636" spans="1:1">
      <c r="A2636" s="15"/>
    </row>
    <row r="2637" spans="1:1">
      <c r="A2637" s="15"/>
    </row>
    <row r="2638" spans="1:1">
      <c r="A2638" s="15"/>
    </row>
    <row r="2639" spans="1:1">
      <c r="A2639" s="15"/>
    </row>
    <row r="2640" spans="1:1">
      <c r="A2640" s="15"/>
    </row>
    <row r="2641" spans="1:1">
      <c r="A2641" s="15"/>
    </row>
    <row r="2642" spans="1:1">
      <c r="A2642" s="15"/>
    </row>
    <row r="2643" spans="1:1">
      <c r="A2643" s="15"/>
    </row>
    <row r="2644" spans="1:1">
      <c r="A2644" s="15"/>
    </row>
    <row r="2645" spans="1:1">
      <c r="A2645" s="15"/>
    </row>
    <row r="2646" spans="1:1">
      <c r="A2646" s="15"/>
    </row>
    <row r="2647" spans="1:1">
      <c r="A2647" s="15"/>
    </row>
    <row r="2648" spans="1:1">
      <c r="A2648" s="15"/>
    </row>
    <row r="2649" spans="1:1">
      <c r="A2649" s="15"/>
    </row>
    <row r="2650" spans="1:1">
      <c r="A2650" s="15"/>
    </row>
    <row r="2651" spans="1:1">
      <c r="A2651" s="15"/>
    </row>
    <row r="2652" spans="1:1">
      <c r="A2652" s="15"/>
    </row>
    <row r="2653" spans="1:1">
      <c r="A2653" s="15"/>
    </row>
    <row r="2654" spans="1:1">
      <c r="A2654" s="15"/>
    </row>
    <row r="2655" spans="1:1">
      <c r="A2655" s="15"/>
    </row>
    <row r="2656" spans="1:1">
      <c r="A2656" s="15"/>
    </row>
    <row r="2657" spans="1:1">
      <c r="A2657" s="15"/>
    </row>
    <row r="2658" spans="1:1">
      <c r="A2658" s="15"/>
    </row>
    <row r="2659" spans="1:1">
      <c r="A2659" s="15"/>
    </row>
    <row r="2660" spans="1:1">
      <c r="A2660" s="15"/>
    </row>
    <row r="2661" spans="1:1">
      <c r="A2661" s="15"/>
    </row>
    <row r="2662" spans="1:1">
      <c r="A2662" s="15"/>
    </row>
    <row r="2663" spans="1:1">
      <c r="A2663" s="15"/>
    </row>
    <row r="2664" spans="1:1">
      <c r="A2664" s="15"/>
    </row>
    <row r="2665" spans="1:1">
      <c r="A2665" s="15"/>
    </row>
    <row r="2666" spans="1:1">
      <c r="A2666" s="15"/>
    </row>
    <row r="2667" spans="1:1">
      <c r="A2667" s="15"/>
    </row>
    <row r="2668" spans="1:1">
      <c r="A2668" s="15"/>
    </row>
    <row r="2669" spans="1:1">
      <c r="A2669" s="15"/>
    </row>
    <row r="2670" spans="1:1">
      <c r="A2670" s="15"/>
    </row>
    <row r="2671" spans="1:1">
      <c r="A2671" s="15"/>
    </row>
    <row r="2672" spans="1:1">
      <c r="A2672" s="15"/>
    </row>
    <row r="2673" spans="1:1">
      <c r="A2673" s="15"/>
    </row>
    <row r="2674" spans="1:1">
      <c r="A2674" s="15"/>
    </row>
    <row r="2675" spans="1:1">
      <c r="A2675" s="15"/>
    </row>
    <row r="2676" spans="1:1">
      <c r="A2676" s="15"/>
    </row>
    <row r="2677" spans="1:1">
      <c r="A2677" s="15"/>
    </row>
    <row r="2678" spans="1:1">
      <c r="A2678" s="15"/>
    </row>
    <row r="2679" spans="1:1">
      <c r="A2679" s="15"/>
    </row>
    <row r="2680" spans="1:1">
      <c r="A2680" s="15"/>
    </row>
    <row r="2681" spans="1:1">
      <c r="A2681" s="15"/>
    </row>
    <row r="2682" spans="1:1">
      <c r="A2682" s="15"/>
    </row>
    <row r="2683" spans="1:1">
      <c r="A2683" s="15"/>
    </row>
    <row r="2684" spans="1:1">
      <c r="A2684" s="15"/>
    </row>
    <row r="2685" spans="1:1">
      <c r="A2685" s="15"/>
    </row>
    <row r="2686" spans="1:1">
      <c r="A2686" s="15"/>
    </row>
    <row r="2687" spans="1:1">
      <c r="A2687" s="15"/>
    </row>
    <row r="2688" spans="1:1">
      <c r="A2688" s="15"/>
    </row>
    <row r="2689" spans="1:1">
      <c r="A2689" s="15"/>
    </row>
    <row r="2690" spans="1:1">
      <c r="A2690" s="15"/>
    </row>
    <row r="2691" spans="1:1">
      <c r="A2691" s="15"/>
    </row>
    <row r="2692" spans="1:1">
      <c r="A2692" s="15"/>
    </row>
    <row r="2693" spans="1:1">
      <c r="A2693" s="15"/>
    </row>
    <row r="2694" spans="1:1">
      <c r="A2694" s="15"/>
    </row>
    <row r="2695" spans="1:1">
      <c r="A2695" s="15"/>
    </row>
    <row r="2696" spans="1:1">
      <c r="A2696" s="15"/>
    </row>
    <row r="2697" spans="1:1">
      <c r="A2697" s="15"/>
    </row>
    <row r="2698" spans="1:1">
      <c r="A2698" s="15"/>
    </row>
    <row r="2699" spans="1:1">
      <c r="A2699" s="15"/>
    </row>
    <row r="2700" spans="1:1">
      <c r="A2700" s="15"/>
    </row>
    <row r="2701" spans="1:1">
      <c r="A2701" s="15"/>
    </row>
    <row r="2702" spans="1:1">
      <c r="A2702" s="15"/>
    </row>
    <row r="2703" spans="1:1">
      <c r="A2703" s="15"/>
    </row>
    <row r="2704" spans="1:1">
      <c r="A2704" s="15"/>
    </row>
    <row r="2705" spans="1:1">
      <c r="A2705" s="15"/>
    </row>
    <row r="2706" spans="1:1">
      <c r="A2706" s="15"/>
    </row>
    <row r="2707" spans="1:1">
      <c r="A2707" s="15"/>
    </row>
    <row r="2708" spans="1:1">
      <c r="A2708" s="15"/>
    </row>
    <row r="2709" spans="1:1">
      <c r="A2709" s="15"/>
    </row>
    <row r="2710" spans="1:1">
      <c r="A2710" s="15"/>
    </row>
    <row r="2711" spans="1:1">
      <c r="A2711" s="15"/>
    </row>
    <row r="2712" spans="1:1">
      <c r="A2712" s="15"/>
    </row>
    <row r="2713" spans="1:1">
      <c r="A2713" s="15"/>
    </row>
    <row r="2714" spans="1:1">
      <c r="A2714" s="15"/>
    </row>
    <row r="2715" spans="1:1">
      <c r="A2715" s="15"/>
    </row>
    <row r="2716" spans="1:1">
      <c r="A2716" s="15"/>
    </row>
    <row r="2717" spans="1:1">
      <c r="A2717" s="15"/>
    </row>
    <row r="2718" spans="1:1">
      <c r="A2718" s="15"/>
    </row>
    <row r="2719" spans="1:1">
      <c r="A2719" s="15"/>
    </row>
    <row r="2720" spans="1:1">
      <c r="A2720" s="15"/>
    </row>
    <row r="2721" spans="1:1">
      <c r="A2721" s="15"/>
    </row>
    <row r="2722" spans="1:1">
      <c r="A2722" s="15"/>
    </row>
    <row r="2723" spans="1:1">
      <c r="A2723" s="15"/>
    </row>
    <row r="2724" spans="1:1">
      <c r="A2724" s="15"/>
    </row>
    <row r="2725" spans="1:1">
      <c r="A2725" s="15"/>
    </row>
    <row r="2726" spans="1:1">
      <c r="A2726" s="15"/>
    </row>
    <row r="2727" spans="1:1">
      <c r="A2727" s="15"/>
    </row>
    <row r="2728" spans="1:1">
      <c r="A2728" s="15"/>
    </row>
    <row r="2729" spans="1:1">
      <c r="A2729" s="15"/>
    </row>
    <row r="2730" spans="1:1">
      <c r="A2730" s="15"/>
    </row>
    <row r="2731" spans="1:1">
      <c r="A2731" s="15"/>
    </row>
    <row r="2732" spans="1:1">
      <c r="A2732" s="15"/>
    </row>
    <row r="2733" spans="1:1">
      <c r="A2733" s="15"/>
    </row>
    <row r="2734" spans="1:1">
      <c r="A2734" s="15"/>
    </row>
    <row r="2735" spans="1:1">
      <c r="A2735" s="15"/>
    </row>
    <row r="2736" spans="1:1">
      <c r="A2736" s="15"/>
    </row>
    <row r="2737" spans="1:1">
      <c r="A2737" s="15"/>
    </row>
    <row r="2738" spans="1:1">
      <c r="A2738" s="15"/>
    </row>
    <row r="2739" spans="1:1">
      <c r="A2739" s="15"/>
    </row>
    <row r="2740" spans="1:1">
      <c r="A2740" s="15"/>
    </row>
    <row r="2741" spans="1:1">
      <c r="A2741" s="15"/>
    </row>
    <row r="2742" spans="1:1">
      <c r="A2742" s="15"/>
    </row>
    <row r="2743" spans="1:1">
      <c r="A2743" s="15"/>
    </row>
    <row r="2744" spans="1:1">
      <c r="A2744" s="15"/>
    </row>
    <row r="2745" spans="1:1">
      <c r="A2745" s="15"/>
    </row>
    <row r="2746" spans="1:1">
      <c r="A2746" s="15"/>
    </row>
    <row r="2747" spans="1:1">
      <c r="A2747" s="15"/>
    </row>
    <row r="2748" spans="1:1">
      <c r="A2748" s="15"/>
    </row>
    <row r="2749" spans="1:1">
      <c r="A2749" s="15"/>
    </row>
    <row r="2750" spans="1:1">
      <c r="A2750" s="15"/>
    </row>
    <row r="2751" spans="1:1">
      <c r="A2751" s="15"/>
    </row>
    <row r="2752" spans="1:1">
      <c r="A2752" s="15"/>
    </row>
    <row r="2753" spans="1:1">
      <c r="A2753" s="15"/>
    </row>
    <row r="2754" spans="1:1">
      <c r="A2754" s="15"/>
    </row>
    <row r="2755" spans="1:1">
      <c r="A2755" s="15"/>
    </row>
    <row r="2756" spans="1:1">
      <c r="A2756" s="15"/>
    </row>
    <row r="2757" spans="1:1">
      <c r="A2757" s="15"/>
    </row>
    <row r="2758" spans="1:1">
      <c r="A2758" s="15"/>
    </row>
    <row r="2759" spans="1:1">
      <c r="A2759" s="15"/>
    </row>
    <row r="2760" spans="1:1">
      <c r="A2760" s="15"/>
    </row>
    <row r="2761" spans="1:1">
      <c r="A2761" s="15"/>
    </row>
    <row r="2762" spans="1:1">
      <c r="A2762" s="15"/>
    </row>
    <row r="2763" spans="1:1">
      <c r="A2763" s="15"/>
    </row>
    <row r="2764" spans="1:1">
      <c r="A2764" s="15"/>
    </row>
    <row r="2765" spans="1:1">
      <c r="A2765" s="15"/>
    </row>
    <row r="2766" spans="1:1">
      <c r="A2766" s="15"/>
    </row>
    <row r="2767" spans="1:1">
      <c r="A2767" s="15"/>
    </row>
    <row r="2768" spans="1:1">
      <c r="A2768" s="15"/>
    </row>
    <row r="2769" spans="1:1">
      <c r="A2769" s="15"/>
    </row>
    <row r="2770" spans="1:1">
      <c r="A2770" s="15"/>
    </row>
    <row r="2771" spans="1:1">
      <c r="A2771" s="15"/>
    </row>
    <row r="2772" spans="1:1">
      <c r="A2772" s="15"/>
    </row>
    <row r="2773" spans="1:1">
      <c r="A2773" s="15"/>
    </row>
    <row r="2774" spans="1:1">
      <c r="A2774" s="15"/>
    </row>
    <row r="2775" spans="1:1">
      <c r="A2775" s="15"/>
    </row>
    <row r="2776" spans="1:1">
      <c r="A2776" s="15"/>
    </row>
    <row r="2777" spans="1:1">
      <c r="A2777" s="15"/>
    </row>
    <row r="2778" spans="1:1">
      <c r="A2778" s="15"/>
    </row>
    <row r="2779" spans="1:1">
      <c r="A2779" s="15"/>
    </row>
    <row r="2780" spans="1:1">
      <c r="A2780" s="15"/>
    </row>
    <row r="2781" spans="1:1">
      <c r="A2781" s="15"/>
    </row>
    <row r="2782" spans="1:1">
      <c r="A2782" s="15"/>
    </row>
    <row r="2783" spans="1:1">
      <c r="A2783" s="15"/>
    </row>
    <row r="2784" spans="1:1">
      <c r="A2784" s="15"/>
    </row>
    <row r="2785" spans="1:1">
      <c r="A2785" s="15"/>
    </row>
    <row r="2786" spans="1:1">
      <c r="A2786" s="15"/>
    </row>
    <row r="2787" spans="1:1">
      <c r="A2787" s="15"/>
    </row>
    <row r="2788" spans="1:1">
      <c r="A2788" s="15"/>
    </row>
    <row r="2789" spans="1:1">
      <c r="A2789" s="15"/>
    </row>
    <row r="2790" spans="1:1">
      <c r="A2790" s="15"/>
    </row>
    <row r="2791" spans="1:1">
      <c r="A2791" s="15"/>
    </row>
    <row r="2792" spans="1:1">
      <c r="A2792" s="15"/>
    </row>
    <row r="2793" spans="1:1">
      <c r="A2793" s="15"/>
    </row>
    <row r="2794" spans="1:1">
      <c r="A2794" s="15"/>
    </row>
    <row r="2795" spans="1:1">
      <c r="A2795" s="15"/>
    </row>
    <row r="2796" spans="1:1">
      <c r="A2796" s="15"/>
    </row>
    <row r="2797" spans="1:1">
      <c r="A2797" s="15"/>
    </row>
    <row r="2798" spans="1:1">
      <c r="A2798" s="15"/>
    </row>
    <row r="2799" spans="1:1">
      <c r="A2799" s="15"/>
    </row>
    <row r="2800" spans="1:1">
      <c r="A2800" s="15"/>
    </row>
    <row r="2801" spans="1:1">
      <c r="A2801" s="15"/>
    </row>
    <row r="2802" spans="1:1">
      <c r="A2802" s="15"/>
    </row>
    <row r="2803" spans="1:1">
      <c r="A2803" s="15"/>
    </row>
    <row r="2804" spans="1:1">
      <c r="A2804" s="15"/>
    </row>
    <row r="2805" spans="1:1">
      <c r="A2805" s="15"/>
    </row>
    <row r="2806" spans="1:1">
      <c r="A2806" s="15"/>
    </row>
    <row r="2807" spans="1:1">
      <c r="A2807" s="15"/>
    </row>
    <row r="2808" spans="1:1">
      <c r="A2808" s="15"/>
    </row>
    <row r="2809" spans="1:1">
      <c r="A2809" s="15"/>
    </row>
    <row r="2810" spans="1:1">
      <c r="A2810" s="15"/>
    </row>
    <row r="2811" spans="1:1">
      <c r="A2811" s="15"/>
    </row>
    <row r="2812" spans="1:1">
      <c r="A2812" s="15"/>
    </row>
    <row r="2813" spans="1:1">
      <c r="A2813" s="15"/>
    </row>
    <row r="2814" spans="1:1">
      <c r="A2814" s="15"/>
    </row>
    <row r="2815" spans="1:1">
      <c r="A2815" s="15"/>
    </row>
    <row r="2816" spans="1:1">
      <c r="A2816" s="15"/>
    </row>
    <row r="2817" spans="1:1">
      <c r="A2817" s="15"/>
    </row>
    <row r="2818" spans="1:1">
      <c r="A2818" s="15"/>
    </row>
    <row r="2819" spans="1:1">
      <c r="A2819" s="15"/>
    </row>
    <row r="2820" spans="1:1">
      <c r="A2820" s="15"/>
    </row>
    <row r="2821" spans="1:1">
      <c r="A2821" s="15"/>
    </row>
    <row r="2822" spans="1:1">
      <c r="A2822" s="15"/>
    </row>
    <row r="2823" spans="1:1">
      <c r="A2823" s="15"/>
    </row>
    <row r="2824" spans="1:1">
      <c r="A2824" s="15"/>
    </row>
    <row r="2825" spans="1:1">
      <c r="A2825" s="15"/>
    </row>
    <row r="2826" spans="1:1">
      <c r="A2826" s="15"/>
    </row>
    <row r="2827" spans="1:1">
      <c r="A2827" s="15"/>
    </row>
    <row r="2828" spans="1:1">
      <c r="A2828" s="15"/>
    </row>
    <row r="2829" spans="1:1">
      <c r="A2829" s="15"/>
    </row>
    <row r="2830" spans="1:1">
      <c r="A2830" s="15"/>
    </row>
    <row r="2831" spans="1:1">
      <c r="A2831" s="15"/>
    </row>
    <row r="2832" spans="1:1">
      <c r="A2832" s="15"/>
    </row>
    <row r="2833" spans="1:1">
      <c r="A2833" s="15"/>
    </row>
    <row r="2834" spans="1:1">
      <c r="A2834" s="15"/>
    </row>
    <row r="2835" spans="1:1">
      <c r="A2835" s="15"/>
    </row>
    <row r="2836" spans="1:1">
      <c r="A2836" s="15"/>
    </row>
    <row r="2837" spans="1:1">
      <c r="A2837" s="15"/>
    </row>
    <row r="2838" spans="1:1">
      <c r="A2838" s="15"/>
    </row>
    <row r="2839" spans="1:1">
      <c r="A2839" s="15"/>
    </row>
    <row r="2840" spans="1:1">
      <c r="A2840" s="15"/>
    </row>
    <row r="2841" spans="1:1">
      <c r="A2841" s="15"/>
    </row>
    <row r="2842" spans="1:1">
      <c r="A2842" s="15"/>
    </row>
    <row r="2843" spans="1:1">
      <c r="A2843" s="15"/>
    </row>
    <row r="2844" spans="1:1">
      <c r="A2844" s="15"/>
    </row>
    <row r="2845" spans="1:1">
      <c r="A2845" s="15"/>
    </row>
    <row r="2846" spans="1:1">
      <c r="A2846" s="15"/>
    </row>
    <row r="2847" spans="1:1">
      <c r="A2847" s="15"/>
    </row>
    <row r="2848" spans="1:1">
      <c r="A2848" s="15"/>
    </row>
    <row r="2849" spans="1:1">
      <c r="A2849" s="15"/>
    </row>
    <row r="2850" spans="1:1">
      <c r="A2850" s="15"/>
    </row>
    <row r="2851" spans="1:1">
      <c r="A2851" s="15"/>
    </row>
    <row r="2852" spans="1:1">
      <c r="A2852" s="15"/>
    </row>
    <row r="2853" spans="1:1">
      <c r="A2853" s="15"/>
    </row>
    <row r="2854" spans="1:1">
      <c r="A2854" s="15"/>
    </row>
    <row r="2855" spans="1:1">
      <c r="A2855" s="15"/>
    </row>
    <row r="2856" spans="1:1">
      <c r="A2856" s="15"/>
    </row>
    <row r="2857" spans="1:1">
      <c r="A2857" s="15"/>
    </row>
    <row r="2858" spans="1:1">
      <c r="A2858" s="15"/>
    </row>
    <row r="2859" spans="1:1">
      <c r="A2859" s="15"/>
    </row>
    <row r="2860" spans="1:1">
      <c r="A2860" s="15"/>
    </row>
    <row r="2861" spans="1:1">
      <c r="A2861" s="15"/>
    </row>
    <row r="2862" spans="1:1">
      <c r="A2862" s="15"/>
    </row>
    <row r="2863" spans="1:1">
      <c r="A2863" s="15"/>
    </row>
    <row r="2864" spans="1:1">
      <c r="A2864" s="15"/>
    </row>
    <row r="2865" spans="1:1">
      <c r="A2865" s="15"/>
    </row>
    <row r="2866" spans="1:1">
      <c r="A2866" s="15"/>
    </row>
    <row r="2867" spans="1:1">
      <c r="A2867" s="15"/>
    </row>
    <row r="2868" spans="1:1">
      <c r="A2868" s="15"/>
    </row>
    <row r="2869" spans="1:1">
      <c r="A2869" s="15"/>
    </row>
    <row r="2870" spans="1:1">
      <c r="A2870" s="15"/>
    </row>
    <row r="2871" spans="1:1">
      <c r="A2871" s="15"/>
    </row>
    <row r="2872" spans="1:1">
      <c r="A2872" s="15"/>
    </row>
    <row r="2873" spans="1:1">
      <c r="A2873" s="15"/>
    </row>
    <row r="2874" spans="1:1">
      <c r="A2874" s="15"/>
    </row>
    <row r="2875" spans="1:1">
      <c r="A2875" s="15"/>
    </row>
    <row r="2876" spans="1:1">
      <c r="A2876" s="15"/>
    </row>
    <row r="2877" spans="1:1">
      <c r="A2877" s="15"/>
    </row>
    <row r="2878" spans="1:1">
      <c r="A2878" s="15"/>
    </row>
    <row r="2879" spans="1:1">
      <c r="A2879" s="15"/>
    </row>
    <row r="2880" spans="1:1">
      <c r="A2880" s="15"/>
    </row>
    <row r="2881" spans="1:1">
      <c r="A2881" s="15"/>
    </row>
    <row r="2882" spans="1:1">
      <c r="A2882" s="15"/>
    </row>
    <row r="2883" spans="1:1">
      <c r="A2883" s="15"/>
    </row>
    <row r="2884" spans="1:1">
      <c r="A2884" s="15"/>
    </row>
    <row r="2885" spans="1:1">
      <c r="A2885" s="15"/>
    </row>
    <row r="2886" spans="1:1">
      <c r="A2886" s="15"/>
    </row>
    <row r="2887" spans="1:1">
      <c r="A2887" s="15"/>
    </row>
    <row r="2888" spans="1:1">
      <c r="A2888" s="15"/>
    </row>
    <row r="2889" spans="1:1">
      <c r="A2889" s="15"/>
    </row>
    <row r="2890" spans="1:1">
      <c r="A2890" s="15"/>
    </row>
    <row r="2891" spans="1:1">
      <c r="A2891" s="15"/>
    </row>
    <row r="2892" spans="1:1">
      <c r="A2892" s="15"/>
    </row>
    <row r="2893" spans="1:1">
      <c r="A2893" s="15"/>
    </row>
    <row r="2894" spans="1:1">
      <c r="A2894" s="15"/>
    </row>
    <row r="2895" spans="1:1">
      <c r="A2895" s="15"/>
    </row>
    <row r="2896" spans="1:1">
      <c r="A2896" s="15"/>
    </row>
    <row r="2897" spans="1:1">
      <c r="A2897" s="15"/>
    </row>
    <row r="2898" spans="1:1">
      <c r="A2898" s="15"/>
    </row>
    <row r="2899" spans="1:1">
      <c r="A2899" s="15"/>
    </row>
    <row r="2900" spans="1:1">
      <c r="A2900" s="15"/>
    </row>
    <row r="2901" spans="1:1">
      <c r="A2901" s="15"/>
    </row>
    <row r="2902" spans="1:1">
      <c r="A2902" s="15"/>
    </row>
    <row r="2903" spans="1:1">
      <c r="A2903" s="15"/>
    </row>
    <row r="2904" spans="1:1">
      <c r="A2904" s="15"/>
    </row>
    <row r="2905" spans="1:1">
      <c r="A2905" s="15"/>
    </row>
    <row r="2906" spans="1:1">
      <c r="A2906" s="15"/>
    </row>
    <row r="2907" spans="1:1">
      <c r="A2907" s="15"/>
    </row>
    <row r="2908" spans="1:1">
      <c r="A2908" s="15"/>
    </row>
    <row r="2909" spans="1:1">
      <c r="A2909" s="15"/>
    </row>
    <row r="2910" spans="1:1">
      <c r="A2910" s="15"/>
    </row>
    <row r="2911" spans="1:1">
      <c r="A2911" s="15"/>
    </row>
    <row r="2912" spans="1:1">
      <c r="A2912" s="15"/>
    </row>
    <row r="2913" spans="1:1">
      <c r="A2913" s="15"/>
    </row>
    <row r="2914" spans="1:1">
      <c r="A2914" s="15"/>
    </row>
    <row r="2915" spans="1:1">
      <c r="A2915" s="15"/>
    </row>
    <row r="2916" spans="1:1">
      <c r="A2916" s="15"/>
    </row>
    <row r="2917" spans="1:1">
      <c r="A2917" s="15"/>
    </row>
    <row r="2918" spans="1:1">
      <c r="A2918" s="15"/>
    </row>
    <row r="2919" spans="1:1">
      <c r="A2919" s="15"/>
    </row>
    <row r="2920" spans="1:1">
      <c r="A2920" s="15"/>
    </row>
    <row r="2921" spans="1:1">
      <c r="A2921" s="15"/>
    </row>
    <row r="2922" spans="1:1">
      <c r="A2922" s="15"/>
    </row>
    <row r="2923" spans="1:1">
      <c r="A2923" s="15"/>
    </row>
    <row r="2924" spans="1:1">
      <c r="A2924" s="15"/>
    </row>
    <row r="2925" spans="1:1">
      <c r="A2925" s="15"/>
    </row>
    <row r="2926" spans="1:1">
      <c r="A2926" s="15"/>
    </row>
    <row r="2927" spans="1:1">
      <c r="A2927" s="15"/>
    </row>
    <row r="2928" spans="1:1">
      <c r="A2928" s="15"/>
    </row>
    <row r="2929" spans="1:1">
      <c r="A2929" s="15"/>
    </row>
    <row r="2930" spans="1:1">
      <c r="A2930" s="15"/>
    </row>
    <row r="2931" spans="1:1">
      <c r="A2931" s="15"/>
    </row>
    <row r="2932" spans="1:1">
      <c r="A2932" s="15"/>
    </row>
    <row r="2933" spans="1:1">
      <c r="A2933" s="15"/>
    </row>
    <row r="2934" spans="1:1">
      <c r="A2934" s="15"/>
    </row>
    <row r="2935" spans="1:1">
      <c r="A2935" s="15"/>
    </row>
    <row r="2936" spans="1:1">
      <c r="A2936" s="15"/>
    </row>
    <row r="2937" spans="1:1">
      <c r="A2937" s="15"/>
    </row>
    <row r="2938" spans="1:1">
      <c r="A2938" s="15"/>
    </row>
    <row r="2939" spans="1:1">
      <c r="A2939" s="15"/>
    </row>
    <row r="2940" spans="1:1">
      <c r="A2940" s="15"/>
    </row>
    <row r="2941" spans="1:1">
      <c r="A2941" s="15"/>
    </row>
    <row r="2942" spans="1:1">
      <c r="A2942" s="15"/>
    </row>
    <row r="2943" spans="1:1">
      <c r="A2943" s="15"/>
    </row>
    <row r="2944" spans="1:1">
      <c r="A2944" s="15"/>
    </row>
    <row r="2945" spans="1:1">
      <c r="A2945" s="15"/>
    </row>
    <row r="2946" spans="1:1">
      <c r="A2946" s="15"/>
    </row>
    <row r="2947" spans="1:1">
      <c r="A2947" s="15"/>
    </row>
    <row r="2948" spans="1:1">
      <c r="A2948" s="15"/>
    </row>
    <row r="2949" spans="1:1">
      <c r="A2949" s="15"/>
    </row>
    <row r="2950" spans="1:1">
      <c r="A2950" s="15"/>
    </row>
    <row r="2951" spans="1:1">
      <c r="A2951" s="15"/>
    </row>
    <row r="2952" spans="1:1">
      <c r="A2952" s="15"/>
    </row>
    <row r="2953" spans="1:1">
      <c r="A2953" s="15"/>
    </row>
    <row r="2954" spans="1:1">
      <c r="A2954" s="15"/>
    </row>
    <row r="2955" spans="1:1">
      <c r="A2955" s="15"/>
    </row>
    <row r="2956" spans="1:1">
      <c r="A2956" s="15"/>
    </row>
    <row r="2957" spans="1:1">
      <c r="A2957" s="15"/>
    </row>
    <row r="2958" spans="1:1">
      <c r="A2958" s="15"/>
    </row>
    <row r="2959" spans="1:1">
      <c r="A2959" s="15"/>
    </row>
    <row r="2960" spans="1:1">
      <c r="A2960" s="15"/>
    </row>
    <row r="2961" spans="1:1">
      <c r="A2961" s="15"/>
    </row>
    <row r="2962" spans="1:1">
      <c r="A2962" s="15"/>
    </row>
    <row r="2963" spans="1:1">
      <c r="A2963" s="15"/>
    </row>
    <row r="2964" spans="1:1">
      <c r="A2964" s="15"/>
    </row>
    <row r="2965" spans="1:1">
      <c r="A2965" s="15"/>
    </row>
    <row r="2966" spans="1:1">
      <c r="A2966" s="15"/>
    </row>
    <row r="2967" spans="1:1">
      <c r="A2967" s="15"/>
    </row>
    <row r="2968" spans="1:1">
      <c r="A2968" s="15"/>
    </row>
    <row r="2969" spans="1:1">
      <c r="A2969" s="15"/>
    </row>
    <row r="2970" spans="1:1">
      <c r="A2970" s="15"/>
    </row>
    <row r="2971" spans="1:1">
      <c r="A2971" s="15"/>
    </row>
    <row r="2972" spans="1:1">
      <c r="A2972" s="15"/>
    </row>
    <row r="2973" spans="1:1">
      <c r="A2973" s="15"/>
    </row>
    <row r="2974" spans="1:1">
      <c r="A2974" s="15"/>
    </row>
    <row r="2975" spans="1:1">
      <c r="A2975" s="15"/>
    </row>
    <row r="2976" spans="1:1">
      <c r="A2976" s="15"/>
    </row>
    <row r="2977" spans="1:1">
      <c r="A2977" s="15"/>
    </row>
    <row r="2978" spans="1:1">
      <c r="A2978" s="15"/>
    </row>
    <row r="2979" spans="1:1">
      <c r="A2979" s="15"/>
    </row>
    <row r="2980" spans="1:1">
      <c r="A2980" s="15"/>
    </row>
    <row r="2981" spans="1:1">
      <c r="A2981" s="15"/>
    </row>
    <row r="2982" spans="1:1">
      <c r="A2982" s="15"/>
    </row>
    <row r="2983" spans="1:1">
      <c r="A2983" s="15"/>
    </row>
    <row r="2984" spans="1:1">
      <c r="A2984" s="15"/>
    </row>
    <row r="2985" spans="1:1">
      <c r="A2985" s="15"/>
    </row>
    <row r="2986" spans="1:1">
      <c r="A2986" s="15"/>
    </row>
    <row r="2987" spans="1:1">
      <c r="A2987" s="15"/>
    </row>
    <row r="2988" spans="1:1">
      <c r="A2988" s="15"/>
    </row>
    <row r="2989" spans="1:1">
      <c r="A2989" s="15"/>
    </row>
    <row r="2990" spans="1:1">
      <c r="A2990" s="15"/>
    </row>
    <row r="2991" spans="1:1">
      <c r="A2991" s="15"/>
    </row>
    <row r="2992" spans="1:1">
      <c r="A2992" s="15"/>
    </row>
    <row r="2993" spans="1:1">
      <c r="A2993" s="15"/>
    </row>
    <row r="2994" spans="1:1">
      <c r="A2994" s="15"/>
    </row>
    <row r="2995" spans="1:1">
      <c r="A2995" s="15"/>
    </row>
    <row r="2996" spans="1:1">
      <c r="A2996" s="15"/>
    </row>
    <row r="2997" spans="1:1">
      <c r="A2997" s="15"/>
    </row>
    <row r="2998" spans="1:1">
      <c r="A2998" s="15"/>
    </row>
    <row r="2999" spans="1:1">
      <c r="A2999" s="15"/>
    </row>
    <row r="3000" spans="1:1">
      <c r="A3000" s="15"/>
    </row>
    <row r="3001" spans="1:1">
      <c r="A3001" s="15"/>
    </row>
    <row r="3002" spans="1:1">
      <c r="A3002" s="15"/>
    </row>
    <row r="3003" spans="1:1">
      <c r="A3003" s="15"/>
    </row>
    <row r="3004" spans="1:1">
      <c r="A3004" s="15"/>
    </row>
    <row r="3005" spans="1:1">
      <c r="A3005" s="15"/>
    </row>
    <row r="3006" spans="1:1">
      <c r="A3006" s="15"/>
    </row>
    <row r="3007" spans="1:1">
      <c r="A3007" s="15"/>
    </row>
    <row r="3008" spans="1:1">
      <c r="A3008" s="15"/>
    </row>
    <row r="3009" spans="1:1">
      <c r="A3009" s="15"/>
    </row>
    <row r="3010" spans="1:1">
      <c r="A3010" s="15"/>
    </row>
    <row r="3011" spans="1:1">
      <c r="A3011" s="15"/>
    </row>
    <row r="3012" spans="1:1">
      <c r="A3012" s="15"/>
    </row>
    <row r="3013" spans="1:1">
      <c r="A3013" s="15"/>
    </row>
    <row r="3014" spans="1:1">
      <c r="A3014" s="15"/>
    </row>
    <row r="3015" spans="1:1">
      <c r="A3015" s="15"/>
    </row>
    <row r="3016" spans="1:1">
      <c r="A3016" s="15"/>
    </row>
    <row r="3017" spans="1:1">
      <c r="A3017" s="15"/>
    </row>
    <row r="3018" spans="1:1">
      <c r="A3018" s="15"/>
    </row>
    <row r="3019" spans="1:1">
      <c r="A3019" s="15"/>
    </row>
    <row r="3020" spans="1:1">
      <c r="A3020" s="15"/>
    </row>
    <row r="3021" spans="1:1">
      <c r="A3021" s="15"/>
    </row>
    <row r="3022" spans="1:1">
      <c r="A3022" s="15"/>
    </row>
    <row r="3023" spans="1:1">
      <c r="A3023" s="15"/>
    </row>
    <row r="3024" spans="1:1">
      <c r="A3024" s="15"/>
    </row>
    <row r="3025" spans="1:1">
      <c r="A3025" s="15"/>
    </row>
    <row r="3026" spans="1:1">
      <c r="A3026" s="15"/>
    </row>
    <row r="3027" spans="1:1">
      <c r="A3027" s="15"/>
    </row>
    <row r="3028" spans="1:1">
      <c r="A3028" s="15"/>
    </row>
    <row r="3029" spans="1:1">
      <c r="A3029" s="15"/>
    </row>
    <row r="3030" spans="1:1">
      <c r="A3030" s="15"/>
    </row>
    <row r="3031" spans="1:1">
      <c r="A3031" s="15"/>
    </row>
    <row r="3032" spans="1:1">
      <c r="A3032" s="15"/>
    </row>
    <row r="3033" spans="1:1">
      <c r="A3033" s="15"/>
    </row>
    <row r="3034" spans="1:1">
      <c r="A3034" s="15"/>
    </row>
    <row r="3035" spans="1:1">
      <c r="A3035" s="15"/>
    </row>
    <row r="3036" spans="1:1">
      <c r="A3036" s="15"/>
    </row>
    <row r="3037" spans="1:1">
      <c r="A3037" s="15"/>
    </row>
    <row r="3038" spans="1:1">
      <c r="A3038" s="15"/>
    </row>
    <row r="3039" spans="1:1">
      <c r="A3039" s="15"/>
    </row>
    <row r="3040" spans="1:1">
      <c r="A3040" s="15"/>
    </row>
    <row r="3041" spans="1:1">
      <c r="A3041" s="15"/>
    </row>
    <row r="3042" spans="1:1">
      <c r="A3042" s="15"/>
    </row>
    <row r="3043" spans="1:1">
      <c r="A3043" s="15"/>
    </row>
    <row r="3044" spans="1:1">
      <c r="A3044" s="15"/>
    </row>
    <row r="3045" spans="1:1">
      <c r="A3045" s="15"/>
    </row>
    <row r="3046" spans="1:1">
      <c r="A3046" s="15"/>
    </row>
    <row r="3047" spans="1:1">
      <c r="A3047" s="15"/>
    </row>
    <row r="3048" spans="1:1">
      <c r="A3048" s="15"/>
    </row>
    <row r="3049" spans="1:1">
      <c r="A3049" s="15"/>
    </row>
    <row r="3050" spans="1:1">
      <c r="A3050" s="15"/>
    </row>
    <row r="3051" spans="1:1">
      <c r="A3051" s="15"/>
    </row>
    <row r="3052" spans="1:1">
      <c r="A3052" s="15"/>
    </row>
    <row r="3053" spans="1:1">
      <c r="A3053" s="15"/>
    </row>
    <row r="3054" spans="1:1">
      <c r="A3054" s="15"/>
    </row>
    <row r="3055" spans="1:1">
      <c r="A3055" s="15"/>
    </row>
    <row r="3056" spans="1:1">
      <c r="A3056" s="15"/>
    </row>
    <row r="3057" spans="1:1">
      <c r="A3057" s="15"/>
    </row>
    <row r="3058" spans="1:1">
      <c r="A3058" s="15"/>
    </row>
    <row r="3059" spans="1:1">
      <c r="A3059" s="15"/>
    </row>
    <row r="3060" spans="1:1">
      <c r="A3060" s="15"/>
    </row>
    <row r="3061" spans="1:1">
      <c r="A3061" s="15"/>
    </row>
    <row r="3062" spans="1:1">
      <c r="A3062" s="15"/>
    </row>
    <row r="3063" spans="1:1">
      <c r="A3063" s="15"/>
    </row>
    <row r="3064" spans="1:1">
      <c r="A3064" s="15"/>
    </row>
    <row r="3065" spans="1:1">
      <c r="A3065" s="15"/>
    </row>
    <row r="3066" spans="1:1">
      <c r="A3066" s="15"/>
    </row>
    <row r="3067" spans="1:1">
      <c r="A3067" s="15"/>
    </row>
    <row r="3068" spans="1:1">
      <c r="A3068" s="15"/>
    </row>
    <row r="3069" spans="1:1">
      <c r="A3069" s="15"/>
    </row>
    <row r="3070" spans="1:1">
      <c r="A3070" s="15"/>
    </row>
    <row r="3071" spans="1:1">
      <c r="A3071" s="15"/>
    </row>
    <row r="3072" spans="1:1">
      <c r="A3072" s="15"/>
    </row>
    <row r="3073" spans="1:1">
      <c r="A3073" s="15"/>
    </row>
    <row r="3074" spans="1:1">
      <c r="A3074" s="15"/>
    </row>
    <row r="3075" spans="1:1">
      <c r="A3075" s="15"/>
    </row>
    <row r="3076" spans="1:1">
      <c r="A3076" s="15"/>
    </row>
    <row r="3077" spans="1:1">
      <c r="A3077" s="15"/>
    </row>
    <row r="3078" spans="1:1">
      <c r="A3078" s="15"/>
    </row>
    <row r="3079" spans="1:1">
      <c r="A3079" s="15"/>
    </row>
    <row r="3080" spans="1:1">
      <c r="A3080" s="15"/>
    </row>
    <row r="3081" spans="1:1">
      <c r="A3081" s="15"/>
    </row>
    <row r="3082" spans="1:1">
      <c r="A3082" s="15"/>
    </row>
    <row r="3083" spans="1:1">
      <c r="A3083" s="15"/>
    </row>
    <row r="3084" spans="1:1">
      <c r="A3084" s="15"/>
    </row>
    <row r="3085" spans="1:1">
      <c r="A3085" s="15"/>
    </row>
    <row r="3086" spans="1:1">
      <c r="A3086" s="15"/>
    </row>
    <row r="3087" spans="1:1">
      <c r="A3087" s="15"/>
    </row>
    <row r="3088" spans="1:1">
      <c r="A3088" s="15"/>
    </row>
    <row r="3089" spans="1:1">
      <c r="A3089" s="15"/>
    </row>
    <row r="3090" spans="1:1">
      <c r="A3090" s="15"/>
    </row>
    <row r="3091" spans="1:1">
      <c r="A3091" s="15"/>
    </row>
    <row r="3092" spans="1:1">
      <c r="A3092" s="15"/>
    </row>
    <row r="3093" spans="1:1">
      <c r="A3093" s="15"/>
    </row>
    <row r="3094" spans="1:1">
      <c r="A3094" s="15"/>
    </row>
    <row r="3095" spans="1:1">
      <c r="A3095" s="15"/>
    </row>
    <row r="3096" spans="1:1">
      <c r="A3096" s="15"/>
    </row>
    <row r="3097" spans="1:1">
      <c r="A3097" s="15"/>
    </row>
    <row r="3098" spans="1:1">
      <c r="A3098" s="15"/>
    </row>
    <row r="3099" spans="1:1">
      <c r="A3099" s="15"/>
    </row>
    <row r="3100" spans="1:1">
      <c r="A3100" s="15"/>
    </row>
    <row r="3101" spans="1:1">
      <c r="A3101" s="15"/>
    </row>
    <row r="3102" spans="1:1">
      <c r="A3102" s="15"/>
    </row>
    <row r="3103" spans="1:1">
      <c r="A3103" s="15"/>
    </row>
    <row r="3104" spans="1:1">
      <c r="A3104" s="15"/>
    </row>
    <row r="3105" spans="1:1">
      <c r="A3105" s="15"/>
    </row>
    <row r="3106" spans="1:1">
      <c r="A3106" s="15"/>
    </row>
    <row r="3107" spans="1:1">
      <c r="A3107" s="15"/>
    </row>
    <row r="3108" spans="1:1">
      <c r="A3108" s="15"/>
    </row>
    <row r="3109" spans="1:1">
      <c r="A3109" s="15"/>
    </row>
    <row r="3110" spans="1:1">
      <c r="A3110" s="15"/>
    </row>
    <row r="3111" spans="1:1">
      <c r="A3111" s="15"/>
    </row>
    <row r="3112" spans="1:1">
      <c r="A3112" s="15"/>
    </row>
    <row r="3113" spans="1:1">
      <c r="A3113" s="15"/>
    </row>
    <row r="3114" spans="1:1">
      <c r="A3114" s="15"/>
    </row>
    <row r="3115" spans="1:1">
      <c r="A3115" s="15"/>
    </row>
    <row r="3116" spans="1:1">
      <c r="A3116" s="15"/>
    </row>
    <row r="3117" spans="1:1">
      <c r="A3117" s="15"/>
    </row>
    <row r="3118" spans="1:1">
      <c r="A3118" s="15"/>
    </row>
    <row r="3119" spans="1:1">
      <c r="A3119" s="15"/>
    </row>
    <row r="3120" spans="1:1">
      <c r="A3120" s="15"/>
    </row>
    <row r="3121" spans="1:1">
      <c r="A3121" s="15"/>
    </row>
    <row r="3122" spans="1:1">
      <c r="A3122" s="15"/>
    </row>
    <row r="3123" spans="1:1">
      <c r="A3123" s="15"/>
    </row>
    <row r="3124" spans="1:1">
      <c r="A3124" s="15"/>
    </row>
    <row r="3125" spans="1:1">
      <c r="A3125" s="15"/>
    </row>
    <row r="3126" spans="1:1">
      <c r="A3126" s="15"/>
    </row>
    <row r="3127" spans="1:1">
      <c r="A3127" s="15"/>
    </row>
    <row r="3128" spans="1:1">
      <c r="A3128" s="15"/>
    </row>
    <row r="3129" spans="1:1">
      <c r="A3129" s="15"/>
    </row>
    <row r="3130" spans="1:1">
      <c r="A3130" s="15"/>
    </row>
    <row r="3131" spans="1:1">
      <c r="A3131" s="15"/>
    </row>
    <row r="3132" spans="1:1">
      <c r="A3132" s="15"/>
    </row>
    <row r="3133" spans="1:1">
      <c r="A3133" s="15"/>
    </row>
    <row r="3134" spans="1:1">
      <c r="A3134" s="15"/>
    </row>
    <row r="3135" spans="1:1">
      <c r="A3135" s="15"/>
    </row>
    <row r="3136" spans="1:1">
      <c r="A3136" s="15"/>
    </row>
    <row r="3137" spans="1:1">
      <c r="A3137" s="15"/>
    </row>
    <row r="3138" spans="1:1">
      <c r="A3138" s="15"/>
    </row>
    <row r="3139" spans="1:1">
      <c r="A3139" s="15"/>
    </row>
    <row r="3140" spans="1:1">
      <c r="A3140" s="15"/>
    </row>
    <row r="3141" spans="1:1">
      <c r="A3141" s="15"/>
    </row>
    <row r="3142" spans="1:1">
      <c r="A3142" s="15"/>
    </row>
    <row r="3143" spans="1:1">
      <c r="A3143" s="15"/>
    </row>
    <row r="3144" spans="1:1">
      <c r="A3144" s="15"/>
    </row>
    <row r="3145" spans="1:1">
      <c r="A3145" s="15"/>
    </row>
    <row r="3146" spans="1:1">
      <c r="A3146" s="15"/>
    </row>
    <row r="3147" spans="1:1">
      <c r="A3147" s="15"/>
    </row>
    <row r="3148" spans="1:1">
      <c r="A3148" s="15"/>
    </row>
    <row r="3149" spans="1:1">
      <c r="A3149" s="15"/>
    </row>
    <row r="3150" spans="1:1">
      <c r="A3150" s="15"/>
    </row>
    <row r="3151" spans="1:1">
      <c r="A3151" s="15"/>
    </row>
    <row r="3152" spans="1:1">
      <c r="A3152" s="15"/>
    </row>
    <row r="3153" spans="1:1">
      <c r="A3153" s="15"/>
    </row>
    <row r="3154" spans="1:1">
      <c r="A3154" s="15"/>
    </row>
    <row r="3155" spans="1:1">
      <c r="A3155" s="15"/>
    </row>
    <row r="3156" spans="1:1">
      <c r="A3156" s="15"/>
    </row>
    <row r="3157" spans="1:1">
      <c r="A3157" s="15"/>
    </row>
    <row r="3158" spans="1:1">
      <c r="A3158" s="15"/>
    </row>
    <row r="3159" spans="1:1">
      <c r="A3159" s="15"/>
    </row>
    <row r="3160" spans="1:1">
      <c r="A3160" s="15"/>
    </row>
    <row r="3161" spans="1:1">
      <c r="A3161" s="15"/>
    </row>
    <row r="3162" spans="1:1">
      <c r="A3162" s="15"/>
    </row>
    <row r="3163" spans="1:1">
      <c r="A3163" s="15"/>
    </row>
    <row r="3164" spans="1:1">
      <c r="A3164" s="15"/>
    </row>
    <row r="3165" spans="1:1">
      <c r="A3165" s="15"/>
    </row>
    <row r="3166" spans="1:1">
      <c r="A3166" s="15"/>
    </row>
    <row r="3167" spans="1:1">
      <c r="A3167" s="15"/>
    </row>
    <row r="3168" spans="1:1">
      <c r="A3168" s="15"/>
    </row>
    <row r="3169" spans="1:1">
      <c r="A3169" s="15"/>
    </row>
    <row r="3170" spans="1:1">
      <c r="A3170" s="15"/>
    </row>
    <row r="3171" spans="1:1">
      <c r="A3171" s="15"/>
    </row>
    <row r="3172" spans="1:1">
      <c r="A3172" s="15"/>
    </row>
    <row r="3173" spans="1:1">
      <c r="A3173" s="15"/>
    </row>
    <row r="3174" spans="1:1">
      <c r="A3174" s="15"/>
    </row>
    <row r="3175" spans="1:1">
      <c r="A3175" s="15"/>
    </row>
    <row r="3176" spans="1:1">
      <c r="A3176" s="15"/>
    </row>
    <row r="3177" spans="1:1">
      <c r="A3177" s="15"/>
    </row>
    <row r="3178" spans="1:1">
      <c r="A3178" s="15"/>
    </row>
    <row r="3179" spans="1:1">
      <c r="A3179" s="15"/>
    </row>
    <row r="3180" spans="1:1">
      <c r="A3180" s="15"/>
    </row>
    <row r="3181" spans="1:1">
      <c r="A3181" s="15"/>
    </row>
    <row r="3182" spans="1:1">
      <c r="A3182" s="15"/>
    </row>
    <row r="3183" spans="1:1">
      <c r="A3183" s="15"/>
    </row>
    <row r="3184" spans="1:1">
      <c r="A3184" s="15"/>
    </row>
    <row r="3185" spans="1:1">
      <c r="A3185" s="15"/>
    </row>
    <row r="3186" spans="1:1">
      <c r="A3186" s="15"/>
    </row>
    <row r="3187" spans="1:1">
      <c r="A3187" s="15"/>
    </row>
    <row r="3188" spans="1:1">
      <c r="A3188" s="15"/>
    </row>
    <row r="3189" spans="1:1">
      <c r="A3189" s="15"/>
    </row>
    <row r="3190" spans="1:1">
      <c r="A3190" s="15"/>
    </row>
    <row r="3191" spans="1:1">
      <c r="A3191" s="15"/>
    </row>
    <row r="3192" spans="1:1">
      <c r="A3192" s="15"/>
    </row>
    <row r="3193" spans="1:1">
      <c r="A3193" s="15"/>
    </row>
    <row r="3194" spans="1:1">
      <c r="A3194" s="15"/>
    </row>
    <row r="3195" spans="1:1">
      <c r="A3195" s="15"/>
    </row>
    <row r="3196" spans="1:1">
      <c r="A3196" s="15"/>
    </row>
    <row r="3197" spans="1:1">
      <c r="A3197" s="15"/>
    </row>
    <row r="3198" spans="1:1">
      <c r="A3198" s="15"/>
    </row>
    <row r="3199" spans="1:1">
      <c r="A3199" s="15"/>
    </row>
    <row r="3200" spans="1:1">
      <c r="A3200" s="15"/>
    </row>
    <row r="3201" spans="1:1">
      <c r="A3201" s="15"/>
    </row>
    <row r="3202" spans="1:1">
      <c r="A3202" s="15"/>
    </row>
    <row r="3203" spans="1:1">
      <c r="A3203" s="15"/>
    </row>
    <row r="3204" spans="1:1">
      <c r="A3204" s="15"/>
    </row>
    <row r="3205" spans="1:1">
      <c r="A3205" s="15"/>
    </row>
    <row r="3206" spans="1:1">
      <c r="A3206" s="15"/>
    </row>
    <row r="3207" spans="1:1">
      <c r="A3207" s="15"/>
    </row>
    <row r="3208" spans="1:1">
      <c r="A3208" s="15"/>
    </row>
    <row r="3209" spans="1:1">
      <c r="A3209" s="15"/>
    </row>
    <row r="3210" spans="1:1">
      <c r="A3210" s="15"/>
    </row>
    <row r="3211" spans="1:1">
      <c r="A3211" s="15"/>
    </row>
    <row r="3212" spans="1:1">
      <c r="A3212" s="15"/>
    </row>
    <row r="3213" spans="1:1">
      <c r="A3213" s="15"/>
    </row>
    <row r="3214" spans="1:1">
      <c r="A3214" s="15"/>
    </row>
    <row r="3215" spans="1:1">
      <c r="A3215" s="15"/>
    </row>
    <row r="3216" spans="1:1">
      <c r="A3216" s="15"/>
    </row>
    <row r="3217" spans="1:1">
      <c r="A3217" s="15"/>
    </row>
    <row r="3218" spans="1:1">
      <c r="A3218" s="15"/>
    </row>
    <row r="3219" spans="1:1">
      <c r="A3219" s="15"/>
    </row>
    <row r="3220" spans="1:1">
      <c r="A3220" s="15"/>
    </row>
    <row r="3221" spans="1:1">
      <c r="A3221" s="15"/>
    </row>
    <row r="3222" spans="1:1">
      <c r="A3222" s="15"/>
    </row>
    <row r="3223" spans="1:1">
      <c r="A3223" s="15"/>
    </row>
    <row r="3224" spans="1:1">
      <c r="A3224" s="15"/>
    </row>
    <row r="3225" spans="1:1">
      <c r="A3225" s="15"/>
    </row>
    <row r="3226" spans="1:1">
      <c r="A3226" s="15"/>
    </row>
    <row r="3227" spans="1:1">
      <c r="A3227" s="15"/>
    </row>
    <row r="3228" spans="1:1">
      <c r="A3228" s="15"/>
    </row>
    <row r="3229" spans="1:1">
      <c r="A3229" s="15"/>
    </row>
    <row r="3230" spans="1:1">
      <c r="A3230" s="15"/>
    </row>
    <row r="3231" spans="1:1">
      <c r="A3231" s="15"/>
    </row>
    <row r="3232" spans="1:1">
      <c r="A3232" s="15"/>
    </row>
    <row r="3233" spans="1:1">
      <c r="A3233" s="15"/>
    </row>
    <row r="3234" spans="1:1">
      <c r="A3234" s="15"/>
    </row>
    <row r="3235" spans="1:1">
      <c r="A3235" s="15"/>
    </row>
    <row r="3236" spans="1:1">
      <c r="A3236" s="15"/>
    </row>
    <row r="3237" spans="1:1">
      <c r="A3237" s="15"/>
    </row>
    <row r="3238" spans="1:1">
      <c r="A3238" s="15"/>
    </row>
    <row r="3239" spans="1:1">
      <c r="A3239" s="15"/>
    </row>
    <row r="3240" spans="1:1">
      <c r="A3240" s="15"/>
    </row>
    <row r="3241" spans="1:1">
      <c r="A3241" s="15"/>
    </row>
    <row r="3242" spans="1:1">
      <c r="A3242" s="15"/>
    </row>
    <row r="3243" spans="1:1">
      <c r="A3243" s="15"/>
    </row>
    <row r="3244" spans="1:1">
      <c r="A3244" s="15"/>
    </row>
    <row r="3245" spans="1:1">
      <c r="A3245" s="15"/>
    </row>
    <row r="3246" spans="1:1">
      <c r="A3246" s="15"/>
    </row>
    <row r="3247" spans="1:1">
      <c r="A3247" s="15"/>
    </row>
    <row r="3248" spans="1:1">
      <c r="A3248" s="15"/>
    </row>
    <row r="3249" spans="1:1">
      <c r="A3249" s="15"/>
    </row>
    <row r="3250" spans="1:1">
      <c r="A3250" s="15"/>
    </row>
    <row r="3251" spans="1:1">
      <c r="A3251" s="15"/>
    </row>
    <row r="3252" spans="1:1">
      <c r="A3252" s="15"/>
    </row>
    <row r="3253" spans="1:1">
      <c r="A3253" s="15"/>
    </row>
    <row r="3254" spans="1:1">
      <c r="A3254" s="15"/>
    </row>
    <row r="3255" spans="1:1">
      <c r="A3255" s="15"/>
    </row>
    <row r="3256" spans="1:1">
      <c r="A3256" s="15"/>
    </row>
    <row r="3257" spans="1:1">
      <c r="A3257" s="15"/>
    </row>
    <row r="3258" spans="1:1">
      <c r="A3258" s="15"/>
    </row>
    <row r="3259" spans="1:1">
      <c r="A3259" s="15"/>
    </row>
    <row r="3260" spans="1:1">
      <c r="A3260" s="15"/>
    </row>
    <row r="3261" spans="1:1">
      <c r="A3261" s="15"/>
    </row>
    <row r="3262" spans="1:1">
      <c r="A3262" s="15"/>
    </row>
    <row r="3263" spans="1:1">
      <c r="A3263" s="15"/>
    </row>
    <row r="3264" spans="1:1">
      <c r="A3264" s="15"/>
    </row>
    <row r="3265" spans="1:1">
      <c r="A3265" s="15"/>
    </row>
    <row r="3266" spans="1:1">
      <c r="A3266" s="15"/>
    </row>
    <row r="3267" spans="1:1">
      <c r="A3267" s="15"/>
    </row>
    <row r="3268" spans="1:1">
      <c r="A3268" s="15"/>
    </row>
    <row r="3269" spans="1:1">
      <c r="A3269" s="15"/>
    </row>
    <row r="3270" spans="1:1">
      <c r="A3270" s="15"/>
    </row>
    <row r="3271" spans="1:1">
      <c r="A3271" s="15"/>
    </row>
    <row r="3272" spans="1:1">
      <c r="A3272" s="15"/>
    </row>
    <row r="3273" spans="1:1">
      <c r="A3273" s="15"/>
    </row>
    <row r="3274" spans="1:1">
      <c r="A3274" s="15"/>
    </row>
    <row r="3275" spans="1:1">
      <c r="A3275" s="15"/>
    </row>
    <row r="3276" spans="1:1">
      <c r="A3276" s="15"/>
    </row>
    <row r="3277" spans="1:1">
      <c r="A3277" s="15"/>
    </row>
    <row r="3278" spans="1:1">
      <c r="A3278" s="15"/>
    </row>
    <row r="3279" spans="1:1">
      <c r="A3279" s="15"/>
    </row>
    <row r="3280" spans="1:1">
      <c r="A3280" s="15"/>
    </row>
    <row r="3281" spans="1:1">
      <c r="A3281" s="15"/>
    </row>
    <row r="3282" spans="1:1">
      <c r="A3282" s="15"/>
    </row>
    <row r="3283" spans="1:1">
      <c r="A3283" s="15"/>
    </row>
    <row r="3284" spans="1:1">
      <c r="A3284" s="15"/>
    </row>
    <row r="3285" spans="1:1">
      <c r="A3285" s="15"/>
    </row>
    <row r="3286" spans="1:1">
      <c r="A3286" s="15"/>
    </row>
    <row r="3287" spans="1:1">
      <c r="A3287" s="15"/>
    </row>
    <row r="3288" spans="1:1">
      <c r="A3288" s="15"/>
    </row>
    <row r="3289" spans="1:1">
      <c r="A3289" s="15"/>
    </row>
    <row r="3290" spans="1:1">
      <c r="A3290" s="15"/>
    </row>
    <row r="3291" spans="1:1">
      <c r="A3291" s="15"/>
    </row>
    <row r="3292" spans="1:1">
      <c r="A3292" s="15"/>
    </row>
    <row r="3293" spans="1:1">
      <c r="A3293" s="15"/>
    </row>
    <row r="3294" spans="1:1">
      <c r="A3294" s="15"/>
    </row>
    <row r="3295" spans="1:1">
      <c r="A3295" s="15"/>
    </row>
    <row r="3296" spans="1:1">
      <c r="A3296" s="15"/>
    </row>
    <row r="3297" spans="1:1">
      <c r="A3297" s="15"/>
    </row>
    <row r="3298" spans="1:1">
      <c r="A3298" s="15"/>
    </row>
    <row r="3299" spans="1:1">
      <c r="A3299" s="15"/>
    </row>
    <row r="3300" spans="1:1">
      <c r="A3300" s="15"/>
    </row>
    <row r="3301" spans="1:1">
      <c r="A3301" s="15"/>
    </row>
    <row r="3302" spans="1:1">
      <c r="A3302" s="15"/>
    </row>
    <row r="3303" spans="1:1">
      <c r="A3303" s="15"/>
    </row>
    <row r="3304" spans="1:1">
      <c r="A3304" s="15"/>
    </row>
    <row r="3305" spans="1:1">
      <c r="A3305" s="15"/>
    </row>
    <row r="3306" spans="1:1">
      <c r="A3306" s="15"/>
    </row>
    <row r="3307" spans="1:1">
      <c r="A3307" s="15"/>
    </row>
    <row r="3308" spans="1:1">
      <c r="A3308" s="15"/>
    </row>
    <row r="3309" spans="1:1">
      <c r="A3309" s="15"/>
    </row>
    <row r="3310" spans="1:1">
      <c r="A3310" s="15"/>
    </row>
    <row r="3311" spans="1:1">
      <c r="A3311" s="15"/>
    </row>
    <row r="3312" spans="1:1">
      <c r="A3312" s="15"/>
    </row>
    <row r="3313" spans="1:1">
      <c r="A3313" s="15"/>
    </row>
    <row r="3314" spans="1:1">
      <c r="A3314" s="15"/>
    </row>
    <row r="3315" spans="1:1">
      <c r="A3315" s="15"/>
    </row>
    <row r="3316" spans="1:1">
      <c r="A3316" s="15"/>
    </row>
    <row r="3317" spans="1:1">
      <c r="A3317" s="15"/>
    </row>
    <row r="3318" spans="1:1">
      <c r="A3318" s="15"/>
    </row>
    <row r="3319" spans="1:1">
      <c r="A3319" s="15"/>
    </row>
    <row r="3320" spans="1:1">
      <c r="A3320" s="15"/>
    </row>
    <row r="3321" spans="1:1">
      <c r="A3321" s="15"/>
    </row>
    <row r="3322" spans="1:1">
      <c r="A3322" s="15"/>
    </row>
    <row r="3323" spans="1:1">
      <c r="A3323" s="15"/>
    </row>
    <row r="3324" spans="1:1">
      <c r="A3324" s="15"/>
    </row>
    <row r="3325" spans="1:1">
      <c r="A3325" s="15"/>
    </row>
    <row r="3326" spans="1:1">
      <c r="A3326" s="15"/>
    </row>
    <row r="3327" spans="1:1">
      <c r="A3327" s="15"/>
    </row>
    <row r="3328" spans="1:1">
      <c r="A3328" s="15"/>
    </row>
    <row r="3329" spans="1:1">
      <c r="A3329" s="15"/>
    </row>
    <row r="3330" spans="1:1">
      <c r="A3330" s="15"/>
    </row>
    <row r="3331" spans="1:1">
      <c r="A3331" s="15"/>
    </row>
    <row r="3332" spans="1:1">
      <c r="A3332" s="15"/>
    </row>
    <row r="3333" spans="1:1">
      <c r="A3333" s="15"/>
    </row>
    <row r="3334" spans="1:1">
      <c r="A3334" s="15"/>
    </row>
    <row r="3335" spans="1:1">
      <c r="A3335" s="15"/>
    </row>
    <row r="3336" spans="1:1">
      <c r="A3336" s="15"/>
    </row>
    <row r="3337" spans="1:1">
      <c r="A3337" s="15"/>
    </row>
    <row r="3338" spans="1:1">
      <c r="A3338" s="15"/>
    </row>
    <row r="3339" spans="1:1">
      <c r="A3339" s="15"/>
    </row>
    <row r="3340" spans="1:1">
      <c r="A3340" s="15"/>
    </row>
    <row r="3341" spans="1:1">
      <c r="A3341" s="15"/>
    </row>
    <row r="3342" spans="1:1">
      <c r="A3342" s="15"/>
    </row>
    <row r="3343" spans="1:1">
      <c r="A3343" s="15"/>
    </row>
    <row r="3344" spans="1:1">
      <c r="A3344" s="15"/>
    </row>
    <row r="3345" spans="1:1">
      <c r="A3345" s="15"/>
    </row>
    <row r="3346" spans="1:1">
      <c r="A3346" s="15"/>
    </row>
    <row r="3347" spans="1:1">
      <c r="A3347" s="15"/>
    </row>
    <row r="3348" spans="1:1">
      <c r="A3348" s="15"/>
    </row>
    <row r="3349" spans="1:1">
      <c r="A3349" s="15"/>
    </row>
    <row r="3350" spans="1:1">
      <c r="A3350" s="15"/>
    </row>
    <row r="3351" spans="1:1">
      <c r="A3351" s="15"/>
    </row>
    <row r="3352" spans="1:1">
      <c r="A3352" s="15"/>
    </row>
    <row r="3353" spans="1:1">
      <c r="A3353" s="15"/>
    </row>
    <row r="3354" spans="1:1">
      <c r="A3354" s="15"/>
    </row>
    <row r="3355" spans="1:1">
      <c r="A3355" s="15"/>
    </row>
    <row r="3356" spans="1:1">
      <c r="A3356" s="15"/>
    </row>
    <row r="3357" spans="1:1">
      <c r="A3357" s="15"/>
    </row>
    <row r="3358" spans="1:1">
      <c r="A3358" s="15"/>
    </row>
    <row r="3359" spans="1:1">
      <c r="A3359" s="15"/>
    </row>
    <row r="3360" spans="1:1">
      <c r="A3360" s="15"/>
    </row>
    <row r="3361" spans="1:1">
      <c r="A3361" s="15"/>
    </row>
    <row r="3362" spans="1:1">
      <c r="A3362" s="15"/>
    </row>
    <row r="3363" spans="1:1">
      <c r="A3363" s="15"/>
    </row>
    <row r="3364" spans="1:1">
      <c r="A3364" s="15"/>
    </row>
    <row r="3365" spans="1:1">
      <c r="A3365" s="15"/>
    </row>
    <row r="3366" spans="1:1">
      <c r="A3366" s="15"/>
    </row>
    <row r="3367" spans="1:1">
      <c r="A3367" s="15"/>
    </row>
    <row r="3368" spans="1:1">
      <c r="A3368" s="15"/>
    </row>
    <row r="3369" spans="1:1">
      <c r="A3369" s="15"/>
    </row>
    <row r="3370" spans="1:1">
      <c r="A3370" s="15"/>
    </row>
    <row r="3371" spans="1:1">
      <c r="A3371" s="15"/>
    </row>
    <row r="3372" spans="1:1">
      <c r="A3372" s="15"/>
    </row>
    <row r="3373" spans="1:1">
      <c r="A3373" s="15"/>
    </row>
    <row r="3374" spans="1:1">
      <c r="A3374" s="15"/>
    </row>
    <row r="3375" spans="1:1">
      <c r="A3375" s="15"/>
    </row>
    <row r="3376" spans="1:1">
      <c r="A3376" s="15"/>
    </row>
    <row r="3377" spans="1:1">
      <c r="A3377" s="15"/>
    </row>
    <row r="3378" spans="1:1">
      <c r="A3378" s="15"/>
    </row>
    <row r="3379" spans="1:1">
      <c r="A3379" s="15"/>
    </row>
    <row r="3380" spans="1:1">
      <c r="A3380" s="15"/>
    </row>
    <row r="3381" spans="1:1">
      <c r="A3381" s="15"/>
    </row>
    <row r="3382" spans="1:1">
      <c r="A3382" s="15"/>
    </row>
    <row r="3383" spans="1:1">
      <c r="A3383" s="15"/>
    </row>
    <row r="3384" spans="1:1">
      <c r="A3384" s="15"/>
    </row>
    <row r="3385" spans="1:1">
      <c r="A3385" s="15"/>
    </row>
    <row r="3386" spans="1:1">
      <c r="A3386" s="15"/>
    </row>
    <row r="3387" spans="1:1">
      <c r="A3387" s="15"/>
    </row>
    <row r="3388" spans="1:1">
      <c r="A3388" s="15"/>
    </row>
    <row r="3389" spans="1:1">
      <c r="A3389" s="15"/>
    </row>
    <row r="3390" spans="1:1">
      <c r="A3390" s="15"/>
    </row>
    <row r="3391" spans="1:1">
      <c r="A3391" s="15"/>
    </row>
    <row r="3392" spans="1:1">
      <c r="A3392" s="15"/>
    </row>
    <row r="3393" spans="1:1">
      <c r="A3393" s="15"/>
    </row>
    <row r="3394" spans="1:1">
      <c r="A3394" s="15"/>
    </row>
    <row r="3395" spans="1:1">
      <c r="A3395" s="15"/>
    </row>
    <row r="3396" spans="1:1">
      <c r="A3396" s="15"/>
    </row>
    <row r="3397" spans="1:1">
      <c r="A3397" s="15"/>
    </row>
    <row r="3398" spans="1:1">
      <c r="A3398" s="15"/>
    </row>
    <row r="3399" spans="1:1">
      <c r="A3399" s="15"/>
    </row>
    <row r="3400" spans="1:1">
      <c r="A3400" s="15"/>
    </row>
    <row r="3401" spans="1:1">
      <c r="A3401" s="15"/>
    </row>
    <row r="3402" spans="1:1">
      <c r="A3402" s="15"/>
    </row>
    <row r="3403" spans="1:1">
      <c r="A3403" s="15"/>
    </row>
    <row r="3404" spans="1:1">
      <c r="A3404" s="15"/>
    </row>
    <row r="3405" spans="1:1">
      <c r="A3405" s="15"/>
    </row>
    <row r="3406" spans="1:1">
      <c r="A3406" s="15"/>
    </row>
    <row r="3407" spans="1:1">
      <c r="A3407" s="15"/>
    </row>
    <row r="3408" spans="1:1">
      <c r="A3408" s="15"/>
    </row>
    <row r="3409" spans="1:1">
      <c r="A3409" s="15"/>
    </row>
    <row r="3410" spans="1:1">
      <c r="A3410" s="15"/>
    </row>
    <row r="3411" spans="1:1">
      <c r="A3411" s="15"/>
    </row>
    <row r="3412" spans="1:1">
      <c r="A3412" s="15"/>
    </row>
    <row r="3413" spans="1:1">
      <c r="A3413" s="15"/>
    </row>
    <row r="3414" spans="1:1">
      <c r="A3414" s="15"/>
    </row>
    <row r="3415" spans="1:1">
      <c r="A3415" s="15"/>
    </row>
    <row r="3416" spans="1:1">
      <c r="A3416" s="15"/>
    </row>
    <row r="3417" spans="1:1">
      <c r="A3417" s="15"/>
    </row>
    <row r="3418" spans="1:1">
      <c r="A3418" s="15"/>
    </row>
    <row r="3419" spans="1:1">
      <c r="A3419" s="15"/>
    </row>
    <row r="3420" spans="1:1">
      <c r="A3420" s="15"/>
    </row>
    <row r="3421" spans="1:1">
      <c r="A3421" s="15"/>
    </row>
    <row r="3422" spans="1:1">
      <c r="A3422" s="15"/>
    </row>
    <row r="3423" spans="1:1">
      <c r="A3423" s="15"/>
    </row>
    <row r="3424" spans="1:1">
      <c r="A3424" s="15"/>
    </row>
    <row r="3425" spans="1:1">
      <c r="A3425" s="15"/>
    </row>
    <row r="3426" spans="1:1">
      <c r="A3426" s="15"/>
    </row>
    <row r="3427" spans="1:1">
      <c r="A3427" s="15"/>
    </row>
    <row r="3428" spans="1:1">
      <c r="A3428" s="15"/>
    </row>
    <row r="3429" spans="1:1">
      <c r="A3429" s="15"/>
    </row>
    <row r="3430" spans="1:1">
      <c r="A3430" s="15"/>
    </row>
    <row r="3431" spans="1:1">
      <c r="A3431" s="15"/>
    </row>
    <row r="3432" spans="1:1">
      <c r="A3432" s="15"/>
    </row>
    <row r="3433" spans="1:1">
      <c r="A3433" s="15"/>
    </row>
    <row r="3434" spans="1:1">
      <c r="A3434" s="15"/>
    </row>
    <row r="3435" spans="1:1">
      <c r="A3435" s="15"/>
    </row>
    <row r="3436" spans="1:1">
      <c r="A3436" s="15"/>
    </row>
    <row r="3437" spans="1:1">
      <c r="A3437" s="15"/>
    </row>
    <row r="3438" spans="1:1">
      <c r="A3438" s="15"/>
    </row>
    <row r="3439" spans="1:1">
      <c r="A3439" s="15"/>
    </row>
    <row r="3440" spans="1:1">
      <c r="A3440" s="15"/>
    </row>
    <row r="3441" spans="1:1">
      <c r="A3441" s="15"/>
    </row>
    <row r="3442" spans="1:1">
      <c r="A3442" s="15"/>
    </row>
    <row r="3443" spans="1:1">
      <c r="A3443" s="15"/>
    </row>
    <row r="3444" spans="1:1">
      <c r="A3444" s="15"/>
    </row>
    <row r="3445" spans="1:1">
      <c r="A3445" s="15"/>
    </row>
    <row r="3446" spans="1:1">
      <c r="A3446" s="15"/>
    </row>
    <row r="3447" spans="1:1">
      <c r="A3447" s="15"/>
    </row>
    <row r="3448" spans="1:1">
      <c r="A3448" s="15"/>
    </row>
    <row r="3449" spans="1:1">
      <c r="A3449" s="15"/>
    </row>
    <row r="3450" spans="1:1">
      <c r="A3450" s="15"/>
    </row>
    <row r="3451" spans="1:1">
      <c r="A3451" s="15"/>
    </row>
    <row r="3452" spans="1:1">
      <c r="A3452" s="15"/>
    </row>
    <row r="3453" spans="1:1">
      <c r="A3453" s="15"/>
    </row>
    <row r="3454" spans="1:1">
      <c r="A3454" s="15"/>
    </row>
    <row r="3455" spans="1:1">
      <c r="A3455" s="15"/>
    </row>
    <row r="3456" spans="1:1">
      <c r="A3456" s="15"/>
    </row>
    <row r="3457" spans="1:1">
      <c r="A3457" s="15"/>
    </row>
    <row r="3458" spans="1:1">
      <c r="A3458" s="15"/>
    </row>
    <row r="3459" spans="1:1">
      <c r="A3459" s="15"/>
    </row>
    <row r="3460" spans="1:1">
      <c r="A3460" s="15"/>
    </row>
    <row r="3461" spans="1:1">
      <c r="A3461" s="15"/>
    </row>
    <row r="3462" spans="1:1">
      <c r="A3462" s="15"/>
    </row>
    <row r="3463" spans="1:1">
      <c r="A3463" s="15"/>
    </row>
    <row r="3464" spans="1:1">
      <c r="A3464" s="15"/>
    </row>
    <row r="3465" spans="1:1">
      <c r="A3465" s="15"/>
    </row>
    <row r="3466" spans="1:1">
      <c r="A3466" s="15"/>
    </row>
    <row r="3467" spans="1:1">
      <c r="A3467" s="15"/>
    </row>
    <row r="3468" spans="1:1">
      <c r="A3468" s="15"/>
    </row>
    <row r="3469" spans="1:1">
      <c r="A3469" s="15"/>
    </row>
    <row r="3470" spans="1:1">
      <c r="A3470" s="15"/>
    </row>
    <row r="3471" spans="1:1">
      <c r="A3471" s="15"/>
    </row>
    <row r="3472" spans="1:1">
      <c r="A3472" s="15"/>
    </row>
    <row r="3473" spans="1:1">
      <c r="A3473" s="15"/>
    </row>
    <row r="3474" spans="1:1">
      <c r="A3474" s="15"/>
    </row>
    <row r="3475" spans="1:1">
      <c r="A3475" s="15"/>
    </row>
    <row r="3476" spans="1:1">
      <c r="A3476" s="15"/>
    </row>
    <row r="3477" spans="1:1">
      <c r="A3477" s="15"/>
    </row>
    <row r="3478" spans="1:1">
      <c r="A3478" s="15"/>
    </row>
    <row r="3479" spans="1:1">
      <c r="A3479" s="15"/>
    </row>
    <row r="3480" spans="1:1">
      <c r="A3480" s="15"/>
    </row>
    <row r="3481" spans="1:1">
      <c r="A3481" s="15"/>
    </row>
    <row r="3482" spans="1:1">
      <c r="A3482" s="15"/>
    </row>
    <row r="3483" spans="1:1">
      <c r="A3483" s="15"/>
    </row>
    <row r="3484" spans="1:1">
      <c r="A3484" s="15"/>
    </row>
    <row r="3485" spans="1:1">
      <c r="A3485" s="15"/>
    </row>
    <row r="3486" spans="1:1">
      <c r="A3486" s="15"/>
    </row>
    <row r="3487" spans="1:1">
      <c r="A3487" s="15"/>
    </row>
    <row r="3488" spans="1:1">
      <c r="A3488" s="15"/>
    </row>
    <row r="3489" spans="1:1">
      <c r="A3489" s="15"/>
    </row>
    <row r="3490" spans="1:1">
      <c r="A3490" s="15"/>
    </row>
    <row r="3491" spans="1:1">
      <c r="A3491" s="15"/>
    </row>
    <row r="3492" spans="1:1">
      <c r="A3492" s="15"/>
    </row>
    <row r="3493" spans="1:1">
      <c r="A3493" s="15"/>
    </row>
    <row r="3494" spans="1:1">
      <c r="A3494" s="15"/>
    </row>
    <row r="3495" spans="1:1">
      <c r="A3495" s="15"/>
    </row>
    <row r="3496" spans="1:1">
      <c r="A3496" s="15"/>
    </row>
    <row r="3497" spans="1:1">
      <c r="A3497" s="15"/>
    </row>
    <row r="3498" spans="1:1">
      <c r="A3498" s="15"/>
    </row>
    <row r="3499" spans="1:1">
      <c r="A3499" s="15"/>
    </row>
    <row r="3500" spans="1:1">
      <c r="A3500" s="15"/>
    </row>
    <row r="3501" spans="1:1">
      <c r="A3501" s="15"/>
    </row>
    <row r="3502" spans="1:1">
      <c r="A3502" s="15"/>
    </row>
    <row r="3503" spans="1:1">
      <c r="A3503" s="15"/>
    </row>
    <row r="3504" spans="1:1">
      <c r="A3504" s="15"/>
    </row>
    <row r="3505" spans="1:1">
      <c r="A3505" s="15"/>
    </row>
    <row r="3506" spans="1:1">
      <c r="A3506" s="15"/>
    </row>
    <row r="3507" spans="1:1">
      <c r="A3507" s="15"/>
    </row>
    <row r="3508" spans="1:1">
      <c r="A3508" s="15"/>
    </row>
    <row r="3509" spans="1:1">
      <c r="A3509" s="15"/>
    </row>
    <row r="3510" spans="1:1">
      <c r="A3510" s="15"/>
    </row>
    <row r="3511" spans="1:1">
      <c r="A3511" s="15"/>
    </row>
    <row r="3512" spans="1:1">
      <c r="A3512" s="15"/>
    </row>
    <row r="3513" spans="1:1">
      <c r="A3513" s="15"/>
    </row>
    <row r="3514" spans="1:1">
      <c r="A3514" s="15"/>
    </row>
    <row r="3515" spans="1:1">
      <c r="A3515" s="15"/>
    </row>
    <row r="3516" spans="1:1">
      <c r="A3516" s="15"/>
    </row>
    <row r="3517" spans="1:1">
      <c r="A3517" s="15"/>
    </row>
    <row r="3518" spans="1:1">
      <c r="A3518" s="15"/>
    </row>
    <row r="3519" spans="1:1">
      <c r="A3519" s="15"/>
    </row>
    <row r="3520" spans="1:1">
      <c r="A3520" s="15"/>
    </row>
    <row r="3521" spans="1:1">
      <c r="A3521" s="15"/>
    </row>
    <row r="3522" spans="1:1">
      <c r="A3522" s="15"/>
    </row>
    <row r="3523" spans="1:1">
      <c r="A3523" s="15"/>
    </row>
    <row r="3524" spans="1:1">
      <c r="A3524" s="15"/>
    </row>
    <row r="3525" spans="1:1">
      <c r="A3525" s="15"/>
    </row>
    <row r="3526" spans="1:1">
      <c r="A3526" s="15"/>
    </row>
    <row r="3527" spans="1:1">
      <c r="A3527" s="15"/>
    </row>
    <row r="3528" spans="1:1">
      <c r="A3528" s="15"/>
    </row>
    <row r="3529" spans="1:1">
      <c r="A3529" s="15"/>
    </row>
    <row r="3530" spans="1:1">
      <c r="A3530" s="15"/>
    </row>
    <row r="3531" spans="1:1">
      <c r="A3531" s="15"/>
    </row>
    <row r="3532" spans="1:1">
      <c r="A3532" s="15"/>
    </row>
    <row r="3533" spans="1:1">
      <c r="A3533" s="15"/>
    </row>
    <row r="3534" spans="1:1">
      <c r="A3534" s="15"/>
    </row>
    <row r="3535" spans="1:1">
      <c r="A3535" s="15"/>
    </row>
    <row r="3536" spans="1:1">
      <c r="A3536" s="15"/>
    </row>
    <row r="3537" spans="1:1">
      <c r="A3537" s="15"/>
    </row>
    <row r="3538" spans="1:1">
      <c r="A3538" s="15"/>
    </row>
    <row r="3539" spans="1:1">
      <c r="A3539" s="15"/>
    </row>
    <row r="3540" spans="1:1">
      <c r="A3540" s="15"/>
    </row>
    <row r="3541" spans="1:1">
      <c r="A3541" s="15"/>
    </row>
    <row r="3542" spans="1:1">
      <c r="A3542" s="15"/>
    </row>
    <row r="3543" spans="1:1">
      <c r="A3543" s="15"/>
    </row>
    <row r="3544" spans="1:1">
      <c r="A3544" s="15"/>
    </row>
    <row r="3545" spans="1:1">
      <c r="A3545" s="15"/>
    </row>
    <row r="3546" spans="1:1">
      <c r="A3546" s="15"/>
    </row>
    <row r="3547" spans="1:1">
      <c r="A3547" s="15"/>
    </row>
    <row r="3548" spans="1:1">
      <c r="A3548" s="15"/>
    </row>
    <row r="3549" spans="1:1">
      <c r="A3549" s="15"/>
    </row>
    <row r="3550" spans="1:1">
      <c r="A3550" s="15"/>
    </row>
    <row r="3551" spans="1:1">
      <c r="A3551" s="15"/>
    </row>
    <row r="3552" spans="1:1">
      <c r="A3552" s="15"/>
    </row>
    <row r="3553" spans="1:1">
      <c r="A3553" s="15"/>
    </row>
    <row r="3554" spans="1:1">
      <c r="A3554" s="15"/>
    </row>
    <row r="3555" spans="1:1">
      <c r="A3555" s="15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730E6-9708-47A5-8F68-7E7628283693}">
  <dimension ref="A1:K35"/>
  <sheetViews>
    <sheetView workbookViewId="0">
      <selection activeCell="A3" sqref="A3"/>
    </sheetView>
  </sheetViews>
  <sheetFormatPr defaultRowHeight="15.5"/>
  <cols>
    <col min="1" max="1" width="13.75" bestFit="1" customWidth="1"/>
    <col min="2" max="2" width="26.83203125" bestFit="1" customWidth="1"/>
    <col min="3" max="3" width="30.1640625" bestFit="1" customWidth="1"/>
    <col min="5" max="5" width="9.75" customWidth="1"/>
    <col min="6" max="6" width="13.75" bestFit="1" customWidth="1"/>
    <col min="7" max="8" width="6.9140625" bestFit="1" customWidth="1"/>
    <col min="9" max="9" width="13.1640625" bestFit="1" customWidth="1"/>
    <col min="10" max="10" width="12.5" bestFit="1" customWidth="1"/>
    <col min="11" max="11" width="10.6640625" bestFit="1" customWidth="1"/>
  </cols>
  <sheetData>
    <row r="1" spans="1:11">
      <c r="A1" s="9" t="s">
        <v>170</v>
      </c>
      <c r="B1" t="s">
        <v>206</v>
      </c>
      <c r="F1" s="34" t="s">
        <v>195</v>
      </c>
      <c r="G1" s="34"/>
      <c r="H1" s="34"/>
      <c r="I1" s="34"/>
      <c r="J1" s="34"/>
      <c r="K1" s="34"/>
    </row>
    <row r="2" spans="1:11">
      <c r="F2" s="14" t="s">
        <v>194</v>
      </c>
      <c r="G2" s="14" t="s">
        <v>192</v>
      </c>
      <c r="H2" s="14" t="s">
        <v>193</v>
      </c>
      <c r="I2" s="14" t="s">
        <v>189</v>
      </c>
      <c r="J2" s="14" t="s">
        <v>190</v>
      </c>
      <c r="K2" s="14" t="s">
        <v>191</v>
      </c>
    </row>
    <row r="3" spans="1:11">
      <c r="A3" s="9" t="s">
        <v>185</v>
      </c>
      <c r="B3" t="s">
        <v>187</v>
      </c>
      <c r="C3" t="s">
        <v>188</v>
      </c>
      <c r="E3" s="35" t="s">
        <v>203</v>
      </c>
      <c r="F3" s="10" t="s">
        <v>145</v>
      </c>
      <c r="G3" s="8">
        <v>171.50000000000003</v>
      </c>
      <c r="H3" s="8">
        <v>31.9</v>
      </c>
      <c r="I3" s="13">
        <f>H3/G3</f>
        <v>0.18600583090379005</v>
      </c>
      <c r="J3" s="13">
        <f t="shared" ref="J3:J18" si="0">G3/$G$18</f>
        <v>2.6066602830088305E-2</v>
      </c>
      <c r="K3" s="13">
        <f t="shared" ref="K3:K18" si="1">H3/$H$18</f>
        <v>6.9969950209471171E-3</v>
      </c>
    </row>
    <row r="4" spans="1:11">
      <c r="A4" s="10" t="s">
        <v>144</v>
      </c>
      <c r="B4" s="8">
        <v>26.2</v>
      </c>
      <c r="C4" s="8">
        <v>14.600000000000001</v>
      </c>
      <c r="E4" s="35"/>
      <c r="F4" s="10" t="s">
        <v>147</v>
      </c>
      <c r="G4" s="8">
        <v>128.70000000000005</v>
      </c>
      <c r="H4" s="8">
        <v>63.199999999999996</v>
      </c>
      <c r="I4" s="13">
        <f t="shared" ref="I4:I35" si="2">H4/G4</f>
        <v>0.49106449106449085</v>
      </c>
      <c r="J4" s="13">
        <f t="shared" si="0"/>
        <v>1.956135151155898E-2</v>
      </c>
      <c r="K4" s="13">
        <f t="shared" si="1"/>
        <v>1.386238511987015E-2</v>
      </c>
    </row>
    <row r="5" spans="1:11">
      <c r="A5" s="10" t="s">
        <v>145</v>
      </c>
      <c r="B5" s="8">
        <v>181.30000000000004</v>
      </c>
      <c r="C5" s="8">
        <v>62.8</v>
      </c>
      <c r="E5" s="35"/>
      <c r="F5" s="10" t="s">
        <v>146</v>
      </c>
      <c r="G5" s="8">
        <v>491.59999999999991</v>
      </c>
      <c r="H5" s="8">
        <v>210.39999999999995</v>
      </c>
      <c r="I5" s="13">
        <f t="shared" si="2"/>
        <v>0.4279902359641985</v>
      </c>
      <c r="J5" s="13">
        <f t="shared" si="0"/>
        <v>7.4719195051145215E-2</v>
      </c>
      <c r="K5" s="13">
        <f t="shared" si="1"/>
        <v>4.6149459323112013E-2</v>
      </c>
    </row>
    <row r="6" spans="1:11">
      <c r="A6" s="10" t="s">
        <v>147</v>
      </c>
      <c r="B6" s="8">
        <v>257.60000000000002</v>
      </c>
      <c r="C6" s="8">
        <v>139.40000000000003</v>
      </c>
      <c r="E6" s="35"/>
      <c r="F6" s="10" t="s">
        <v>152</v>
      </c>
      <c r="G6" s="8">
        <v>858.1</v>
      </c>
      <c r="H6" s="8">
        <v>798.3</v>
      </c>
      <c r="I6" s="13">
        <f t="shared" si="2"/>
        <v>0.93031115254632324</v>
      </c>
      <c r="J6" s="13">
        <f t="shared" si="0"/>
        <v>0.13042420926238349</v>
      </c>
      <c r="K6" s="13">
        <f t="shared" si="1"/>
        <v>0.17510034875304337</v>
      </c>
    </row>
    <row r="7" spans="1:11">
      <c r="A7" s="10" t="s">
        <v>146</v>
      </c>
      <c r="B7" s="8">
        <v>468.3</v>
      </c>
      <c r="C7" s="8">
        <v>175.60000000000002</v>
      </c>
      <c r="E7" s="35"/>
      <c r="F7" s="10" t="s">
        <v>157</v>
      </c>
      <c r="G7" s="8">
        <v>208.20000000000002</v>
      </c>
      <c r="H7" s="8">
        <v>136.9</v>
      </c>
      <c r="I7" s="13">
        <f t="shared" si="2"/>
        <v>0.65754082612872233</v>
      </c>
      <c r="J7" s="13">
        <f t="shared" si="0"/>
        <v>3.164470384387396E-2</v>
      </c>
      <c r="K7" s="13">
        <f t="shared" si="1"/>
        <v>3.0027856375161768E-2</v>
      </c>
    </row>
    <row r="8" spans="1:11">
      <c r="A8" s="10" t="s">
        <v>152</v>
      </c>
      <c r="B8" s="8">
        <v>673.69999999999982</v>
      </c>
      <c r="C8" s="8">
        <v>623.20000000000016</v>
      </c>
      <c r="E8" s="35"/>
      <c r="F8" s="10" t="s">
        <v>148</v>
      </c>
      <c r="G8" s="8">
        <v>120.69999999999999</v>
      </c>
      <c r="H8" s="8">
        <v>29.800000000000004</v>
      </c>
      <c r="I8" s="13">
        <f t="shared" si="2"/>
        <v>0.24689312344656178</v>
      </c>
      <c r="J8" s="13">
        <f t="shared" si="0"/>
        <v>1.8345416685665642E-2</v>
      </c>
      <c r="K8" s="13">
        <f t="shared" si="1"/>
        <v>6.5363777938628256E-3</v>
      </c>
    </row>
    <row r="9" spans="1:11">
      <c r="A9" s="10" t="s">
        <v>157</v>
      </c>
      <c r="B9" s="8">
        <v>179.39999999999998</v>
      </c>
      <c r="C9" s="8">
        <v>115</v>
      </c>
      <c r="E9" s="35"/>
      <c r="F9" s="10" t="s">
        <v>150</v>
      </c>
      <c r="G9" s="8">
        <v>27</v>
      </c>
      <c r="H9" s="8">
        <v>1.1000000000000001</v>
      </c>
      <c r="I9" s="13">
        <f t="shared" si="2"/>
        <v>4.0740740740740744E-2</v>
      </c>
      <c r="J9" s="13">
        <f t="shared" si="0"/>
        <v>4.1037800373899943E-3</v>
      </c>
      <c r="K9" s="13">
        <f t="shared" si="1"/>
        <v>2.4127569037748684E-4</v>
      </c>
    </row>
    <row r="10" spans="1:11">
      <c r="A10" s="10" t="s">
        <v>148</v>
      </c>
      <c r="B10" s="8">
        <v>127.60000000000001</v>
      </c>
      <c r="C10" s="8">
        <v>26.3</v>
      </c>
      <c r="E10" s="35"/>
      <c r="F10" s="10" t="s">
        <v>155</v>
      </c>
      <c r="G10" s="8">
        <v>941.90000000000009</v>
      </c>
      <c r="H10" s="8">
        <v>811.9000000000002</v>
      </c>
      <c r="I10" s="13">
        <f t="shared" si="2"/>
        <v>0.8619811020278163</v>
      </c>
      <c r="J10" s="13">
        <f t="shared" si="0"/>
        <v>0.14316112656361615</v>
      </c>
      <c r="K10" s="13">
        <f t="shared" si="1"/>
        <v>0.17808339365225601</v>
      </c>
    </row>
    <row r="11" spans="1:11">
      <c r="A11" s="10" t="s">
        <v>150</v>
      </c>
      <c r="B11" s="8">
        <v>95.69999999999996</v>
      </c>
      <c r="C11" s="8">
        <v>52.699999999999996</v>
      </c>
      <c r="E11" s="35"/>
      <c r="F11" s="10" t="s">
        <v>149</v>
      </c>
      <c r="G11" s="8">
        <v>260.39999999999998</v>
      </c>
      <c r="H11" s="8">
        <v>16.600000000000001</v>
      </c>
      <c r="I11" s="13">
        <f t="shared" si="2"/>
        <v>6.3748079877112146E-2</v>
      </c>
      <c r="J11" s="13">
        <f t="shared" si="0"/>
        <v>3.9578678582827945E-2</v>
      </c>
      <c r="K11" s="13">
        <f t="shared" si="1"/>
        <v>3.6410695093329832E-3</v>
      </c>
    </row>
    <row r="12" spans="1:11">
      <c r="A12" s="10" t="s">
        <v>155</v>
      </c>
      <c r="B12" s="8">
        <v>933.69999999999993</v>
      </c>
      <c r="C12" s="8">
        <v>834.7000000000005</v>
      </c>
      <c r="E12" s="35"/>
      <c r="F12" s="10" t="s">
        <v>156</v>
      </c>
      <c r="G12" s="8">
        <v>185.1</v>
      </c>
      <c r="H12" s="8">
        <v>22.700000000000006</v>
      </c>
      <c r="I12" s="13">
        <f t="shared" si="2"/>
        <v>0.12263641274986498</v>
      </c>
      <c r="J12" s="13">
        <f t="shared" si="0"/>
        <v>2.8133692034106962E-2</v>
      </c>
      <c r="K12" s="13">
        <f t="shared" si="1"/>
        <v>4.9790528832445021E-3</v>
      </c>
    </row>
    <row r="13" spans="1:11">
      <c r="A13" s="10" t="s">
        <v>149</v>
      </c>
      <c r="B13" s="8">
        <v>250.99999999999997</v>
      </c>
      <c r="C13" s="8">
        <v>35.299999999999997</v>
      </c>
      <c r="E13" s="35"/>
      <c r="F13" s="10" t="s">
        <v>151</v>
      </c>
      <c r="G13" s="8">
        <v>39.300000000000004</v>
      </c>
      <c r="H13" s="8">
        <v>2.7</v>
      </c>
      <c r="I13" s="13">
        <f t="shared" si="2"/>
        <v>6.8702290076335881E-2</v>
      </c>
      <c r="J13" s="13">
        <f t="shared" si="0"/>
        <v>5.9732798322009928E-3</v>
      </c>
      <c r="K13" s="13">
        <f t="shared" si="1"/>
        <v>5.9222214910837679E-4</v>
      </c>
    </row>
    <row r="14" spans="1:11">
      <c r="A14" s="10" t="s">
        <v>156</v>
      </c>
      <c r="B14" s="8">
        <v>135.79999999999995</v>
      </c>
      <c r="C14" s="8">
        <v>19.600000000000012</v>
      </c>
      <c r="E14" s="35"/>
      <c r="F14" s="10" t="s">
        <v>165</v>
      </c>
      <c r="G14" s="8">
        <v>33.6</v>
      </c>
      <c r="H14" s="8">
        <v>6.3</v>
      </c>
      <c r="I14" s="13">
        <f t="shared" si="2"/>
        <v>0.1875</v>
      </c>
      <c r="J14" s="13">
        <f t="shared" si="0"/>
        <v>5.1069262687519932E-3</v>
      </c>
      <c r="K14" s="13">
        <f t="shared" si="1"/>
        <v>1.3818516812528789E-3</v>
      </c>
    </row>
    <row r="15" spans="1:11">
      <c r="A15" s="10" t="s">
        <v>151</v>
      </c>
      <c r="B15" s="8">
        <v>69.699999999999946</v>
      </c>
      <c r="C15" s="8">
        <v>10.299999999999999</v>
      </c>
      <c r="E15" s="35"/>
      <c r="F15" s="10" t="s">
        <v>153</v>
      </c>
      <c r="G15" s="8">
        <v>783.30000000000007</v>
      </c>
      <c r="H15" s="8">
        <v>559.59999999999991</v>
      </c>
      <c r="I15" s="13">
        <f t="shared" si="2"/>
        <v>0.71441337929273563</v>
      </c>
      <c r="J15" s="13">
        <f t="shared" si="0"/>
        <v>0.11905521864028086</v>
      </c>
      <c r="K15" s="13">
        <f t="shared" si="1"/>
        <v>0.12274352394112872</v>
      </c>
    </row>
    <row r="16" spans="1:11">
      <c r="A16" s="10" t="s">
        <v>165</v>
      </c>
      <c r="B16" s="8">
        <v>40.199999999999996</v>
      </c>
      <c r="C16" s="8">
        <v>13.3</v>
      </c>
      <c r="E16" s="35"/>
      <c r="F16" s="10" t="s">
        <v>159</v>
      </c>
      <c r="G16" s="8">
        <v>291.09999999999997</v>
      </c>
      <c r="H16" s="8">
        <v>211.69999999999996</v>
      </c>
      <c r="I16" s="13">
        <f t="shared" si="2"/>
        <v>0.72724149776709035</v>
      </c>
      <c r="J16" s="13">
        <f t="shared" si="0"/>
        <v>4.4244828477193604E-2</v>
      </c>
      <c r="K16" s="13">
        <f t="shared" si="1"/>
        <v>4.643460332083086E-2</v>
      </c>
    </row>
    <row r="17" spans="1:11">
      <c r="A17" s="10" t="s">
        <v>153</v>
      </c>
      <c r="B17" s="8">
        <v>749.50000000000011</v>
      </c>
      <c r="C17" s="8">
        <v>542.39999999999986</v>
      </c>
      <c r="E17" s="35"/>
      <c r="F17" s="10" t="s">
        <v>154</v>
      </c>
      <c r="G17" s="8">
        <v>2038.8000000000013</v>
      </c>
      <c r="H17" s="8">
        <v>1655.9999999999998</v>
      </c>
      <c r="I17" s="13">
        <f t="shared" si="2"/>
        <v>0.81224249558563799</v>
      </c>
      <c r="J17" s="13">
        <f t="shared" si="0"/>
        <v>0.30988099037891581</v>
      </c>
      <c r="K17" s="13">
        <f t="shared" si="1"/>
        <v>0.36322958478647099</v>
      </c>
    </row>
    <row r="18" spans="1:11">
      <c r="A18" s="10" t="s">
        <v>159</v>
      </c>
      <c r="B18" s="8">
        <v>207.00000000000003</v>
      </c>
      <c r="C18" s="8">
        <v>156.30000000000001</v>
      </c>
      <c r="E18" s="35"/>
      <c r="F18" s="11" t="s">
        <v>186</v>
      </c>
      <c r="G18" s="12">
        <f>SUM(G3:G17)</f>
        <v>6579.300000000002</v>
      </c>
      <c r="H18" s="12">
        <f>SUM(H3:H17)</f>
        <v>4559.0999999999995</v>
      </c>
      <c r="I18" s="13">
        <f t="shared" si="2"/>
        <v>0.69294605809128607</v>
      </c>
      <c r="J18" s="13">
        <f t="shared" si="0"/>
        <v>1</v>
      </c>
      <c r="K18" s="13">
        <f t="shared" si="1"/>
        <v>1</v>
      </c>
    </row>
    <row r="19" spans="1:11">
      <c r="A19" s="10" t="s">
        <v>154</v>
      </c>
      <c r="B19" s="8">
        <v>1695.9999999999993</v>
      </c>
      <c r="C19" s="8">
        <v>1336.6000000000006</v>
      </c>
      <c r="E19" s="36" t="s">
        <v>204</v>
      </c>
      <c r="F19" s="10" t="s">
        <v>144</v>
      </c>
      <c r="G19" s="8">
        <v>35.400000000000006</v>
      </c>
      <c r="H19" s="8">
        <v>16</v>
      </c>
      <c r="I19" s="13">
        <f t="shared" si="2"/>
        <v>0.45197740112994345</v>
      </c>
      <c r="J19" s="13">
        <f>G19/$G$35</f>
        <v>4.5597990597024546E-3</v>
      </c>
      <c r="K19" s="13">
        <f>H19/$H$35</f>
        <v>2.9249387590947313E-3</v>
      </c>
    </row>
    <row r="20" spans="1:11">
      <c r="A20" s="10" t="s">
        <v>160</v>
      </c>
      <c r="B20" s="8">
        <v>0</v>
      </c>
      <c r="C20" s="8">
        <v>0</v>
      </c>
      <c r="E20" s="36"/>
      <c r="F20" s="10" t="s">
        <v>145</v>
      </c>
      <c r="G20" s="8">
        <v>233.59999999999994</v>
      </c>
      <c r="H20" s="8">
        <v>77.599999999999994</v>
      </c>
      <c r="I20" s="13">
        <f t="shared" si="2"/>
        <v>0.33219178082191786</v>
      </c>
      <c r="J20" s="13">
        <f t="shared" ref="J20:J35" si="3">G20/$G$35</f>
        <v>3.0089521478714489E-2</v>
      </c>
      <c r="K20" s="13">
        <f t="shared" ref="K20:K35" si="4">H20/$H$35</f>
        <v>1.4185952981609445E-2</v>
      </c>
    </row>
    <row r="21" spans="1:11">
      <c r="A21" s="10" t="s">
        <v>205</v>
      </c>
      <c r="B21" s="8"/>
      <c r="C21" s="8"/>
      <c r="E21" s="36"/>
      <c r="F21" s="10" t="s">
        <v>147</v>
      </c>
      <c r="G21" s="8">
        <v>317.99999999999994</v>
      </c>
      <c r="H21" s="8">
        <v>185</v>
      </c>
      <c r="I21" s="13">
        <f t="shared" si="2"/>
        <v>0.58176100628930827</v>
      </c>
      <c r="J21" s="13">
        <f t="shared" si="3"/>
        <v>4.096090680749661E-2</v>
      </c>
      <c r="K21" s="13">
        <f t="shared" si="4"/>
        <v>3.3819604402032827E-2</v>
      </c>
    </row>
    <row r="22" spans="1:11">
      <c r="A22" s="10" t="s">
        <v>186</v>
      </c>
      <c r="B22" s="8">
        <v>6092.6999999999989</v>
      </c>
      <c r="C22" s="8">
        <v>4158.1000000000013</v>
      </c>
      <c r="E22" s="36"/>
      <c r="F22" s="10" t="s">
        <v>146</v>
      </c>
      <c r="G22" s="8">
        <v>491.59999999999991</v>
      </c>
      <c r="H22" s="8">
        <v>210.39999999999995</v>
      </c>
      <c r="I22" s="13">
        <f t="shared" si="2"/>
        <v>0.4279902359641985</v>
      </c>
      <c r="J22" s="13">
        <f t="shared" si="3"/>
        <v>6.3321955303664579E-2</v>
      </c>
      <c r="K22" s="13">
        <f t="shared" si="4"/>
        <v>3.8462944682095705E-2</v>
      </c>
    </row>
    <row r="23" spans="1:11">
      <c r="E23" s="36"/>
      <c r="F23" s="10" t="s">
        <v>152</v>
      </c>
      <c r="G23" s="8">
        <v>862</v>
      </c>
      <c r="H23" s="8">
        <v>802</v>
      </c>
      <c r="I23" s="13">
        <f t="shared" si="2"/>
        <v>0.93039443155452439</v>
      </c>
      <c r="J23" s="13">
        <f t="shared" si="3"/>
        <v>0.11103239518258518</v>
      </c>
      <c r="K23" s="13">
        <f t="shared" si="4"/>
        <v>0.14661255529962339</v>
      </c>
    </row>
    <row r="24" spans="1:11">
      <c r="E24" s="36"/>
      <c r="F24" s="10" t="s">
        <v>157</v>
      </c>
      <c r="G24" s="8">
        <v>208.20000000000002</v>
      </c>
      <c r="H24" s="8">
        <v>136.9</v>
      </c>
      <c r="I24" s="13">
        <f t="shared" si="2"/>
        <v>0.65754082612872233</v>
      </c>
      <c r="J24" s="13">
        <f t="shared" si="3"/>
        <v>2.6817801249436467E-2</v>
      </c>
      <c r="K24" s="13">
        <f t="shared" si="4"/>
        <v>2.5026507257504292E-2</v>
      </c>
    </row>
    <row r="25" spans="1:11">
      <c r="E25" s="36"/>
      <c r="F25" s="10" t="s">
        <v>148</v>
      </c>
      <c r="G25" s="8">
        <v>159</v>
      </c>
      <c r="H25" s="8">
        <v>30.000000000000004</v>
      </c>
      <c r="I25" s="13">
        <f t="shared" si="2"/>
        <v>0.18867924528301888</v>
      </c>
      <c r="J25" s="13">
        <f t="shared" si="3"/>
        <v>2.0480453403748308E-2</v>
      </c>
      <c r="K25" s="13">
        <f t="shared" si="4"/>
        <v>5.4842601733026217E-3</v>
      </c>
    </row>
    <row r="26" spans="1:11">
      <c r="E26" s="36"/>
      <c r="F26" s="10" t="s">
        <v>150</v>
      </c>
      <c r="G26" s="8">
        <v>126.19999999999999</v>
      </c>
      <c r="H26" s="8">
        <v>69.999999999999986</v>
      </c>
      <c r="I26" s="13">
        <f t="shared" si="2"/>
        <v>0.55467511885895393</v>
      </c>
      <c r="J26" s="13">
        <f t="shared" si="3"/>
        <v>1.6255554839956204E-2</v>
      </c>
      <c r="K26" s="13">
        <f t="shared" si="4"/>
        <v>1.2796607071039447E-2</v>
      </c>
    </row>
    <row r="27" spans="1:11">
      <c r="E27" s="36"/>
      <c r="F27" s="10" t="s">
        <v>155</v>
      </c>
      <c r="G27" s="8">
        <v>1238.2000000000007</v>
      </c>
      <c r="H27" s="8">
        <v>1085.3000000000004</v>
      </c>
      <c r="I27" s="13">
        <f t="shared" si="2"/>
        <v>0.8765142949442738</v>
      </c>
      <c r="J27" s="13">
        <f t="shared" si="3"/>
        <v>0.15948992078315202</v>
      </c>
      <c r="K27" s="13">
        <f t="shared" si="4"/>
        <v>0.19840225220284455</v>
      </c>
    </row>
    <row r="28" spans="1:11">
      <c r="E28" s="36"/>
      <c r="F28" s="10" t="s">
        <v>149</v>
      </c>
      <c r="G28" s="8">
        <v>309.59999999999991</v>
      </c>
      <c r="H28" s="8">
        <v>47.899999999999991</v>
      </c>
      <c r="I28" s="13">
        <f t="shared" si="2"/>
        <v>0.15471576227390182</v>
      </c>
      <c r="J28" s="13">
        <f t="shared" si="3"/>
        <v>3.9878920589940095E-2</v>
      </c>
      <c r="K28" s="13">
        <f t="shared" si="4"/>
        <v>8.7565354100398504E-3</v>
      </c>
    </row>
    <row r="29" spans="1:11">
      <c r="E29" s="36"/>
      <c r="F29" s="10" t="s">
        <v>156</v>
      </c>
      <c r="G29" s="8">
        <v>187.6</v>
      </c>
      <c r="H29" s="8">
        <v>22.800000000000018</v>
      </c>
      <c r="I29" s="13">
        <f t="shared" si="2"/>
        <v>0.12153518123667388</v>
      </c>
      <c r="J29" s="13">
        <f t="shared" si="3"/>
        <v>2.4164358858762156E-2</v>
      </c>
      <c r="K29" s="13">
        <f t="shared" si="4"/>
        <v>4.168037731709995E-3</v>
      </c>
    </row>
    <row r="30" spans="1:11">
      <c r="E30" s="36"/>
      <c r="F30" s="10" t="s">
        <v>151</v>
      </c>
      <c r="G30" s="8">
        <v>78</v>
      </c>
      <c r="H30" s="8">
        <v>14.2</v>
      </c>
      <c r="I30" s="13">
        <f t="shared" si="2"/>
        <v>0.18205128205128204</v>
      </c>
      <c r="J30" s="13">
        <f t="shared" si="3"/>
        <v>1.0047014877310492E-2</v>
      </c>
      <c r="K30" s="13">
        <f t="shared" si="4"/>
        <v>2.5958831486965735E-3</v>
      </c>
    </row>
    <row r="31" spans="1:11">
      <c r="E31" s="36"/>
      <c r="F31" s="10" t="s">
        <v>165</v>
      </c>
      <c r="G31" s="8">
        <v>52.9</v>
      </c>
      <c r="H31" s="8">
        <v>20.400000000000002</v>
      </c>
      <c r="I31" s="13">
        <f t="shared" si="2"/>
        <v>0.38563327032136113</v>
      </c>
      <c r="J31" s="13">
        <f t="shared" si="3"/>
        <v>6.8139370129451917E-3</v>
      </c>
      <c r="K31" s="13">
        <f t="shared" si="4"/>
        <v>3.7292969178457825E-3</v>
      </c>
    </row>
    <row r="32" spans="1:11">
      <c r="E32" s="36"/>
      <c r="F32" s="10" t="s">
        <v>153</v>
      </c>
      <c r="G32" s="8">
        <v>952.5999999999998</v>
      </c>
      <c r="H32" s="8">
        <v>721.20000000000016</v>
      </c>
      <c r="I32" s="13">
        <f t="shared" si="2"/>
        <v>0.75708587024984286</v>
      </c>
      <c r="J32" s="13">
        <f t="shared" si="3"/>
        <v>0.12270238938623042</v>
      </c>
      <c r="K32" s="13">
        <f t="shared" si="4"/>
        <v>0.13184161456619503</v>
      </c>
    </row>
    <row r="33" spans="5:11">
      <c r="E33" s="36"/>
      <c r="F33" s="10" t="s">
        <v>159</v>
      </c>
      <c r="G33" s="8">
        <v>291.09999999999997</v>
      </c>
      <c r="H33" s="8">
        <v>211.70000000000002</v>
      </c>
      <c r="I33" s="13">
        <f t="shared" si="2"/>
        <v>0.72724149776709046</v>
      </c>
      <c r="J33" s="13">
        <f t="shared" si="3"/>
        <v>3.7495974753654918E-2</v>
      </c>
      <c r="K33" s="13">
        <f t="shared" si="4"/>
        <v>3.8700595956272163E-2</v>
      </c>
    </row>
    <row r="34" spans="5:11">
      <c r="E34" s="36"/>
      <c r="F34" s="10" t="s">
        <v>154</v>
      </c>
      <c r="G34" s="8">
        <v>2219.5000000000005</v>
      </c>
      <c r="H34" s="8">
        <v>1818.7999999999993</v>
      </c>
      <c r="I34" s="13">
        <f t="shared" si="2"/>
        <v>0.8194638432079292</v>
      </c>
      <c r="J34" s="13">
        <f t="shared" si="3"/>
        <v>0.28588909641270049</v>
      </c>
      <c r="K34" s="13">
        <f t="shared" si="4"/>
        <v>0.33249241344009345</v>
      </c>
    </row>
    <row r="35" spans="5:11">
      <c r="E35" s="36"/>
      <c r="F35" s="11" t="s">
        <v>186</v>
      </c>
      <c r="G35" s="12">
        <f>SUM(G19:G34)</f>
        <v>7763.5</v>
      </c>
      <c r="H35" s="12">
        <f>SUM(H19:H34)</f>
        <v>5470.2000000000007</v>
      </c>
      <c r="I35" s="13">
        <f t="shared" si="2"/>
        <v>0.70460488181876735</v>
      </c>
      <c r="J35" s="13">
        <f t="shared" si="3"/>
        <v>1</v>
      </c>
      <c r="K35" s="13">
        <f t="shared" si="4"/>
        <v>1</v>
      </c>
    </row>
  </sheetData>
  <mergeCells count="3">
    <mergeCell ref="F1:K1"/>
    <mergeCell ref="E3:E18"/>
    <mergeCell ref="E19:E35"/>
  </mergeCell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C972E-F697-43C0-81B0-B69605116DFA}">
  <dimension ref="A1:I1457"/>
  <sheetViews>
    <sheetView workbookViewId="0">
      <selection sqref="A1:H1319"/>
    </sheetView>
  </sheetViews>
  <sheetFormatPr defaultRowHeight="15.5"/>
  <sheetData>
    <row r="1" spans="1:9">
      <c r="A1" s="5" t="s">
        <v>173</v>
      </c>
      <c r="B1" s="5" t="s">
        <v>174</v>
      </c>
      <c r="C1" s="6">
        <v>46202</v>
      </c>
      <c r="D1" s="6">
        <v>46203</v>
      </c>
      <c r="E1" s="6">
        <v>46204</v>
      </c>
      <c r="F1" s="6">
        <v>46205</v>
      </c>
      <c r="G1" s="6">
        <v>46206</v>
      </c>
      <c r="H1" s="6">
        <v>46208</v>
      </c>
      <c r="I1" s="6"/>
    </row>
    <row r="2" spans="1:9">
      <c r="A2" s="5" t="s">
        <v>175</v>
      </c>
      <c r="B2" s="5" t="s">
        <v>176</v>
      </c>
      <c r="C2" s="5" t="s">
        <v>176</v>
      </c>
      <c r="D2" s="5" t="s">
        <v>176</v>
      </c>
      <c r="E2" s="5" t="s">
        <v>176</v>
      </c>
      <c r="F2" s="5" t="s">
        <v>176</v>
      </c>
      <c r="G2" s="5" t="s">
        <v>176</v>
      </c>
      <c r="H2" s="5" t="s">
        <v>176</v>
      </c>
      <c r="I2" s="5"/>
    </row>
    <row r="3" spans="1:9">
      <c r="A3" s="5">
        <v>1532</v>
      </c>
      <c r="B3" s="5">
        <v>1</v>
      </c>
      <c r="C3" s="5" t="s">
        <v>177</v>
      </c>
      <c r="D3" s="5" t="s">
        <v>177</v>
      </c>
      <c r="E3" s="5" t="s">
        <v>177</v>
      </c>
      <c r="F3" s="5" t="s">
        <v>177</v>
      </c>
      <c r="G3" s="5">
        <v>1</v>
      </c>
      <c r="H3" s="5" t="s">
        <v>177</v>
      </c>
      <c r="I3" s="5"/>
    </row>
    <row r="4" spans="1:9">
      <c r="A4" s="5">
        <v>1606</v>
      </c>
      <c r="B4" s="5">
        <v>1</v>
      </c>
      <c r="C4" s="5" t="s">
        <v>177</v>
      </c>
      <c r="D4" s="5" t="s">
        <v>177</v>
      </c>
      <c r="E4" s="5">
        <v>1</v>
      </c>
      <c r="F4" s="5" t="s">
        <v>177</v>
      </c>
      <c r="G4" s="5" t="s">
        <v>177</v>
      </c>
      <c r="H4" s="5" t="s">
        <v>177</v>
      </c>
      <c r="I4" s="5"/>
    </row>
    <row r="5" spans="1:9">
      <c r="A5" s="5">
        <v>8638</v>
      </c>
      <c r="B5" s="5">
        <v>1</v>
      </c>
      <c r="C5" s="5" t="s">
        <v>177</v>
      </c>
      <c r="D5" s="5" t="s">
        <v>177</v>
      </c>
      <c r="E5" s="5">
        <v>1</v>
      </c>
      <c r="F5" s="5" t="s">
        <v>177</v>
      </c>
      <c r="G5" s="5" t="s">
        <v>177</v>
      </c>
      <c r="H5" s="5" t="s">
        <v>177</v>
      </c>
      <c r="I5" s="5"/>
    </row>
    <row r="6" spans="1:9">
      <c r="A6" s="5">
        <v>10993</v>
      </c>
      <c r="B6" s="5">
        <v>1</v>
      </c>
      <c r="C6" s="5" t="s">
        <v>177</v>
      </c>
      <c r="D6" s="5" t="s">
        <v>177</v>
      </c>
      <c r="E6" s="5" t="s">
        <v>177</v>
      </c>
      <c r="F6" s="5">
        <v>1</v>
      </c>
      <c r="G6" s="5" t="s">
        <v>177</v>
      </c>
      <c r="H6" s="5" t="s">
        <v>177</v>
      </c>
      <c r="I6" s="5"/>
    </row>
    <row r="7" spans="1:9">
      <c r="A7" s="5">
        <v>11021</v>
      </c>
      <c r="B7" s="5">
        <v>1</v>
      </c>
      <c r="C7" s="5" t="s">
        <v>177</v>
      </c>
      <c r="D7" s="5">
        <v>1</v>
      </c>
      <c r="E7" s="5" t="s">
        <v>177</v>
      </c>
      <c r="F7" s="5" t="s">
        <v>177</v>
      </c>
      <c r="G7" s="5" t="s">
        <v>177</v>
      </c>
      <c r="H7" s="5" t="s">
        <v>177</v>
      </c>
      <c r="I7" s="5"/>
    </row>
    <row r="8" spans="1:9">
      <c r="A8" s="5">
        <v>28083</v>
      </c>
      <c r="B8" s="5">
        <v>1</v>
      </c>
      <c r="C8" s="5" t="s">
        <v>177</v>
      </c>
      <c r="D8" s="5" t="s">
        <v>177</v>
      </c>
      <c r="E8" s="5">
        <v>1</v>
      </c>
      <c r="F8" s="5" t="s">
        <v>177</v>
      </c>
      <c r="G8" s="5" t="s">
        <v>177</v>
      </c>
      <c r="H8" s="5" t="s">
        <v>177</v>
      </c>
      <c r="I8" s="5"/>
    </row>
    <row r="9" spans="1:9">
      <c r="A9" s="5">
        <v>33122</v>
      </c>
      <c r="B9" s="5">
        <v>1</v>
      </c>
      <c r="C9" s="5" t="s">
        <v>177</v>
      </c>
      <c r="D9" s="5">
        <v>1</v>
      </c>
      <c r="E9" s="5" t="s">
        <v>177</v>
      </c>
      <c r="F9" s="5" t="s">
        <v>177</v>
      </c>
      <c r="G9" s="5" t="s">
        <v>177</v>
      </c>
      <c r="H9" s="5" t="s">
        <v>177</v>
      </c>
      <c r="I9" s="5"/>
    </row>
    <row r="10" spans="1:9">
      <c r="A10" s="5">
        <v>33130</v>
      </c>
      <c r="B10" s="5">
        <v>1</v>
      </c>
      <c r="C10" s="5">
        <v>1</v>
      </c>
      <c r="D10" s="5" t="s">
        <v>177</v>
      </c>
      <c r="E10" s="5" t="s">
        <v>177</v>
      </c>
      <c r="F10" s="5" t="s">
        <v>177</v>
      </c>
      <c r="G10" s="5" t="s">
        <v>177</v>
      </c>
      <c r="H10" s="5" t="s">
        <v>177</v>
      </c>
      <c r="I10" s="5"/>
    </row>
    <row r="11" spans="1:9">
      <c r="A11" s="5">
        <v>33165</v>
      </c>
      <c r="B11" s="5">
        <v>1</v>
      </c>
      <c r="C11" s="5" t="s">
        <v>177</v>
      </c>
      <c r="D11" s="5" t="s">
        <v>177</v>
      </c>
      <c r="E11" s="5" t="s">
        <v>177</v>
      </c>
      <c r="F11" s="5">
        <v>1</v>
      </c>
      <c r="G11" s="5" t="s">
        <v>177</v>
      </c>
      <c r="H11" s="5" t="s">
        <v>177</v>
      </c>
      <c r="I11" s="5"/>
    </row>
    <row r="12" spans="1:9">
      <c r="A12" s="5">
        <v>33166</v>
      </c>
      <c r="B12" s="5">
        <v>1</v>
      </c>
      <c r="C12" s="5" t="s">
        <v>177</v>
      </c>
      <c r="D12" s="5">
        <v>1</v>
      </c>
      <c r="E12" s="5" t="s">
        <v>177</v>
      </c>
      <c r="F12" s="5" t="s">
        <v>177</v>
      </c>
      <c r="G12" s="5" t="s">
        <v>177</v>
      </c>
      <c r="H12" s="5" t="s">
        <v>177</v>
      </c>
      <c r="I12" s="5"/>
    </row>
    <row r="13" spans="1:9">
      <c r="A13" s="5">
        <v>33172</v>
      </c>
      <c r="B13" s="5">
        <v>1</v>
      </c>
      <c r="C13" s="5" t="s">
        <v>177</v>
      </c>
      <c r="D13" s="5">
        <v>1</v>
      </c>
      <c r="E13" s="5" t="s">
        <v>177</v>
      </c>
      <c r="F13" s="5" t="s">
        <v>177</v>
      </c>
      <c r="G13" s="5" t="s">
        <v>177</v>
      </c>
      <c r="H13" s="5" t="s">
        <v>177</v>
      </c>
      <c r="I13" s="5"/>
    </row>
    <row r="14" spans="1:9">
      <c r="A14" s="5">
        <v>60513</v>
      </c>
      <c r="B14" s="5">
        <v>1</v>
      </c>
      <c r="C14" s="5">
        <v>1</v>
      </c>
      <c r="D14" s="5" t="s">
        <v>177</v>
      </c>
      <c r="E14" s="5" t="s">
        <v>177</v>
      </c>
      <c r="F14" s="5" t="s">
        <v>177</v>
      </c>
      <c r="G14" s="5" t="s">
        <v>177</v>
      </c>
      <c r="H14" s="5" t="s">
        <v>177</v>
      </c>
      <c r="I14" s="5"/>
    </row>
    <row r="15" spans="1:9">
      <c r="A15" s="5">
        <v>80002</v>
      </c>
      <c r="B15" s="5">
        <v>28</v>
      </c>
      <c r="C15" s="5">
        <v>5</v>
      </c>
      <c r="D15" s="5">
        <v>3</v>
      </c>
      <c r="E15" s="5">
        <v>1</v>
      </c>
      <c r="F15" s="5">
        <v>2</v>
      </c>
      <c r="G15" s="5">
        <v>8</v>
      </c>
      <c r="H15" s="5">
        <v>9</v>
      </c>
      <c r="I15" s="5"/>
    </row>
    <row r="16" spans="1:9">
      <c r="A16" s="5">
        <v>80003</v>
      </c>
      <c r="B16" s="5">
        <v>52</v>
      </c>
      <c r="C16" s="5">
        <v>4</v>
      </c>
      <c r="D16" s="5">
        <v>13</v>
      </c>
      <c r="E16" s="5">
        <v>4</v>
      </c>
      <c r="F16" s="5">
        <v>6</v>
      </c>
      <c r="G16" s="5">
        <v>10</v>
      </c>
      <c r="H16" s="5">
        <v>15</v>
      </c>
      <c r="I16" s="5"/>
    </row>
    <row r="17" spans="1:9">
      <c r="A17" s="5">
        <v>80004</v>
      </c>
      <c r="B17" s="5">
        <v>42</v>
      </c>
      <c r="C17" s="5">
        <v>6</v>
      </c>
      <c r="D17" s="5">
        <v>3</v>
      </c>
      <c r="E17" s="5">
        <v>2</v>
      </c>
      <c r="F17" s="5">
        <v>10</v>
      </c>
      <c r="G17" s="5">
        <v>4</v>
      </c>
      <c r="H17" s="5">
        <v>17</v>
      </c>
      <c r="I17" s="5"/>
    </row>
    <row r="18" spans="1:9">
      <c r="A18" s="5">
        <v>80005</v>
      </c>
      <c r="B18" s="5">
        <v>27</v>
      </c>
      <c r="C18" s="5">
        <v>3</v>
      </c>
      <c r="D18" s="5">
        <v>5</v>
      </c>
      <c r="E18" s="5">
        <v>2</v>
      </c>
      <c r="F18" s="5">
        <v>5</v>
      </c>
      <c r="G18" s="5">
        <v>6</v>
      </c>
      <c r="H18" s="5">
        <v>6</v>
      </c>
      <c r="I18" s="5"/>
    </row>
    <row r="19" spans="1:9">
      <c r="A19" s="5">
        <v>80010</v>
      </c>
      <c r="B19" s="5">
        <v>72</v>
      </c>
      <c r="C19" s="5">
        <v>12</v>
      </c>
      <c r="D19" s="5">
        <v>14</v>
      </c>
      <c r="E19" s="5">
        <v>9</v>
      </c>
      <c r="F19" s="5">
        <v>8</v>
      </c>
      <c r="G19" s="5">
        <v>11</v>
      </c>
      <c r="H19" s="5">
        <v>18</v>
      </c>
      <c r="I19" s="5"/>
    </row>
    <row r="20" spans="1:9">
      <c r="A20" s="5">
        <v>80011</v>
      </c>
      <c r="B20" s="5">
        <v>84</v>
      </c>
      <c r="C20" s="5">
        <v>10</v>
      </c>
      <c r="D20" s="5">
        <v>17</v>
      </c>
      <c r="E20" s="5">
        <v>7</v>
      </c>
      <c r="F20" s="5">
        <v>16</v>
      </c>
      <c r="G20" s="5">
        <v>12</v>
      </c>
      <c r="H20" s="5">
        <v>22</v>
      </c>
      <c r="I20" s="5"/>
    </row>
    <row r="21" spans="1:9">
      <c r="A21" s="5">
        <v>80012</v>
      </c>
      <c r="B21" s="5">
        <v>83</v>
      </c>
      <c r="C21" s="5">
        <v>12</v>
      </c>
      <c r="D21" s="5">
        <v>13</v>
      </c>
      <c r="E21" s="5">
        <v>9</v>
      </c>
      <c r="F21" s="5">
        <v>13</v>
      </c>
      <c r="G21" s="5">
        <v>11</v>
      </c>
      <c r="H21" s="5">
        <v>25</v>
      </c>
      <c r="I21" s="5"/>
    </row>
    <row r="22" spans="1:9">
      <c r="A22" s="5">
        <v>80013</v>
      </c>
      <c r="B22" s="5">
        <v>139</v>
      </c>
      <c r="C22" s="5">
        <v>18</v>
      </c>
      <c r="D22" s="5">
        <v>11</v>
      </c>
      <c r="E22" s="5">
        <v>18</v>
      </c>
      <c r="F22" s="5">
        <v>24</v>
      </c>
      <c r="G22" s="5">
        <v>22</v>
      </c>
      <c r="H22" s="5">
        <v>46</v>
      </c>
      <c r="I22" s="5"/>
    </row>
    <row r="23" spans="1:9">
      <c r="A23" s="5">
        <v>80014</v>
      </c>
      <c r="B23" s="5">
        <v>74</v>
      </c>
      <c r="C23" s="5">
        <v>14</v>
      </c>
      <c r="D23" s="5">
        <v>10</v>
      </c>
      <c r="E23" s="5">
        <v>8</v>
      </c>
      <c r="F23" s="5">
        <v>11</v>
      </c>
      <c r="G23" s="5">
        <v>9</v>
      </c>
      <c r="H23" s="5">
        <v>22</v>
      </c>
      <c r="I23" s="5"/>
    </row>
    <row r="24" spans="1:9">
      <c r="A24" s="5">
        <v>80015</v>
      </c>
      <c r="B24" s="5">
        <v>145</v>
      </c>
      <c r="C24" s="5">
        <v>19</v>
      </c>
      <c r="D24" s="5">
        <v>23</v>
      </c>
      <c r="E24" s="5">
        <v>11</v>
      </c>
      <c r="F24" s="5">
        <v>23</v>
      </c>
      <c r="G24" s="5">
        <v>21</v>
      </c>
      <c r="H24" s="5">
        <v>48</v>
      </c>
      <c r="I24" s="5"/>
    </row>
    <row r="25" spans="1:9">
      <c r="A25" s="5">
        <v>80016</v>
      </c>
      <c r="B25" s="5">
        <v>111</v>
      </c>
      <c r="C25" s="5">
        <v>22</v>
      </c>
      <c r="D25" s="5">
        <v>15</v>
      </c>
      <c r="E25" s="5">
        <v>8</v>
      </c>
      <c r="F25" s="5">
        <v>24</v>
      </c>
      <c r="G25" s="5">
        <v>15</v>
      </c>
      <c r="H25" s="5">
        <v>27</v>
      </c>
      <c r="I25" s="5"/>
    </row>
    <row r="26" spans="1:9">
      <c r="A26" s="5">
        <v>80017</v>
      </c>
      <c r="B26" s="5">
        <v>46</v>
      </c>
      <c r="C26" s="5">
        <v>6</v>
      </c>
      <c r="D26" s="5">
        <v>7</v>
      </c>
      <c r="E26" s="5">
        <v>9</v>
      </c>
      <c r="F26" s="5">
        <v>4</v>
      </c>
      <c r="G26" s="5">
        <v>8</v>
      </c>
      <c r="H26" s="5">
        <v>12</v>
      </c>
      <c r="I26" s="5"/>
    </row>
    <row r="27" spans="1:9">
      <c r="A27" s="5">
        <v>80019</v>
      </c>
      <c r="B27" s="5">
        <v>33</v>
      </c>
      <c r="C27" s="5">
        <v>5</v>
      </c>
      <c r="D27" s="5">
        <v>6</v>
      </c>
      <c r="E27" s="5">
        <v>1</v>
      </c>
      <c r="F27" s="5">
        <v>6</v>
      </c>
      <c r="G27" s="5">
        <v>10</v>
      </c>
      <c r="H27" s="5">
        <v>5</v>
      </c>
      <c r="I27" s="5"/>
    </row>
    <row r="28" spans="1:9">
      <c r="A28" s="5">
        <v>80020</v>
      </c>
      <c r="B28" s="5">
        <v>76</v>
      </c>
      <c r="C28" s="5">
        <v>12</v>
      </c>
      <c r="D28" s="5">
        <v>10</v>
      </c>
      <c r="E28" s="5">
        <v>11</v>
      </c>
      <c r="F28" s="5">
        <v>11</v>
      </c>
      <c r="G28" s="5">
        <v>11</v>
      </c>
      <c r="H28" s="5">
        <v>21</v>
      </c>
      <c r="I28" s="5"/>
    </row>
    <row r="29" spans="1:9">
      <c r="A29" s="5">
        <v>80021</v>
      </c>
      <c r="B29" s="5">
        <v>42</v>
      </c>
      <c r="C29" s="5">
        <v>6</v>
      </c>
      <c r="D29" s="5">
        <v>5</v>
      </c>
      <c r="E29" s="5">
        <v>5</v>
      </c>
      <c r="F29" s="5">
        <v>6</v>
      </c>
      <c r="G29" s="5">
        <v>5</v>
      </c>
      <c r="H29" s="5">
        <v>15</v>
      </c>
      <c r="I29" s="5"/>
    </row>
    <row r="30" spans="1:9">
      <c r="A30" s="5">
        <v>80022</v>
      </c>
      <c r="B30" s="5">
        <v>111</v>
      </c>
      <c r="C30" s="5">
        <v>12</v>
      </c>
      <c r="D30" s="5">
        <v>18</v>
      </c>
      <c r="E30" s="5">
        <v>8</v>
      </c>
      <c r="F30" s="5">
        <v>20</v>
      </c>
      <c r="G30" s="5">
        <v>23</v>
      </c>
      <c r="H30" s="5">
        <v>30</v>
      </c>
      <c r="I30" s="5"/>
    </row>
    <row r="31" spans="1:9">
      <c r="A31" s="5">
        <v>80023</v>
      </c>
      <c r="B31" s="5">
        <v>40</v>
      </c>
      <c r="C31" s="5">
        <v>3</v>
      </c>
      <c r="D31" s="5">
        <v>9</v>
      </c>
      <c r="E31" s="5">
        <v>3</v>
      </c>
      <c r="F31" s="5">
        <v>10</v>
      </c>
      <c r="G31" s="5">
        <v>5</v>
      </c>
      <c r="H31" s="5">
        <v>10</v>
      </c>
      <c r="I31" s="5"/>
    </row>
    <row r="32" spans="1:9">
      <c r="A32" s="5">
        <v>80026</v>
      </c>
      <c r="B32" s="5">
        <v>42</v>
      </c>
      <c r="C32" s="5">
        <v>4</v>
      </c>
      <c r="D32" s="5">
        <v>9</v>
      </c>
      <c r="E32" s="5">
        <v>4</v>
      </c>
      <c r="F32" s="5">
        <v>13</v>
      </c>
      <c r="G32" s="5">
        <v>3</v>
      </c>
      <c r="H32" s="5">
        <v>9</v>
      </c>
      <c r="I32" s="5"/>
    </row>
    <row r="33" spans="1:9">
      <c r="A33" s="5">
        <v>80027</v>
      </c>
      <c r="B33" s="5">
        <v>44</v>
      </c>
      <c r="C33" s="5">
        <v>4</v>
      </c>
      <c r="D33" s="5">
        <v>7</v>
      </c>
      <c r="E33" s="5">
        <v>3</v>
      </c>
      <c r="F33" s="5">
        <v>14</v>
      </c>
      <c r="G33" s="5">
        <v>7</v>
      </c>
      <c r="H33" s="5">
        <v>9</v>
      </c>
      <c r="I33" s="5"/>
    </row>
    <row r="34" spans="1:9">
      <c r="A34" s="5">
        <v>80030</v>
      </c>
      <c r="B34" s="5">
        <v>24</v>
      </c>
      <c r="C34" s="5">
        <v>1</v>
      </c>
      <c r="D34" s="5">
        <v>6</v>
      </c>
      <c r="E34" s="5">
        <v>4</v>
      </c>
      <c r="F34" s="5">
        <v>5</v>
      </c>
      <c r="G34" s="5" t="s">
        <v>177</v>
      </c>
      <c r="H34" s="5">
        <v>8</v>
      </c>
      <c r="I34" s="5"/>
    </row>
    <row r="35" spans="1:9">
      <c r="A35" s="5">
        <v>80031</v>
      </c>
      <c r="B35" s="5">
        <v>60</v>
      </c>
      <c r="C35" s="5">
        <v>11</v>
      </c>
      <c r="D35" s="5">
        <v>9</v>
      </c>
      <c r="E35" s="5">
        <v>5</v>
      </c>
      <c r="F35" s="5">
        <v>13</v>
      </c>
      <c r="G35" s="5">
        <v>7</v>
      </c>
      <c r="H35" s="5">
        <v>15</v>
      </c>
      <c r="I35" s="5"/>
    </row>
    <row r="36" spans="1:9">
      <c r="A36" s="5">
        <v>80033</v>
      </c>
      <c r="B36" s="5">
        <v>29</v>
      </c>
      <c r="C36" s="5">
        <v>3</v>
      </c>
      <c r="D36" s="5">
        <v>9</v>
      </c>
      <c r="E36" s="5">
        <v>5</v>
      </c>
      <c r="F36" s="5">
        <v>3</v>
      </c>
      <c r="G36" s="5">
        <v>3</v>
      </c>
      <c r="H36" s="5">
        <v>6</v>
      </c>
      <c r="I36" s="5"/>
    </row>
    <row r="37" spans="1:9">
      <c r="A37" s="5">
        <v>80045</v>
      </c>
      <c r="B37" s="5">
        <v>1</v>
      </c>
      <c r="C37" s="5" t="s">
        <v>177</v>
      </c>
      <c r="D37" s="5" t="s">
        <v>177</v>
      </c>
      <c r="E37" s="5" t="s">
        <v>177</v>
      </c>
      <c r="F37" s="5" t="s">
        <v>177</v>
      </c>
      <c r="G37" s="5">
        <v>1</v>
      </c>
      <c r="H37" s="5" t="s">
        <v>177</v>
      </c>
      <c r="I37" s="5"/>
    </row>
    <row r="38" spans="1:9">
      <c r="A38" s="5">
        <v>80104</v>
      </c>
      <c r="B38" s="5">
        <v>36</v>
      </c>
      <c r="C38" s="5">
        <v>3</v>
      </c>
      <c r="D38" s="5">
        <v>7</v>
      </c>
      <c r="E38" s="5">
        <v>5</v>
      </c>
      <c r="F38" s="5">
        <v>10</v>
      </c>
      <c r="G38" s="5">
        <v>6</v>
      </c>
      <c r="H38" s="5">
        <v>5</v>
      </c>
      <c r="I38" s="5"/>
    </row>
    <row r="39" spans="1:9">
      <c r="A39" s="5">
        <v>80107</v>
      </c>
      <c r="B39" s="5">
        <v>20</v>
      </c>
      <c r="C39" s="5">
        <v>4</v>
      </c>
      <c r="D39" s="5">
        <v>4</v>
      </c>
      <c r="E39" s="5">
        <v>1</v>
      </c>
      <c r="F39" s="5">
        <v>2</v>
      </c>
      <c r="G39" s="5">
        <v>3</v>
      </c>
      <c r="H39" s="5">
        <v>6</v>
      </c>
      <c r="I39" s="5"/>
    </row>
    <row r="40" spans="1:9">
      <c r="A40" s="5">
        <v>80108</v>
      </c>
      <c r="B40" s="5">
        <v>51</v>
      </c>
      <c r="C40" s="5">
        <v>9</v>
      </c>
      <c r="D40" s="5">
        <v>5</v>
      </c>
      <c r="E40" s="5">
        <v>12</v>
      </c>
      <c r="F40" s="5">
        <v>7</v>
      </c>
      <c r="G40" s="5">
        <v>5</v>
      </c>
      <c r="H40" s="5">
        <v>13</v>
      </c>
      <c r="I40" s="5"/>
    </row>
    <row r="41" spans="1:9">
      <c r="A41" s="5">
        <v>80109</v>
      </c>
      <c r="B41" s="5">
        <v>33</v>
      </c>
      <c r="C41" s="5">
        <v>2</v>
      </c>
      <c r="D41" s="5">
        <v>5</v>
      </c>
      <c r="E41" s="5">
        <v>2</v>
      </c>
      <c r="F41" s="5">
        <v>8</v>
      </c>
      <c r="G41" s="5">
        <v>2</v>
      </c>
      <c r="H41" s="5">
        <v>14</v>
      </c>
      <c r="I41" s="5"/>
    </row>
    <row r="42" spans="1:9">
      <c r="A42" s="5">
        <v>80110</v>
      </c>
      <c r="B42" s="5">
        <v>34</v>
      </c>
      <c r="C42" s="5">
        <v>11</v>
      </c>
      <c r="D42" s="5">
        <v>5</v>
      </c>
      <c r="E42" s="5">
        <v>3</v>
      </c>
      <c r="F42" s="5">
        <v>3</v>
      </c>
      <c r="G42" s="5">
        <v>3</v>
      </c>
      <c r="H42" s="5">
        <v>9</v>
      </c>
      <c r="I42" s="5"/>
    </row>
    <row r="43" spans="1:9">
      <c r="A43" s="5">
        <v>80111</v>
      </c>
      <c r="B43" s="5">
        <v>50</v>
      </c>
      <c r="C43" s="5">
        <v>8</v>
      </c>
      <c r="D43" s="5">
        <v>13</v>
      </c>
      <c r="E43" s="5">
        <v>4</v>
      </c>
      <c r="F43" s="5">
        <v>8</v>
      </c>
      <c r="G43" s="5">
        <v>6</v>
      </c>
      <c r="H43" s="5">
        <v>11</v>
      </c>
      <c r="I43" s="5"/>
    </row>
    <row r="44" spans="1:9">
      <c r="A44" s="5">
        <v>80112</v>
      </c>
      <c r="B44" s="5">
        <v>52</v>
      </c>
      <c r="C44" s="5">
        <v>8</v>
      </c>
      <c r="D44" s="5">
        <v>10</v>
      </c>
      <c r="E44" s="5">
        <v>4</v>
      </c>
      <c r="F44" s="5">
        <v>10</v>
      </c>
      <c r="G44" s="5">
        <v>7</v>
      </c>
      <c r="H44" s="5">
        <v>13</v>
      </c>
      <c r="I44" s="5"/>
    </row>
    <row r="45" spans="1:9">
      <c r="A45" s="5">
        <v>80113</v>
      </c>
      <c r="B45" s="5">
        <v>19</v>
      </c>
      <c r="C45" s="5">
        <v>1</v>
      </c>
      <c r="D45" s="5">
        <v>1</v>
      </c>
      <c r="E45" s="5" t="s">
        <v>177</v>
      </c>
      <c r="F45" s="5">
        <v>4</v>
      </c>
      <c r="G45" s="5">
        <v>2</v>
      </c>
      <c r="H45" s="5">
        <v>11</v>
      </c>
      <c r="I45" s="5"/>
    </row>
    <row r="46" spans="1:9">
      <c r="A46" s="5">
        <v>80116</v>
      </c>
      <c r="B46" s="5">
        <v>4</v>
      </c>
      <c r="C46" s="5" t="s">
        <v>177</v>
      </c>
      <c r="D46" s="5">
        <v>1</v>
      </c>
      <c r="E46" s="5" t="s">
        <v>177</v>
      </c>
      <c r="F46" s="5" t="s">
        <v>177</v>
      </c>
      <c r="G46" s="5">
        <v>1</v>
      </c>
      <c r="H46" s="5">
        <v>2</v>
      </c>
      <c r="I46" s="5"/>
    </row>
    <row r="47" spans="1:9">
      <c r="A47" s="5">
        <v>80120</v>
      </c>
      <c r="B47" s="5">
        <v>47</v>
      </c>
      <c r="C47" s="5">
        <v>12</v>
      </c>
      <c r="D47" s="5">
        <v>6</v>
      </c>
      <c r="E47" s="5">
        <v>2</v>
      </c>
      <c r="F47" s="5">
        <v>14</v>
      </c>
      <c r="G47" s="5">
        <v>4</v>
      </c>
      <c r="H47" s="5">
        <v>9</v>
      </c>
      <c r="I47" s="5"/>
    </row>
    <row r="48" spans="1:9">
      <c r="A48" s="5">
        <v>80121</v>
      </c>
      <c r="B48" s="5">
        <v>11</v>
      </c>
      <c r="C48" s="5">
        <v>1</v>
      </c>
      <c r="D48" s="5">
        <v>1</v>
      </c>
      <c r="E48" s="5">
        <v>1</v>
      </c>
      <c r="F48" s="5">
        <v>4</v>
      </c>
      <c r="G48" s="5">
        <v>1</v>
      </c>
      <c r="H48" s="5">
        <v>3</v>
      </c>
      <c r="I48" s="5"/>
    </row>
    <row r="49" spans="1:9">
      <c r="A49" s="5">
        <v>80122</v>
      </c>
      <c r="B49" s="5">
        <v>42</v>
      </c>
      <c r="C49" s="5">
        <v>5</v>
      </c>
      <c r="D49" s="5">
        <v>6</v>
      </c>
      <c r="E49" s="5">
        <v>4</v>
      </c>
      <c r="F49" s="5">
        <v>7</v>
      </c>
      <c r="G49" s="5">
        <v>5</v>
      </c>
      <c r="H49" s="5">
        <v>15</v>
      </c>
      <c r="I49" s="5"/>
    </row>
    <row r="50" spans="1:9">
      <c r="A50" s="5">
        <v>80124</v>
      </c>
      <c r="B50" s="5">
        <v>20</v>
      </c>
      <c r="C50" s="5">
        <v>3</v>
      </c>
      <c r="D50" s="5">
        <v>3</v>
      </c>
      <c r="E50" s="5">
        <v>1</v>
      </c>
      <c r="F50" s="5">
        <v>2</v>
      </c>
      <c r="G50" s="5">
        <v>6</v>
      </c>
      <c r="H50" s="5">
        <v>5</v>
      </c>
      <c r="I50" s="5"/>
    </row>
    <row r="51" spans="1:9">
      <c r="A51" s="5">
        <v>80125</v>
      </c>
      <c r="B51" s="5">
        <v>22</v>
      </c>
      <c r="C51" s="5">
        <v>2</v>
      </c>
      <c r="D51" s="5">
        <v>4</v>
      </c>
      <c r="E51" s="5">
        <v>4</v>
      </c>
      <c r="F51" s="5">
        <v>5</v>
      </c>
      <c r="G51" s="5">
        <v>2</v>
      </c>
      <c r="H51" s="5">
        <v>5</v>
      </c>
      <c r="I51" s="5"/>
    </row>
    <row r="52" spans="1:9">
      <c r="A52" s="5">
        <v>80126</v>
      </c>
      <c r="B52" s="5">
        <v>54</v>
      </c>
      <c r="C52" s="5">
        <v>9</v>
      </c>
      <c r="D52" s="5">
        <v>6</v>
      </c>
      <c r="E52" s="5">
        <v>4</v>
      </c>
      <c r="F52" s="5">
        <v>10</v>
      </c>
      <c r="G52" s="5">
        <v>9</v>
      </c>
      <c r="H52" s="5">
        <v>16</v>
      </c>
      <c r="I52" s="5"/>
    </row>
    <row r="53" spans="1:9">
      <c r="A53" s="5">
        <v>80129</v>
      </c>
      <c r="B53" s="5">
        <v>35</v>
      </c>
      <c r="C53" s="5">
        <v>5</v>
      </c>
      <c r="D53" s="5">
        <v>5</v>
      </c>
      <c r="E53" s="5">
        <v>4</v>
      </c>
      <c r="F53" s="5">
        <v>6</v>
      </c>
      <c r="G53" s="5">
        <v>4</v>
      </c>
      <c r="H53" s="5">
        <v>11</v>
      </c>
      <c r="I53" s="5"/>
    </row>
    <row r="54" spans="1:9">
      <c r="A54" s="5">
        <v>80130</v>
      </c>
      <c r="B54" s="5">
        <v>36</v>
      </c>
      <c r="C54" s="5">
        <v>7</v>
      </c>
      <c r="D54" s="5">
        <v>6</v>
      </c>
      <c r="E54" s="5">
        <v>6</v>
      </c>
      <c r="F54" s="5">
        <v>7</v>
      </c>
      <c r="G54" s="5">
        <v>2</v>
      </c>
      <c r="H54" s="5">
        <v>8</v>
      </c>
      <c r="I54" s="5"/>
    </row>
    <row r="55" spans="1:9">
      <c r="A55" s="5">
        <v>80132</v>
      </c>
      <c r="B55" s="5">
        <v>36</v>
      </c>
      <c r="C55" s="5">
        <v>3</v>
      </c>
      <c r="D55" s="5">
        <v>3</v>
      </c>
      <c r="E55" s="5">
        <v>4</v>
      </c>
      <c r="F55" s="5">
        <v>11</v>
      </c>
      <c r="G55" s="5">
        <v>8</v>
      </c>
      <c r="H55" s="5">
        <v>7</v>
      </c>
      <c r="I55" s="5"/>
    </row>
    <row r="56" spans="1:9">
      <c r="A56" s="5">
        <v>80133</v>
      </c>
      <c r="B56" s="5">
        <v>2</v>
      </c>
      <c r="C56" s="5" t="s">
        <v>177</v>
      </c>
      <c r="D56" s="5">
        <v>1</v>
      </c>
      <c r="E56" s="5" t="s">
        <v>177</v>
      </c>
      <c r="F56" s="5" t="s">
        <v>177</v>
      </c>
      <c r="G56" s="5" t="s">
        <v>177</v>
      </c>
      <c r="H56" s="5">
        <v>1</v>
      </c>
      <c r="I56" s="5"/>
    </row>
    <row r="57" spans="1:9">
      <c r="A57" s="5">
        <v>80134</v>
      </c>
      <c r="B57" s="5">
        <v>102</v>
      </c>
      <c r="C57" s="5">
        <v>7</v>
      </c>
      <c r="D57" s="5">
        <v>17</v>
      </c>
      <c r="E57" s="5">
        <v>12</v>
      </c>
      <c r="F57" s="5">
        <v>21</v>
      </c>
      <c r="G57" s="5">
        <v>14</v>
      </c>
      <c r="H57" s="5">
        <v>31</v>
      </c>
      <c r="I57" s="5"/>
    </row>
    <row r="58" spans="1:9">
      <c r="A58" s="5">
        <v>80138</v>
      </c>
      <c r="B58" s="5">
        <v>43</v>
      </c>
      <c r="C58" s="5">
        <v>5</v>
      </c>
      <c r="D58" s="5">
        <v>6</v>
      </c>
      <c r="E58" s="5">
        <v>5</v>
      </c>
      <c r="F58" s="5">
        <v>7</v>
      </c>
      <c r="G58" s="5">
        <v>9</v>
      </c>
      <c r="H58" s="5">
        <v>11</v>
      </c>
      <c r="I58" s="5"/>
    </row>
    <row r="59" spans="1:9">
      <c r="A59" s="5">
        <v>80202</v>
      </c>
      <c r="B59" s="5">
        <v>26</v>
      </c>
      <c r="C59" s="5">
        <v>3</v>
      </c>
      <c r="D59" s="5">
        <v>5</v>
      </c>
      <c r="E59" s="5">
        <v>1</v>
      </c>
      <c r="F59" s="5">
        <v>6</v>
      </c>
      <c r="G59" s="5">
        <v>4</v>
      </c>
      <c r="H59" s="5">
        <v>7</v>
      </c>
      <c r="I59" s="5"/>
    </row>
    <row r="60" spans="1:9">
      <c r="A60" s="5">
        <v>80203</v>
      </c>
      <c r="B60" s="5">
        <v>45</v>
      </c>
      <c r="C60" s="5">
        <v>6</v>
      </c>
      <c r="D60" s="5">
        <v>23</v>
      </c>
      <c r="E60" s="5">
        <v>3</v>
      </c>
      <c r="F60" s="5">
        <v>2</v>
      </c>
      <c r="G60" s="5">
        <v>3</v>
      </c>
      <c r="H60" s="5">
        <v>8</v>
      </c>
      <c r="I60" s="5"/>
    </row>
    <row r="61" spans="1:9">
      <c r="A61" s="5">
        <v>80204</v>
      </c>
      <c r="B61" s="5">
        <v>69</v>
      </c>
      <c r="C61" s="5">
        <v>11</v>
      </c>
      <c r="D61" s="5">
        <v>14</v>
      </c>
      <c r="E61" s="5">
        <v>8</v>
      </c>
      <c r="F61" s="5">
        <v>18</v>
      </c>
      <c r="G61" s="5">
        <v>7</v>
      </c>
      <c r="H61" s="5">
        <v>11</v>
      </c>
      <c r="I61" s="5"/>
    </row>
    <row r="62" spans="1:9">
      <c r="A62" s="5">
        <v>80205</v>
      </c>
      <c r="B62" s="5">
        <v>45</v>
      </c>
      <c r="C62" s="5">
        <v>9</v>
      </c>
      <c r="D62" s="5">
        <v>6</v>
      </c>
      <c r="E62" s="5">
        <v>2</v>
      </c>
      <c r="F62" s="5">
        <v>12</v>
      </c>
      <c r="G62" s="5">
        <v>8</v>
      </c>
      <c r="H62" s="5">
        <v>8</v>
      </c>
      <c r="I62" s="5"/>
    </row>
    <row r="63" spans="1:9">
      <c r="A63" s="5">
        <v>80206</v>
      </c>
      <c r="B63" s="5">
        <v>45</v>
      </c>
      <c r="C63" s="5">
        <v>5</v>
      </c>
      <c r="D63" s="5">
        <v>8</v>
      </c>
      <c r="E63" s="5">
        <v>4</v>
      </c>
      <c r="F63" s="5">
        <v>10</v>
      </c>
      <c r="G63" s="5">
        <v>6</v>
      </c>
      <c r="H63" s="5">
        <v>12</v>
      </c>
      <c r="I63" s="5"/>
    </row>
    <row r="64" spans="1:9">
      <c r="A64" s="5">
        <v>80207</v>
      </c>
      <c r="B64" s="5">
        <v>30</v>
      </c>
      <c r="C64" s="5">
        <v>7</v>
      </c>
      <c r="D64" s="5">
        <v>6</v>
      </c>
      <c r="E64" s="5">
        <v>1</v>
      </c>
      <c r="F64" s="5">
        <v>4</v>
      </c>
      <c r="G64" s="5">
        <v>5</v>
      </c>
      <c r="H64" s="5">
        <v>7</v>
      </c>
      <c r="I64" s="5"/>
    </row>
    <row r="65" spans="1:9">
      <c r="A65" s="5">
        <v>80210</v>
      </c>
      <c r="B65" s="5">
        <v>49</v>
      </c>
      <c r="C65" s="5">
        <v>5</v>
      </c>
      <c r="D65" s="5">
        <v>5</v>
      </c>
      <c r="E65" s="5">
        <v>3</v>
      </c>
      <c r="F65" s="5">
        <v>11</v>
      </c>
      <c r="G65" s="5">
        <v>9</v>
      </c>
      <c r="H65" s="5">
        <v>16</v>
      </c>
      <c r="I65" s="5"/>
    </row>
    <row r="66" spans="1:9">
      <c r="A66" s="5">
        <v>80211</v>
      </c>
      <c r="B66" s="5">
        <v>46</v>
      </c>
      <c r="C66" s="5">
        <v>7</v>
      </c>
      <c r="D66" s="5">
        <v>5</v>
      </c>
      <c r="E66" s="5">
        <v>2</v>
      </c>
      <c r="F66" s="5">
        <v>12</v>
      </c>
      <c r="G66" s="5">
        <v>10</v>
      </c>
      <c r="H66" s="5">
        <v>10</v>
      </c>
      <c r="I66" s="5"/>
    </row>
    <row r="67" spans="1:9">
      <c r="A67" s="5">
        <v>80212</v>
      </c>
      <c r="B67" s="5">
        <v>34</v>
      </c>
      <c r="C67" s="5">
        <v>2</v>
      </c>
      <c r="D67" s="5">
        <v>2</v>
      </c>
      <c r="E67" s="5">
        <v>12</v>
      </c>
      <c r="F67" s="5">
        <v>7</v>
      </c>
      <c r="G67" s="5">
        <v>3</v>
      </c>
      <c r="H67" s="5">
        <v>8</v>
      </c>
      <c r="I67" s="5"/>
    </row>
    <row r="68" spans="1:9">
      <c r="A68" s="5">
        <v>80214</v>
      </c>
      <c r="B68" s="5">
        <v>39</v>
      </c>
      <c r="C68" s="5">
        <v>5</v>
      </c>
      <c r="D68" s="5">
        <v>5</v>
      </c>
      <c r="E68" s="5">
        <v>10</v>
      </c>
      <c r="F68" s="5">
        <v>6</v>
      </c>
      <c r="G68" s="5">
        <v>3</v>
      </c>
      <c r="H68" s="5">
        <v>10</v>
      </c>
      <c r="I68" s="5"/>
    </row>
    <row r="69" spans="1:9">
      <c r="A69" s="5">
        <v>80215</v>
      </c>
      <c r="B69" s="5">
        <v>31</v>
      </c>
      <c r="C69" s="5">
        <v>2</v>
      </c>
      <c r="D69" s="5">
        <v>2</v>
      </c>
      <c r="E69" s="5">
        <v>2</v>
      </c>
      <c r="F69" s="5">
        <v>9</v>
      </c>
      <c r="G69" s="5">
        <v>4</v>
      </c>
      <c r="H69" s="5">
        <v>12</v>
      </c>
      <c r="I69" s="5"/>
    </row>
    <row r="70" spans="1:9">
      <c r="A70" s="5">
        <v>80216</v>
      </c>
      <c r="B70" s="5">
        <v>28</v>
      </c>
      <c r="C70" s="5">
        <v>9</v>
      </c>
      <c r="D70" s="5">
        <v>2</v>
      </c>
      <c r="E70" s="5">
        <v>3</v>
      </c>
      <c r="F70" s="5">
        <v>5</v>
      </c>
      <c r="G70" s="5">
        <v>5</v>
      </c>
      <c r="H70" s="5">
        <v>4</v>
      </c>
      <c r="I70" s="5"/>
    </row>
    <row r="71" spans="1:9">
      <c r="A71" s="5">
        <v>80218</v>
      </c>
      <c r="B71" s="5">
        <v>25</v>
      </c>
      <c r="C71" s="5">
        <v>4</v>
      </c>
      <c r="D71" s="5">
        <v>3</v>
      </c>
      <c r="E71" s="5">
        <v>2</v>
      </c>
      <c r="F71" s="5">
        <v>5</v>
      </c>
      <c r="G71" s="5">
        <v>2</v>
      </c>
      <c r="H71" s="5">
        <v>9</v>
      </c>
      <c r="I71" s="5"/>
    </row>
    <row r="72" spans="1:9">
      <c r="A72" s="5">
        <v>80219</v>
      </c>
      <c r="B72" s="5">
        <v>79</v>
      </c>
      <c r="C72" s="5">
        <v>11</v>
      </c>
      <c r="D72" s="5">
        <v>11</v>
      </c>
      <c r="E72" s="5">
        <v>9</v>
      </c>
      <c r="F72" s="5">
        <v>14</v>
      </c>
      <c r="G72" s="5">
        <v>8</v>
      </c>
      <c r="H72" s="5">
        <v>26</v>
      </c>
      <c r="I72" s="5"/>
    </row>
    <row r="73" spans="1:9">
      <c r="A73" s="5">
        <v>80220</v>
      </c>
      <c r="B73" s="5">
        <v>23</v>
      </c>
      <c r="C73" s="5">
        <v>2</v>
      </c>
      <c r="D73" s="5">
        <v>5</v>
      </c>
      <c r="E73" s="5">
        <v>3</v>
      </c>
      <c r="F73" s="5">
        <v>4</v>
      </c>
      <c r="G73" s="5">
        <v>4</v>
      </c>
      <c r="H73" s="5">
        <v>5</v>
      </c>
      <c r="I73" s="5"/>
    </row>
    <row r="74" spans="1:9">
      <c r="A74" s="5">
        <v>80221</v>
      </c>
      <c r="B74" s="5">
        <v>52</v>
      </c>
      <c r="C74" s="5">
        <v>12</v>
      </c>
      <c r="D74" s="5">
        <v>7</v>
      </c>
      <c r="E74" s="5">
        <v>7</v>
      </c>
      <c r="F74" s="5">
        <v>8</v>
      </c>
      <c r="G74" s="5">
        <v>9</v>
      </c>
      <c r="H74" s="5">
        <v>9</v>
      </c>
      <c r="I74" s="5"/>
    </row>
    <row r="75" spans="1:9">
      <c r="A75" s="5">
        <v>80222</v>
      </c>
      <c r="B75" s="5">
        <v>40</v>
      </c>
      <c r="C75" s="5">
        <v>3</v>
      </c>
      <c r="D75" s="5">
        <v>12</v>
      </c>
      <c r="E75" s="5">
        <v>6</v>
      </c>
      <c r="F75" s="5">
        <v>9</v>
      </c>
      <c r="G75" s="5">
        <v>4</v>
      </c>
      <c r="H75" s="5">
        <v>6</v>
      </c>
      <c r="I75" s="5"/>
    </row>
    <row r="76" spans="1:9">
      <c r="A76" s="5">
        <v>80223</v>
      </c>
      <c r="B76" s="5">
        <v>30</v>
      </c>
      <c r="C76" s="5">
        <v>4</v>
      </c>
      <c r="D76" s="5">
        <v>5</v>
      </c>
      <c r="E76" s="5">
        <v>3</v>
      </c>
      <c r="F76" s="5">
        <v>3</v>
      </c>
      <c r="G76" s="5">
        <v>5</v>
      </c>
      <c r="H76" s="5">
        <v>10</v>
      </c>
      <c r="I76" s="5"/>
    </row>
    <row r="77" spans="1:9">
      <c r="A77" s="5">
        <v>80224</v>
      </c>
      <c r="B77" s="5">
        <v>18</v>
      </c>
      <c r="C77" s="5">
        <v>4</v>
      </c>
      <c r="D77" s="5">
        <v>2</v>
      </c>
      <c r="E77" s="5">
        <v>2</v>
      </c>
      <c r="F77" s="5">
        <v>5</v>
      </c>
      <c r="G77" s="5">
        <v>3</v>
      </c>
      <c r="H77" s="5">
        <v>2</v>
      </c>
      <c r="I77" s="5"/>
    </row>
    <row r="78" spans="1:9">
      <c r="A78" s="5">
        <v>80226</v>
      </c>
      <c r="B78" s="5">
        <v>35</v>
      </c>
      <c r="C78" s="5">
        <v>5</v>
      </c>
      <c r="D78" s="5">
        <v>11</v>
      </c>
      <c r="E78" s="5">
        <v>4</v>
      </c>
      <c r="F78" s="5">
        <v>6</v>
      </c>
      <c r="G78" s="5">
        <v>3</v>
      </c>
      <c r="H78" s="5">
        <v>6</v>
      </c>
      <c r="I78" s="5"/>
    </row>
    <row r="79" spans="1:9">
      <c r="A79" s="5">
        <v>80227</v>
      </c>
      <c r="B79" s="5">
        <v>49</v>
      </c>
      <c r="C79" s="5">
        <v>8</v>
      </c>
      <c r="D79" s="5">
        <v>9</v>
      </c>
      <c r="E79" s="5">
        <v>4</v>
      </c>
      <c r="F79" s="5">
        <v>6</v>
      </c>
      <c r="G79" s="5">
        <v>4</v>
      </c>
      <c r="H79" s="5">
        <v>18</v>
      </c>
      <c r="I79" s="5"/>
    </row>
    <row r="80" spans="1:9">
      <c r="A80" s="5">
        <v>80228</v>
      </c>
      <c r="B80" s="5">
        <v>37</v>
      </c>
      <c r="C80" s="5">
        <v>10</v>
      </c>
      <c r="D80" s="5">
        <v>2</v>
      </c>
      <c r="E80" s="5">
        <v>5</v>
      </c>
      <c r="F80" s="5">
        <v>7</v>
      </c>
      <c r="G80" s="5">
        <v>6</v>
      </c>
      <c r="H80" s="5">
        <v>7</v>
      </c>
      <c r="I80" s="5"/>
    </row>
    <row r="81" spans="1:9">
      <c r="A81" s="5">
        <v>80229</v>
      </c>
      <c r="B81" s="5">
        <v>73</v>
      </c>
      <c r="C81" s="5">
        <v>14</v>
      </c>
      <c r="D81" s="5">
        <v>14</v>
      </c>
      <c r="E81" s="5">
        <v>13</v>
      </c>
      <c r="F81" s="5">
        <v>15</v>
      </c>
      <c r="G81" s="5">
        <v>6</v>
      </c>
      <c r="H81" s="5">
        <v>11</v>
      </c>
      <c r="I81" s="5"/>
    </row>
    <row r="82" spans="1:9">
      <c r="A82" s="5">
        <v>80230</v>
      </c>
      <c r="B82" s="5">
        <v>10</v>
      </c>
      <c r="C82" s="5">
        <v>2</v>
      </c>
      <c r="D82" s="5">
        <v>3</v>
      </c>
      <c r="E82" s="5">
        <v>1</v>
      </c>
      <c r="F82" s="5">
        <v>2</v>
      </c>
      <c r="G82" s="5">
        <v>1</v>
      </c>
      <c r="H82" s="5">
        <v>1</v>
      </c>
      <c r="I82" s="5"/>
    </row>
    <row r="83" spans="1:9">
      <c r="A83" s="5">
        <v>80231</v>
      </c>
      <c r="B83" s="5">
        <v>54</v>
      </c>
      <c r="C83" s="5">
        <v>9</v>
      </c>
      <c r="D83" s="5">
        <v>8</v>
      </c>
      <c r="E83" s="5">
        <v>8</v>
      </c>
      <c r="F83" s="5">
        <v>11</v>
      </c>
      <c r="G83" s="5">
        <v>9</v>
      </c>
      <c r="H83" s="5">
        <v>9</v>
      </c>
      <c r="I83" s="5"/>
    </row>
    <row r="84" spans="1:9">
      <c r="A84" s="5">
        <v>80232</v>
      </c>
      <c r="B84" s="5">
        <v>37</v>
      </c>
      <c r="C84" s="5">
        <v>5</v>
      </c>
      <c r="D84" s="5">
        <v>8</v>
      </c>
      <c r="E84" s="5">
        <v>3</v>
      </c>
      <c r="F84" s="5">
        <v>9</v>
      </c>
      <c r="G84" s="5">
        <v>4</v>
      </c>
      <c r="H84" s="5">
        <v>8</v>
      </c>
      <c r="I84" s="5"/>
    </row>
    <row r="85" spans="1:9">
      <c r="A85" s="5">
        <v>80233</v>
      </c>
      <c r="B85" s="5">
        <v>70</v>
      </c>
      <c r="C85" s="5">
        <v>9</v>
      </c>
      <c r="D85" s="5">
        <v>13</v>
      </c>
      <c r="E85" s="5">
        <v>4</v>
      </c>
      <c r="F85" s="5">
        <v>14</v>
      </c>
      <c r="G85" s="5">
        <v>13</v>
      </c>
      <c r="H85" s="5">
        <v>17</v>
      </c>
      <c r="I85" s="5"/>
    </row>
    <row r="86" spans="1:9">
      <c r="A86" s="5">
        <v>80234</v>
      </c>
      <c r="B86" s="5">
        <v>40</v>
      </c>
      <c r="C86" s="5">
        <v>7</v>
      </c>
      <c r="D86" s="5">
        <v>3</v>
      </c>
      <c r="E86" s="5">
        <v>5</v>
      </c>
      <c r="F86" s="5">
        <v>7</v>
      </c>
      <c r="G86" s="5">
        <v>7</v>
      </c>
      <c r="H86" s="5">
        <v>11</v>
      </c>
      <c r="I86" s="5"/>
    </row>
    <row r="87" spans="1:9">
      <c r="A87" s="5">
        <v>80235</v>
      </c>
      <c r="B87" s="5">
        <v>12</v>
      </c>
      <c r="C87" s="5">
        <v>5</v>
      </c>
      <c r="D87" s="5">
        <v>2</v>
      </c>
      <c r="E87" s="5" t="s">
        <v>177</v>
      </c>
      <c r="F87" s="5">
        <v>1</v>
      </c>
      <c r="G87" s="5">
        <v>2</v>
      </c>
      <c r="H87" s="5">
        <v>2</v>
      </c>
      <c r="I87" s="5"/>
    </row>
    <row r="88" spans="1:9">
      <c r="A88" s="5">
        <v>80236</v>
      </c>
      <c r="B88" s="5">
        <v>28</v>
      </c>
      <c r="C88" s="5">
        <v>3</v>
      </c>
      <c r="D88" s="5">
        <v>6</v>
      </c>
      <c r="E88" s="5">
        <v>2</v>
      </c>
      <c r="F88" s="5">
        <v>5</v>
      </c>
      <c r="G88" s="5">
        <v>4</v>
      </c>
      <c r="H88" s="5">
        <v>8</v>
      </c>
      <c r="I88" s="5"/>
    </row>
    <row r="89" spans="1:9">
      <c r="A89" s="5">
        <v>80237</v>
      </c>
      <c r="B89" s="5">
        <v>24</v>
      </c>
      <c r="C89" s="5" t="s">
        <v>177</v>
      </c>
      <c r="D89" s="5">
        <v>6</v>
      </c>
      <c r="E89" s="5">
        <v>3</v>
      </c>
      <c r="F89" s="5">
        <v>4</v>
      </c>
      <c r="G89" s="5">
        <v>2</v>
      </c>
      <c r="H89" s="5">
        <v>9</v>
      </c>
      <c r="I89" s="5"/>
    </row>
    <row r="90" spans="1:9">
      <c r="A90" s="5">
        <v>80238</v>
      </c>
      <c r="B90" s="5">
        <v>53</v>
      </c>
      <c r="C90" s="5">
        <v>4</v>
      </c>
      <c r="D90" s="5">
        <v>13</v>
      </c>
      <c r="E90" s="5">
        <v>2</v>
      </c>
      <c r="F90" s="5">
        <v>15</v>
      </c>
      <c r="G90" s="5">
        <v>6</v>
      </c>
      <c r="H90" s="5">
        <v>13</v>
      </c>
      <c r="I90" s="5"/>
    </row>
    <row r="91" spans="1:9">
      <c r="A91" s="5">
        <v>80239</v>
      </c>
      <c r="B91" s="5">
        <v>56</v>
      </c>
      <c r="C91" s="5">
        <v>10</v>
      </c>
      <c r="D91" s="5">
        <v>9</v>
      </c>
      <c r="E91" s="5">
        <v>3</v>
      </c>
      <c r="F91" s="5">
        <v>12</v>
      </c>
      <c r="G91" s="5">
        <v>8</v>
      </c>
      <c r="H91" s="5">
        <v>14</v>
      </c>
      <c r="I91" s="5"/>
    </row>
    <row r="92" spans="1:9">
      <c r="A92" s="5">
        <v>80241</v>
      </c>
      <c r="B92" s="5">
        <v>40</v>
      </c>
      <c r="C92" s="5">
        <v>9</v>
      </c>
      <c r="D92" s="5">
        <v>3</v>
      </c>
      <c r="E92" s="5">
        <v>4</v>
      </c>
      <c r="F92" s="5">
        <v>6</v>
      </c>
      <c r="G92" s="5">
        <v>5</v>
      </c>
      <c r="H92" s="5">
        <v>13</v>
      </c>
      <c r="I92" s="5"/>
    </row>
    <row r="93" spans="1:9">
      <c r="A93" s="5">
        <v>80246</v>
      </c>
      <c r="B93" s="5">
        <v>30</v>
      </c>
      <c r="C93" s="5">
        <v>7</v>
      </c>
      <c r="D93" s="5">
        <v>4</v>
      </c>
      <c r="E93" s="5">
        <v>4</v>
      </c>
      <c r="F93" s="5">
        <v>4</v>
      </c>
      <c r="G93" s="5">
        <v>5</v>
      </c>
      <c r="H93" s="5">
        <v>6</v>
      </c>
      <c r="I93" s="5"/>
    </row>
    <row r="94" spans="1:9">
      <c r="A94" s="5">
        <v>80247</v>
      </c>
      <c r="B94" s="5">
        <v>51</v>
      </c>
      <c r="C94" s="5">
        <v>7</v>
      </c>
      <c r="D94" s="5">
        <v>8</v>
      </c>
      <c r="E94" s="5">
        <v>7</v>
      </c>
      <c r="F94" s="5">
        <v>5</v>
      </c>
      <c r="G94" s="5">
        <v>13</v>
      </c>
      <c r="H94" s="5">
        <v>11</v>
      </c>
      <c r="I94" s="5"/>
    </row>
    <row r="95" spans="1:9">
      <c r="A95" s="5">
        <v>80249</v>
      </c>
      <c r="B95" s="5">
        <v>61</v>
      </c>
      <c r="C95" s="5">
        <v>9</v>
      </c>
      <c r="D95" s="5">
        <v>10</v>
      </c>
      <c r="E95" s="5">
        <v>5</v>
      </c>
      <c r="F95" s="5">
        <v>12</v>
      </c>
      <c r="G95" s="5">
        <v>8</v>
      </c>
      <c r="H95" s="5">
        <v>17</v>
      </c>
      <c r="I95" s="5"/>
    </row>
    <row r="96" spans="1:9">
      <c r="A96" s="5">
        <v>80260</v>
      </c>
      <c r="B96" s="5">
        <v>50</v>
      </c>
      <c r="C96" s="5">
        <v>9</v>
      </c>
      <c r="D96" s="5">
        <v>5</v>
      </c>
      <c r="E96" s="5">
        <v>8</v>
      </c>
      <c r="F96" s="5">
        <v>9</v>
      </c>
      <c r="G96" s="5">
        <v>3</v>
      </c>
      <c r="H96" s="5">
        <v>16</v>
      </c>
      <c r="I96" s="5"/>
    </row>
    <row r="97" spans="1:9">
      <c r="A97" s="5">
        <v>80301</v>
      </c>
      <c r="B97" s="5">
        <v>46</v>
      </c>
      <c r="C97" s="5">
        <v>13</v>
      </c>
      <c r="D97" s="5">
        <v>8</v>
      </c>
      <c r="E97" s="5">
        <v>8</v>
      </c>
      <c r="F97" s="5">
        <v>5</v>
      </c>
      <c r="G97" s="5">
        <v>5</v>
      </c>
      <c r="H97" s="5">
        <v>7</v>
      </c>
      <c r="I97" s="5"/>
    </row>
    <row r="98" spans="1:9">
      <c r="A98" s="5">
        <v>80302</v>
      </c>
      <c r="B98" s="5">
        <v>20</v>
      </c>
      <c r="C98" s="5">
        <v>4</v>
      </c>
      <c r="D98" s="5">
        <v>2</v>
      </c>
      <c r="E98" s="5">
        <v>2</v>
      </c>
      <c r="F98" s="5">
        <v>3</v>
      </c>
      <c r="G98" s="5">
        <v>3</v>
      </c>
      <c r="H98" s="5">
        <v>6</v>
      </c>
      <c r="I98" s="5"/>
    </row>
    <row r="99" spans="1:9">
      <c r="A99" s="5">
        <v>80303</v>
      </c>
      <c r="B99" s="5">
        <v>18</v>
      </c>
      <c r="C99" s="5">
        <v>3</v>
      </c>
      <c r="D99" s="5">
        <v>3</v>
      </c>
      <c r="E99" s="5">
        <v>2</v>
      </c>
      <c r="F99" s="5">
        <v>5</v>
      </c>
      <c r="G99" s="5">
        <v>2</v>
      </c>
      <c r="H99" s="5">
        <v>3</v>
      </c>
      <c r="I99" s="5"/>
    </row>
    <row r="100" spans="1:9">
      <c r="A100" s="5">
        <v>80304</v>
      </c>
      <c r="B100" s="5">
        <v>26</v>
      </c>
      <c r="C100" s="5">
        <v>6</v>
      </c>
      <c r="D100" s="5">
        <v>2</v>
      </c>
      <c r="E100" s="5">
        <v>3</v>
      </c>
      <c r="F100" s="5">
        <v>2</v>
      </c>
      <c r="G100" s="5">
        <v>3</v>
      </c>
      <c r="H100" s="5">
        <v>10</v>
      </c>
      <c r="I100" s="5"/>
    </row>
    <row r="101" spans="1:9">
      <c r="A101" s="5">
        <v>80501</v>
      </c>
      <c r="B101" s="5">
        <v>54</v>
      </c>
      <c r="C101" s="5">
        <v>9</v>
      </c>
      <c r="D101" s="5">
        <v>10</v>
      </c>
      <c r="E101" s="5">
        <v>7</v>
      </c>
      <c r="F101" s="5">
        <v>10</v>
      </c>
      <c r="G101" s="5">
        <v>9</v>
      </c>
      <c r="H101" s="5">
        <v>9</v>
      </c>
      <c r="I101" s="5"/>
    </row>
    <row r="102" spans="1:9">
      <c r="A102" s="5">
        <v>80503</v>
      </c>
      <c r="B102" s="5">
        <v>48</v>
      </c>
      <c r="C102" s="5">
        <v>11</v>
      </c>
      <c r="D102" s="5">
        <v>8</v>
      </c>
      <c r="E102" s="5">
        <v>4</v>
      </c>
      <c r="F102" s="5">
        <v>9</v>
      </c>
      <c r="G102" s="5">
        <v>6</v>
      </c>
      <c r="H102" s="5">
        <v>10</v>
      </c>
      <c r="I102" s="5"/>
    </row>
    <row r="103" spans="1:9">
      <c r="A103" s="5">
        <v>80504</v>
      </c>
      <c r="B103" s="5">
        <v>65</v>
      </c>
      <c r="C103" s="5">
        <v>12</v>
      </c>
      <c r="D103" s="5">
        <v>12</v>
      </c>
      <c r="E103" s="5">
        <v>3</v>
      </c>
      <c r="F103" s="5">
        <v>13</v>
      </c>
      <c r="G103" s="5">
        <v>9</v>
      </c>
      <c r="H103" s="5">
        <v>16</v>
      </c>
      <c r="I103" s="5"/>
    </row>
    <row r="104" spans="1:9">
      <c r="A104" s="5">
        <v>80513</v>
      </c>
      <c r="B104" s="5">
        <v>14</v>
      </c>
      <c r="C104" s="5">
        <v>2</v>
      </c>
      <c r="D104" s="5">
        <v>2</v>
      </c>
      <c r="E104" s="5">
        <v>3</v>
      </c>
      <c r="F104" s="5" t="s">
        <v>177</v>
      </c>
      <c r="G104" s="5">
        <v>2</v>
      </c>
      <c r="H104" s="5">
        <v>5</v>
      </c>
      <c r="I104" s="5"/>
    </row>
    <row r="105" spans="1:9">
      <c r="A105" s="5">
        <v>80514</v>
      </c>
      <c r="B105" s="5">
        <v>9</v>
      </c>
      <c r="C105" s="5">
        <v>1</v>
      </c>
      <c r="D105" s="5">
        <v>1</v>
      </c>
      <c r="E105" s="5">
        <v>2</v>
      </c>
      <c r="F105" s="5">
        <v>3</v>
      </c>
      <c r="G105" s="5">
        <v>2</v>
      </c>
      <c r="H105" s="5" t="s">
        <v>177</v>
      </c>
      <c r="I105" s="5"/>
    </row>
    <row r="106" spans="1:9">
      <c r="A106" s="5">
        <v>80516</v>
      </c>
      <c r="B106" s="5">
        <v>44</v>
      </c>
      <c r="C106" s="5">
        <v>2</v>
      </c>
      <c r="D106" s="5">
        <v>6</v>
      </c>
      <c r="E106" s="5">
        <v>3</v>
      </c>
      <c r="F106" s="5">
        <v>9</v>
      </c>
      <c r="G106" s="5">
        <v>10</v>
      </c>
      <c r="H106" s="5">
        <v>14</v>
      </c>
      <c r="I106" s="5"/>
    </row>
    <row r="107" spans="1:9">
      <c r="A107" s="5">
        <v>80521</v>
      </c>
      <c r="B107" s="5">
        <v>47</v>
      </c>
      <c r="C107" s="5">
        <v>7</v>
      </c>
      <c r="D107" s="5">
        <v>7</v>
      </c>
      <c r="E107" s="5">
        <v>4</v>
      </c>
      <c r="F107" s="5">
        <v>10</v>
      </c>
      <c r="G107" s="5">
        <v>3</v>
      </c>
      <c r="H107" s="5">
        <v>16</v>
      </c>
      <c r="I107" s="5"/>
    </row>
    <row r="108" spans="1:9">
      <c r="A108" s="5">
        <v>80524</v>
      </c>
      <c r="B108" s="5">
        <v>52</v>
      </c>
      <c r="C108" s="5">
        <v>5</v>
      </c>
      <c r="D108" s="5">
        <v>11</v>
      </c>
      <c r="E108" s="5">
        <v>7</v>
      </c>
      <c r="F108" s="5">
        <v>13</v>
      </c>
      <c r="G108" s="5">
        <v>8</v>
      </c>
      <c r="H108" s="5">
        <v>8</v>
      </c>
      <c r="I108" s="5"/>
    </row>
    <row r="109" spans="1:9">
      <c r="A109" s="5">
        <v>80525</v>
      </c>
      <c r="B109" s="5">
        <v>70</v>
      </c>
      <c r="C109" s="5">
        <v>11</v>
      </c>
      <c r="D109" s="5">
        <v>15</v>
      </c>
      <c r="E109" s="5">
        <v>8</v>
      </c>
      <c r="F109" s="5">
        <v>12</v>
      </c>
      <c r="G109" s="5">
        <v>11</v>
      </c>
      <c r="H109" s="5">
        <v>13</v>
      </c>
      <c r="I109" s="5"/>
    </row>
    <row r="110" spans="1:9">
      <c r="A110" s="5">
        <v>80526</v>
      </c>
      <c r="B110" s="5">
        <v>62</v>
      </c>
      <c r="C110" s="5">
        <v>9</v>
      </c>
      <c r="D110" s="5">
        <v>7</v>
      </c>
      <c r="E110" s="5">
        <v>5</v>
      </c>
      <c r="F110" s="5">
        <v>18</v>
      </c>
      <c r="G110" s="5">
        <v>9</v>
      </c>
      <c r="H110" s="5">
        <v>14</v>
      </c>
      <c r="I110" s="5"/>
    </row>
    <row r="111" spans="1:9">
      <c r="A111" s="5">
        <v>80528</v>
      </c>
      <c r="B111" s="5">
        <v>27</v>
      </c>
      <c r="C111" s="5">
        <v>4</v>
      </c>
      <c r="D111" s="5">
        <v>4</v>
      </c>
      <c r="E111" s="5">
        <v>2</v>
      </c>
      <c r="F111" s="5">
        <v>4</v>
      </c>
      <c r="G111" s="5">
        <v>4</v>
      </c>
      <c r="H111" s="5">
        <v>9</v>
      </c>
      <c r="I111" s="5"/>
    </row>
    <row r="112" spans="1:9">
      <c r="A112" s="5">
        <v>80530</v>
      </c>
      <c r="B112" s="5">
        <v>7</v>
      </c>
      <c r="C112" s="5" t="s">
        <v>177</v>
      </c>
      <c r="D112" s="5" t="s">
        <v>177</v>
      </c>
      <c r="E112" s="5">
        <v>1</v>
      </c>
      <c r="F112" s="5">
        <v>2</v>
      </c>
      <c r="G112" s="5" t="s">
        <v>177</v>
      </c>
      <c r="H112" s="5">
        <v>4</v>
      </c>
      <c r="I112" s="5"/>
    </row>
    <row r="113" spans="1:9">
      <c r="A113" s="5">
        <v>80534</v>
      </c>
      <c r="B113" s="5">
        <v>24</v>
      </c>
      <c r="C113" s="5">
        <v>4</v>
      </c>
      <c r="D113" s="5">
        <v>4</v>
      </c>
      <c r="E113" s="5">
        <v>2</v>
      </c>
      <c r="F113" s="5">
        <v>6</v>
      </c>
      <c r="G113" s="5">
        <v>2</v>
      </c>
      <c r="H113" s="5">
        <v>6</v>
      </c>
      <c r="I113" s="5"/>
    </row>
    <row r="114" spans="1:9">
      <c r="A114" s="5">
        <v>80535</v>
      </c>
      <c r="B114" s="5">
        <v>1</v>
      </c>
      <c r="C114" s="5" t="s">
        <v>177</v>
      </c>
      <c r="D114" s="5" t="s">
        <v>177</v>
      </c>
      <c r="E114" s="5" t="s">
        <v>177</v>
      </c>
      <c r="F114" s="5">
        <v>1</v>
      </c>
      <c r="G114" s="5" t="s">
        <v>177</v>
      </c>
      <c r="H114" s="5" t="s">
        <v>177</v>
      </c>
      <c r="I114" s="5"/>
    </row>
    <row r="115" spans="1:9">
      <c r="A115" s="5">
        <v>80538</v>
      </c>
      <c r="B115" s="5">
        <v>57</v>
      </c>
      <c r="C115" s="5">
        <v>9</v>
      </c>
      <c r="D115" s="5">
        <v>7</v>
      </c>
      <c r="E115" s="5">
        <v>3</v>
      </c>
      <c r="F115" s="5">
        <v>16</v>
      </c>
      <c r="G115" s="5">
        <v>9</v>
      </c>
      <c r="H115" s="5">
        <v>13</v>
      </c>
      <c r="I115" s="5"/>
    </row>
    <row r="116" spans="1:9">
      <c r="A116" s="5">
        <v>80542</v>
      </c>
      <c r="B116" s="5">
        <v>10</v>
      </c>
      <c r="C116" s="5">
        <v>2</v>
      </c>
      <c r="D116" s="5">
        <v>2</v>
      </c>
      <c r="E116" s="5">
        <v>2</v>
      </c>
      <c r="F116" s="5">
        <v>2</v>
      </c>
      <c r="G116" s="5" t="s">
        <v>177</v>
      </c>
      <c r="H116" s="5">
        <v>2</v>
      </c>
      <c r="I116" s="5"/>
    </row>
    <row r="117" spans="1:9">
      <c r="A117" s="5">
        <v>80543</v>
      </c>
      <c r="B117" s="5">
        <v>6</v>
      </c>
      <c r="C117" s="5">
        <v>2</v>
      </c>
      <c r="D117" s="5" t="s">
        <v>177</v>
      </c>
      <c r="E117" s="5" t="s">
        <v>177</v>
      </c>
      <c r="F117" s="5">
        <v>1</v>
      </c>
      <c r="G117" s="5" t="s">
        <v>177</v>
      </c>
      <c r="H117" s="5">
        <v>3</v>
      </c>
      <c r="I117" s="5"/>
    </row>
    <row r="118" spans="1:9">
      <c r="A118" s="5">
        <v>80546</v>
      </c>
      <c r="B118" s="5">
        <v>1</v>
      </c>
      <c r="C118" s="5" t="s">
        <v>177</v>
      </c>
      <c r="D118" s="5" t="s">
        <v>177</v>
      </c>
      <c r="E118" s="5" t="s">
        <v>177</v>
      </c>
      <c r="F118" s="5" t="s">
        <v>177</v>
      </c>
      <c r="G118" s="5" t="s">
        <v>177</v>
      </c>
      <c r="H118" s="5">
        <v>1</v>
      </c>
      <c r="I118" s="5"/>
    </row>
    <row r="119" spans="1:9">
      <c r="A119" s="5">
        <v>80547</v>
      </c>
      <c r="B119" s="5">
        <v>11</v>
      </c>
      <c r="C119" s="5" t="s">
        <v>177</v>
      </c>
      <c r="D119" s="5">
        <v>3</v>
      </c>
      <c r="E119" s="5" t="s">
        <v>177</v>
      </c>
      <c r="F119" s="5" t="s">
        <v>177</v>
      </c>
      <c r="G119" s="5">
        <v>1</v>
      </c>
      <c r="H119" s="5">
        <v>7</v>
      </c>
      <c r="I119" s="5"/>
    </row>
    <row r="120" spans="1:9">
      <c r="A120" s="5">
        <v>80550</v>
      </c>
      <c r="B120" s="5">
        <v>54</v>
      </c>
      <c r="C120" s="5">
        <v>6</v>
      </c>
      <c r="D120" s="5">
        <v>9</v>
      </c>
      <c r="E120" s="5">
        <v>8</v>
      </c>
      <c r="F120" s="5">
        <v>10</v>
      </c>
      <c r="G120" s="5">
        <v>8</v>
      </c>
      <c r="H120" s="5">
        <v>13</v>
      </c>
      <c r="I120" s="5"/>
    </row>
    <row r="121" spans="1:9">
      <c r="A121" s="5">
        <v>80601</v>
      </c>
      <c r="B121" s="5">
        <v>64</v>
      </c>
      <c r="C121" s="5">
        <v>12</v>
      </c>
      <c r="D121" s="5">
        <v>9</v>
      </c>
      <c r="E121" s="5">
        <v>8</v>
      </c>
      <c r="F121" s="5">
        <v>15</v>
      </c>
      <c r="G121" s="5">
        <v>6</v>
      </c>
      <c r="H121" s="5">
        <v>14</v>
      </c>
      <c r="I121" s="5"/>
    </row>
    <row r="122" spans="1:9">
      <c r="A122" s="5">
        <v>80602</v>
      </c>
      <c r="B122" s="5">
        <v>77</v>
      </c>
      <c r="C122" s="5">
        <v>9</v>
      </c>
      <c r="D122" s="5">
        <v>12</v>
      </c>
      <c r="E122" s="5">
        <v>6</v>
      </c>
      <c r="F122" s="5">
        <v>19</v>
      </c>
      <c r="G122" s="5">
        <v>12</v>
      </c>
      <c r="H122" s="5">
        <v>19</v>
      </c>
      <c r="I122" s="5"/>
    </row>
    <row r="123" spans="1:9">
      <c r="A123" s="5">
        <v>80603</v>
      </c>
      <c r="B123" s="5">
        <v>21</v>
      </c>
      <c r="C123" s="5">
        <v>2</v>
      </c>
      <c r="D123" s="5">
        <v>2</v>
      </c>
      <c r="E123" s="5" t="s">
        <v>177</v>
      </c>
      <c r="F123" s="5">
        <v>7</v>
      </c>
      <c r="G123" s="5">
        <v>1</v>
      </c>
      <c r="H123" s="5">
        <v>9</v>
      </c>
      <c r="I123" s="5"/>
    </row>
    <row r="124" spans="1:9">
      <c r="A124" s="5">
        <v>80620</v>
      </c>
      <c r="B124" s="5">
        <v>23</v>
      </c>
      <c r="C124" s="5">
        <v>6</v>
      </c>
      <c r="D124" s="5">
        <v>2</v>
      </c>
      <c r="E124" s="5">
        <v>1</v>
      </c>
      <c r="F124" s="5">
        <v>7</v>
      </c>
      <c r="G124" s="5">
        <v>3</v>
      </c>
      <c r="H124" s="5">
        <v>4</v>
      </c>
      <c r="I124" s="5"/>
    </row>
    <row r="125" spans="1:9">
      <c r="A125" s="5">
        <v>80621</v>
      </c>
      <c r="B125" s="5">
        <v>16</v>
      </c>
      <c r="C125" s="5">
        <v>3</v>
      </c>
      <c r="D125" s="5">
        <v>1</v>
      </c>
      <c r="E125" s="5">
        <v>2</v>
      </c>
      <c r="F125" s="5">
        <v>4</v>
      </c>
      <c r="G125" s="5">
        <v>2</v>
      </c>
      <c r="H125" s="5">
        <v>4</v>
      </c>
      <c r="I125" s="5"/>
    </row>
    <row r="126" spans="1:9">
      <c r="A126" s="5">
        <v>80631</v>
      </c>
      <c r="B126" s="5">
        <v>67</v>
      </c>
      <c r="C126" s="5">
        <v>11</v>
      </c>
      <c r="D126" s="5">
        <v>12</v>
      </c>
      <c r="E126" s="5">
        <v>13</v>
      </c>
      <c r="F126" s="5">
        <v>11</v>
      </c>
      <c r="G126" s="5">
        <v>6</v>
      </c>
      <c r="H126" s="5">
        <v>14</v>
      </c>
      <c r="I126" s="5"/>
    </row>
    <row r="127" spans="1:9">
      <c r="A127" s="5">
        <v>80634</v>
      </c>
      <c r="B127" s="5">
        <v>60</v>
      </c>
      <c r="C127" s="5">
        <v>9</v>
      </c>
      <c r="D127" s="5">
        <v>12</v>
      </c>
      <c r="E127" s="5">
        <v>3</v>
      </c>
      <c r="F127" s="5">
        <v>12</v>
      </c>
      <c r="G127" s="5">
        <v>9</v>
      </c>
      <c r="H127" s="5">
        <v>15</v>
      </c>
      <c r="I127" s="5"/>
    </row>
    <row r="128" spans="1:9">
      <c r="A128" s="5">
        <v>80640</v>
      </c>
      <c r="B128" s="5">
        <v>13</v>
      </c>
      <c r="C128" s="5">
        <v>3</v>
      </c>
      <c r="D128" s="5">
        <v>4</v>
      </c>
      <c r="E128" s="5">
        <v>4</v>
      </c>
      <c r="F128" s="5" t="s">
        <v>177</v>
      </c>
      <c r="G128" s="5">
        <v>1</v>
      </c>
      <c r="H128" s="5">
        <v>1</v>
      </c>
      <c r="I128" s="5"/>
    </row>
    <row r="129" spans="1:9">
      <c r="A129" s="5">
        <v>80642</v>
      </c>
      <c r="B129" s="5">
        <v>3</v>
      </c>
      <c r="C129" s="5" t="s">
        <v>177</v>
      </c>
      <c r="D129" s="5" t="s">
        <v>177</v>
      </c>
      <c r="E129" s="5" t="s">
        <v>177</v>
      </c>
      <c r="F129" s="5" t="s">
        <v>177</v>
      </c>
      <c r="G129" s="5">
        <v>1</v>
      </c>
      <c r="H129" s="5">
        <v>2</v>
      </c>
      <c r="I129" s="5"/>
    </row>
    <row r="130" spans="1:9">
      <c r="A130" s="5">
        <v>80645</v>
      </c>
      <c r="B130" s="5">
        <v>10</v>
      </c>
      <c r="C130" s="5">
        <v>1</v>
      </c>
      <c r="D130" s="5">
        <v>4</v>
      </c>
      <c r="E130" s="5">
        <v>1</v>
      </c>
      <c r="F130" s="5">
        <v>2</v>
      </c>
      <c r="G130" s="5">
        <v>1</v>
      </c>
      <c r="H130" s="5">
        <v>1</v>
      </c>
      <c r="I130" s="5"/>
    </row>
    <row r="131" spans="1:9">
      <c r="A131" s="5">
        <v>80809</v>
      </c>
      <c r="B131" s="5">
        <v>2</v>
      </c>
      <c r="C131" s="5" t="s">
        <v>177</v>
      </c>
      <c r="D131" s="5" t="s">
        <v>177</v>
      </c>
      <c r="E131" s="5" t="s">
        <v>177</v>
      </c>
      <c r="F131" s="5">
        <v>2</v>
      </c>
      <c r="G131" s="5" t="s">
        <v>177</v>
      </c>
      <c r="H131" s="5" t="s">
        <v>177</v>
      </c>
      <c r="I131" s="5"/>
    </row>
    <row r="132" spans="1:9">
      <c r="A132" s="5">
        <v>80817</v>
      </c>
      <c r="B132" s="5">
        <v>40</v>
      </c>
      <c r="C132" s="5">
        <v>5</v>
      </c>
      <c r="D132" s="5">
        <v>7</v>
      </c>
      <c r="E132" s="5">
        <v>5</v>
      </c>
      <c r="F132" s="5">
        <v>5</v>
      </c>
      <c r="G132" s="5">
        <v>5</v>
      </c>
      <c r="H132" s="5">
        <v>13</v>
      </c>
      <c r="I132" s="5"/>
    </row>
    <row r="133" spans="1:9">
      <c r="A133" s="5">
        <v>80829</v>
      </c>
      <c r="B133" s="5">
        <v>6</v>
      </c>
      <c r="C133" s="5">
        <v>2</v>
      </c>
      <c r="D133" s="5" t="s">
        <v>177</v>
      </c>
      <c r="E133" s="5">
        <v>1</v>
      </c>
      <c r="F133" s="5">
        <v>2</v>
      </c>
      <c r="G133" s="5" t="s">
        <v>177</v>
      </c>
      <c r="H133" s="5">
        <v>1</v>
      </c>
      <c r="I133" s="5"/>
    </row>
    <row r="134" spans="1:9">
      <c r="A134" s="5">
        <v>80831</v>
      </c>
      <c r="B134" s="5">
        <v>61</v>
      </c>
      <c r="C134" s="5">
        <v>8</v>
      </c>
      <c r="D134" s="5">
        <v>10</v>
      </c>
      <c r="E134" s="5">
        <v>6</v>
      </c>
      <c r="F134" s="5">
        <v>18</v>
      </c>
      <c r="G134" s="5">
        <v>10</v>
      </c>
      <c r="H134" s="5">
        <v>9</v>
      </c>
      <c r="I134" s="5"/>
    </row>
    <row r="135" spans="1:9">
      <c r="A135" s="5">
        <v>80902</v>
      </c>
      <c r="B135" s="5">
        <v>11</v>
      </c>
      <c r="C135" s="5">
        <v>3</v>
      </c>
      <c r="D135" s="5">
        <v>1</v>
      </c>
      <c r="E135" s="5" t="s">
        <v>177</v>
      </c>
      <c r="F135" s="5">
        <v>3</v>
      </c>
      <c r="G135" s="5">
        <v>2</v>
      </c>
      <c r="H135" s="5">
        <v>2</v>
      </c>
      <c r="I135" s="5"/>
    </row>
    <row r="136" spans="1:9">
      <c r="A136" s="5">
        <v>80904</v>
      </c>
      <c r="B136" s="5">
        <v>28</v>
      </c>
      <c r="C136" s="5">
        <v>4</v>
      </c>
      <c r="D136" s="5">
        <v>5</v>
      </c>
      <c r="E136" s="5">
        <v>5</v>
      </c>
      <c r="F136" s="5">
        <v>5</v>
      </c>
      <c r="G136" s="5">
        <v>3</v>
      </c>
      <c r="H136" s="5">
        <v>6</v>
      </c>
      <c r="I136" s="5"/>
    </row>
    <row r="137" spans="1:9">
      <c r="A137" s="5">
        <v>80906</v>
      </c>
      <c r="B137" s="5">
        <v>56</v>
      </c>
      <c r="C137" s="5">
        <v>18</v>
      </c>
      <c r="D137" s="5">
        <v>2</v>
      </c>
      <c r="E137" s="5">
        <v>3</v>
      </c>
      <c r="F137" s="5">
        <v>6</v>
      </c>
      <c r="G137" s="5">
        <v>14</v>
      </c>
      <c r="H137" s="5">
        <v>13</v>
      </c>
      <c r="I137" s="5"/>
    </row>
    <row r="138" spans="1:9">
      <c r="A138" s="5">
        <v>80909</v>
      </c>
      <c r="B138" s="5">
        <v>54</v>
      </c>
      <c r="C138" s="5">
        <v>8</v>
      </c>
      <c r="D138" s="5">
        <v>11</v>
      </c>
      <c r="E138" s="5">
        <v>4</v>
      </c>
      <c r="F138" s="5">
        <v>12</v>
      </c>
      <c r="G138" s="5">
        <v>9</v>
      </c>
      <c r="H138" s="5">
        <v>10</v>
      </c>
      <c r="I138" s="5"/>
    </row>
    <row r="139" spans="1:9">
      <c r="A139" s="5">
        <v>80910</v>
      </c>
      <c r="B139" s="5">
        <v>49</v>
      </c>
      <c r="C139" s="5">
        <v>10</v>
      </c>
      <c r="D139" s="5">
        <v>8</v>
      </c>
      <c r="E139" s="5">
        <v>2</v>
      </c>
      <c r="F139" s="5">
        <v>7</v>
      </c>
      <c r="G139" s="5">
        <v>8</v>
      </c>
      <c r="H139" s="5">
        <v>14</v>
      </c>
      <c r="I139" s="5"/>
    </row>
    <row r="140" spans="1:9">
      <c r="A140" s="5">
        <v>80911</v>
      </c>
      <c r="B140" s="5">
        <v>48</v>
      </c>
      <c r="C140" s="5">
        <v>4</v>
      </c>
      <c r="D140" s="5">
        <v>6</v>
      </c>
      <c r="E140" s="5">
        <v>11</v>
      </c>
      <c r="F140" s="5">
        <v>12</v>
      </c>
      <c r="G140" s="5">
        <v>6</v>
      </c>
      <c r="H140" s="5">
        <v>9</v>
      </c>
      <c r="I140" s="5"/>
    </row>
    <row r="141" spans="1:9">
      <c r="A141" s="5">
        <v>80913</v>
      </c>
      <c r="B141" s="5">
        <v>3</v>
      </c>
      <c r="C141" s="5">
        <v>2</v>
      </c>
      <c r="D141" s="5" t="s">
        <v>177</v>
      </c>
      <c r="E141" s="5" t="s">
        <v>177</v>
      </c>
      <c r="F141" s="5" t="s">
        <v>177</v>
      </c>
      <c r="G141" s="5" t="s">
        <v>177</v>
      </c>
      <c r="H141" s="5">
        <v>1</v>
      </c>
      <c r="I141" s="5"/>
    </row>
    <row r="142" spans="1:9">
      <c r="A142" s="5">
        <v>80914</v>
      </c>
      <c r="B142" s="5">
        <v>1</v>
      </c>
      <c r="C142" s="5" t="s">
        <v>177</v>
      </c>
      <c r="D142" s="5" t="s">
        <v>177</v>
      </c>
      <c r="E142" s="5" t="s">
        <v>177</v>
      </c>
      <c r="F142" s="5">
        <v>1</v>
      </c>
      <c r="G142" s="5" t="s">
        <v>177</v>
      </c>
      <c r="H142" s="5" t="s">
        <v>177</v>
      </c>
      <c r="I142" s="5"/>
    </row>
    <row r="143" spans="1:9">
      <c r="A143" s="5">
        <v>80915</v>
      </c>
      <c r="B143" s="5">
        <v>30</v>
      </c>
      <c r="C143" s="5">
        <v>3</v>
      </c>
      <c r="D143" s="5">
        <v>4</v>
      </c>
      <c r="E143" s="5">
        <v>5</v>
      </c>
      <c r="F143" s="5">
        <v>1</v>
      </c>
      <c r="G143" s="5">
        <v>5</v>
      </c>
      <c r="H143" s="5">
        <v>12</v>
      </c>
      <c r="I143" s="5"/>
    </row>
    <row r="144" spans="1:9">
      <c r="A144" s="5">
        <v>80916</v>
      </c>
      <c r="B144" s="5">
        <v>61</v>
      </c>
      <c r="C144" s="5">
        <v>8</v>
      </c>
      <c r="D144" s="5">
        <v>7</v>
      </c>
      <c r="E144" s="5">
        <v>6</v>
      </c>
      <c r="F144" s="5">
        <v>11</v>
      </c>
      <c r="G144" s="5">
        <v>8</v>
      </c>
      <c r="H144" s="5">
        <v>21</v>
      </c>
      <c r="I144" s="5"/>
    </row>
    <row r="145" spans="1:9">
      <c r="A145" s="5">
        <v>80917</v>
      </c>
      <c r="B145" s="5">
        <v>55</v>
      </c>
      <c r="C145" s="5">
        <v>8</v>
      </c>
      <c r="D145" s="5">
        <v>10</v>
      </c>
      <c r="E145" s="5">
        <v>3</v>
      </c>
      <c r="F145" s="5">
        <v>9</v>
      </c>
      <c r="G145" s="5">
        <v>4</v>
      </c>
      <c r="H145" s="5">
        <v>21</v>
      </c>
      <c r="I145" s="5"/>
    </row>
    <row r="146" spans="1:9">
      <c r="A146" s="5">
        <v>80918</v>
      </c>
      <c r="B146" s="5">
        <v>83</v>
      </c>
      <c r="C146" s="5">
        <v>11</v>
      </c>
      <c r="D146" s="5">
        <v>16</v>
      </c>
      <c r="E146" s="5">
        <v>9</v>
      </c>
      <c r="F146" s="5">
        <v>22</v>
      </c>
      <c r="G146" s="5">
        <v>13</v>
      </c>
      <c r="H146" s="5">
        <v>12</v>
      </c>
      <c r="I146" s="5"/>
    </row>
    <row r="147" spans="1:9">
      <c r="A147" s="5">
        <v>80919</v>
      </c>
      <c r="B147" s="5">
        <v>36</v>
      </c>
      <c r="C147" s="5">
        <v>6</v>
      </c>
      <c r="D147" s="5">
        <v>7</v>
      </c>
      <c r="E147" s="5">
        <v>4</v>
      </c>
      <c r="F147" s="5">
        <v>8</v>
      </c>
      <c r="G147" s="5">
        <v>4</v>
      </c>
      <c r="H147" s="5">
        <v>7</v>
      </c>
      <c r="I147" s="5"/>
    </row>
    <row r="148" spans="1:9">
      <c r="A148" s="5">
        <v>80920</v>
      </c>
      <c r="B148" s="5">
        <v>53</v>
      </c>
      <c r="C148" s="5">
        <v>10</v>
      </c>
      <c r="D148" s="5">
        <v>8</v>
      </c>
      <c r="E148" s="5">
        <v>3</v>
      </c>
      <c r="F148" s="5">
        <v>8</v>
      </c>
      <c r="G148" s="5">
        <v>9</v>
      </c>
      <c r="H148" s="5">
        <v>15</v>
      </c>
      <c r="I148" s="5"/>
    </row>
    <row r="149" spans="1:9">
      <c r="A149" s="5">
        <v>80921</v>
      </c>
      <c r="B149" s="5">
        <v>51</v>
      </c>
      <c r="C149" s="5">
        <v>6</v>
      </c>
      <c r="D149" s="5">
        <v>5</v>
      </c>
      <c r="E149" s="5">
        <v>4</v>
      </c>
      <c r="F149" s="5">
        <v>6</v>
      </c>
      <c r="G149" s="5">
        <v>8</v>
      </c>
      <c r="H149" s="5">
        <v>22</v>
      </c>
      <c r="I149" s="5"/>
    </row>
    <row r="150" spans="1:9">
      <c r="A150" s="5">
        <v>80922</v>
      </c>
      <c r="B150" s="5">
        <v>43</v>
      </c>
      <c r="C150" s="5">
        <v>6</v>
      </c>
      <c r="D150" s="5">
        <v>3</v>
      </c>
      <c r="E150" s="5">
        <v>6</v>
      </c>
      <c r="F150" s="5">
        <v>8</v>
      </c>
      <c r="G150" s="5">
        <v>11</v>
      </c>
      <c r="H150" s="5">
        <v>9</v>
      </c>
      <c r="I150" s="5"/>
    </row>
    <row r="151" spans="1:9">
      <c r="A151" s="5">
        <v>80923</v>
      </c>
      <c r="B151" s="5">
        <v>47</v>
      </c>
      <c r="C151" s="5">
        <v>6</v>
      </c>
      <c r="D151" s="5">
        <v>7</v>
      </c>
      <c r="E151" s="5">
        <v>4</v>
      </c>
      <c r="F151" s="5">
        <v>9</v>
      </c>
      <c r="G151" s="5">
        <v>6</v>
      </c>
      <c r="H151" s="5">
        <v>15</v>
      </c>
      <c r="I151" s="5"/>
    </row>
    <row r="152" spans="1:9">
      <c r="A152" s="5">
        <v>80924</v>
      </c>
      <c r="B152" s="5">
        <v>34</v>
      </c>
      <c r="C152" s="5" t="s">
        <v>177</v>
      </c>
      <c r="D152" s="5">
        <v>3</v>
      </c>
      <c r="E152" s="5">
        <v>3</v>
      </c>
      <c r="F152" s="5">
        <v>8</v>
      </c>
      <c r="G152" s="5">
        <v>4</v>
      </c>
      <c r="H152" s="5">
        <v>16</v>
      </c>
      <c r="I152" s="5"/>
    </row>
    <row r="153" spans="1:9">
      <c r="A153" s="5">
        <v>80925</v>
      </c>
      <c r="B153" s="5">
        <v>25</v>
      </c>
      <c r="C153" s="5">
        <v>1</v>
      </c>
      <c r="D153" s="5">
        <v>2</v>
      </c>
      <c r="E153" s="5">
        <v>3</v>
      </c>
      <c r="F153" s="5">
        <v>6</v>
      </c>
      <c r="G153" s="5">
        <v>7</v>
      </c>
      <c r="H153" s="5">
        <v>6</v>
      </c>
      <c r="I153" s="5"/>
    </row>
    <row r="154" spans="1:9">
      <c r="A154" s="5">
        <v>80926</v>
      </c>
      <c r="B154" s="5">
        <v>1</v>
      </c>
      <c r="C154" s="5" t="s">
        <v>177</v>
      </c>
      <c r="D154" s="5" t="s">
        <v>177</v>
      </c>
      <c r="E154" s="5" t="s">
        <v>177</v>
      </c>
      <c r="F154" s="5">
        <v>1</v>
      </c>
      <c r="G154" s="5" t="s">
        <v>177</v>
      </c>
      <c r="H154" s="5" t="s">
        <v>177</v>
      </c>
      <c r="I154" s="5"/>
    </row>
    <row r="155" spans="1:9">
      <c r="A155" s="5">
        <v>80927</v>
      </c>
      <c r="B155" s="5">
        <v>13</v>
      </c>
      <c r="C155" s="5">
        <v>2</v>
      </c>
      <c r="D155" s="5" t="s">
        <v>177</v>
      </c>
      <c r="E155" s="5" t="s">
        <v>177</v>
      </c>
      <c r="F155" s="5">
        <v>5</v>
      </c>
      <c r="G155" s="5">
        <v>3</v>
      </c>
      <c r="H155" s="5">
        <v>3</v>
      </c>
      <c r="I155" s="5"/>
    </row>
    <row r="156" spans="1:9">
      <c r="A156" s="5">
        <v>80929</v>
      </c>
      <c r="B156" s="5">
        <v>1</v>
      </c>
      <c r="C156" s="5" t="s">
        <v>177</v>
      </c>
      <c r="D156" s="5" t="s">
        <v>177</v>
      </c>
      <c r="E156" s="5" t="s">
        <v>177</v>
      </c>
      <c r="F156" s="5">
        <v>1</v>
      </c>
      <c r="G156" s="5" t="s">
        <v>177</v>
      </c>
      <c r="H156" s="5" t="s">
        <v>177</v>
      </c>
      <c r="I156" s="5"/>
    </row>
    <row r="157" spans="1:9">
      <c r="A157" s="5">
        <v>80930</v>
      </c>
      <c r="B157" s="5">
        <v>1</v>
      </c>
      <c r="C157" s="5" t="s">
        <v>177</v>
      </c>
      <c r="D157" s="5" t="s">
        <v>177</v>
      </c>
      <c r="E157" s="5" t="s">
        <v>177</v>
      </c>
      <c r="F157" s="5" t="s">
        <v>177</v>
      </c>
      <c r="G157" s="5" t="s">
        <v>177</v>
      </c>
      <c r="H157" s="5">
        <v>1</v>
      </c>
      <c r="I157" s="5"/>
    </row>
    <row r="158" spans="1:9">
      <c r="A158" s="5">
        <v>80938</v>
      </c>
      <c r="B158" s="5">
        <v>1</v>
      </c>
      <c r="C158" s="5" t="s">
        <v>177</v>
      </c>
      <c r="D158" s="5">
        <v>1</v>
      </c>
      <c r="E158" s="5" t="s">
        <v>177</v>
      </c>
      <c r="F158" s="5" t="s">
        <v>177</v>
      </c>
      <c r="G158" s="5" t="s">
        <v>177</v>
      </c>
      <c r="H158" s="5" t="s">
        <v>177</v>
      </c>
      <c r="I158" s="5"/>
    </row>
    <row r="159" spans="1:9">
      <c r="A159" s="5">
        <v>80951</v>
      </c>
      <c r="B159" s="5">
        <v>11</v>
      </c>
      <c r="C159" s="5">
        <v>4</v>
      </c>
      <c r="D159" s="5">
        <v>1</v>
      </c>
      <c r="E159" s="5" t="s">
        <v>177</v>
      </c>
      <c r="F159" s="5">
        <v>2</v>
      </c>
      <c r="G159" s="5">
        <v>3</v>
      </c>
      <c r="H159" s="5">
        <v>1</v>
      </c>
      <c r="I159" s="5"/>
    </row>
    <row r="160" spans="1:9">
      <c r="A160" s="5">
        <v>81001</v>
      </c>
      <c r="B160" s="5">
        <v>30</v>
      </c>
      <c r="C160" s="5">
        <v>5</v>
      </c>
      <c r="D160" s="5">
        <v>2</v>
      </c>
      <c r="E160" s="5">
        <v>1</v>
      </c>
      <c r="F160" s="5">
        <v>10</v>
      </c>
      <c r="G160" s="5">
        <v>2</v>
      </c>
      <c r="H160" s="5">
        <v>10</v>
      </c>
      <c r="I160" s="5"/>
    </row>
    <row r="161" spans="1:9">
      <c r="A161" s="5">
        <v>81003</v>
      </c>
      <c r="B161" s="5">
        <v>13</v>
      </c>
      <c r="C161" s="5">
        <v>1</v>
      </c>
      <c r="D161" s="5">
        <v>3</v>
      </c>
      <c r="E161" s="5">
        <v>2</v>
      </c>
      <c r="F161" s="5" t="s">
        <v>177</v>
      </c>
      <c r="G161" s="5">
        <v>2</v>
      </c>
      <c r="H161" s="5">
        <v>5</v>
      </c>
      <c r="I161" s="5"/>
    </row>
    <row r="162" spans="1:9">
      <c r="A162" s="5">
        <v>81006</v>
      </c>
      <c r="B162" s="5">
        <v>16</v>
      </c>
      <c r="C162" s="5">
        <v>3</v>
      </c>
      <c r="D162" s="5">
        <v>1</v>
      </c>
      <c r="E162" s="5">
        <v>3</v>
      </c>
      <c r="F162" s="5">
        <v>2</v>
      </c>
      <c r="G162" s="5">
        <v>3</v>
      </c>
      <c r="H162" s="5">
        <v>4</v>
      </c>
      <c r="I162" s="5"/>
    </row>
    <row r="163" spans="1:9">
      <c r="A163" s="5">
        <v>81007</v>
      </c>
      <c r="B163" s="5">
        <v>45</v>
      </c>
      <c r="C163" s="5">
        <v>6</v>
      </c>
      <c r="D163" s="5">
        <v>7</v>
      </c>
      <c r="E163" s="5">
        <v>6</v>
      </c>
      <c r="F163" s="5">
        <v>4</v>
      </c>
      <c r="G163" s="5">
        <v>11</v>
      </c>
      <c r="H163" s="5">
        <v>11</v>
      </c>
      <c r="I163" s="5"/>
    </row>
    <row r="164" spans="1:9">
      <c r="A164" s="5">
        <v>81008</v>
      </c>
      <c r="B164" s="5">
        <v>15</v>
      </c>
      <c r="C164" s="5">
        <v>3</v>
      </c>
      <c r="D164" s="5">
        <v>1</v>
      </c>
      <c r="E164" s="5">
        <v>1</v>
      </c>
      <c r="F164" s="5">
        <v>2</v>
      </c>
      <c r="G164" s="5">
        <v>4</v>
      </c>
      <c r="H164" s="5">
        <v>4</v>
      </c>
      <c r="I164" s="5"/>
    </row>
    <row r="165" spans="1:9">
      <c r="A165" s="5">
        <v>81019</v>
      </c>
      <c r="B165" s="5">
        <v>2</v>
      </c>
      <c r="C165" s="5" t="s">
        <v>177</v>
      </c>
      <c r="D165" s="5">
        <v>1</v>
      </c>
      <c r="E165" s="5" t="s">
        <v>177</v>
      </c>
      <c r="F165" s="5" t="s">
        <v>177</v>
      </c>
      <c r="G165" s="5">
        <v>1</v>
      </c>
      <c r="H165" s="5" t="s">
        <v>177</v>
      </c>
      <c r="I165" s="5"/>
    </row>
    <row r="166" spans="1:9">
      <c r="A166" s="5">
        <v>85006</v>
      </c>
      <c r="B166" s="5">
        <v>48</v>
      </c>
      <c r="C166" s="5">
        <v>9</v>
      </c>
      <c r="D166" s="5">
        <v>14</v>
      </c>
      <c r="E166" s="5">
        <v>5</v>
      </c>
      <c r="F166" s="5">
        <v>6</v>
      </c>
      <c r="G166" s="5">
        <v>4</v>
      </c>
      <c r="H166" s="5">
        <v>10</v>
      </c>
      <c r="I166" s="5"/>
    </row>
    <row r="167" spans="1:9">
      <c r="A167" s="5">
        <v>85007</v>
      </c>
      <c r="B167" s="5">
        <v>44</v>
      </c>
      <c r="C167" s="5">
        <v>8</v>
      </c>
      <c r="D167" s="5">
        <v>5</v>
      </c>
      <c r="E167" s="5">
        <v>8</v>
      </c>
      <c r="F167" s="5">
        <v>4</v>
      </c>
      <c r="G167" s="5">
        <v>12</v>
      </c>
      <c r="H167" s="5">
        <v>7</v>
      </c>
      <c r="I167" s="5"/>
    </row>
    <row r="168" spans="1:9">
      <c r="A168" s="5">
        <v>85008</v>
      </c>
      <c r="B168" s="5">
        <v>93</v>
      </c>
      <c r="C168" s="5">
        <v>19</v>
      </c>
      <c r="D168" s="5">
        <v>14</v>
      </c>
      <c r="E168" s="5">
        <v>11</v>
      </c>
      <c r="F168" s="5">
        <v>13</v>
      </c>
      <c r="G168" s="5">
        <v>15</v>
      </c>
      <c r="H168" s="5">
        <v>21</v>
      </c>
      <c r="I168" s="5"/>
    </row>
    <row r="169" spans="1:9">
      <c r="A169" s="5">
        <v>85009</v>
      </c>
      <c r="B169" s="5">
        <v>77</v>
      </c>
      <c r="C169" s="5">
        <v>11</v>
      </c>
      <c r="D169" s="5">
        <v>18</v>
      </c>
      <c r="E169" s="5">
        <v>8</v>
      </c>
      <c r="F169" s="5">
        <v>13</v>
      </c>
      <c r="G169" s="5">
        <v>11</v>
      </c>
      <c r="H169" s="5">
        <v>16</v>
      </c>
      <c r="I169" s="5"/>
    </row>
    <row r="170" spans="1:9">
      <c r="A170" s="5">
        <v>85012</v>
      </c>
      <c r="B170" s="5">
        <v>14</v>
      </c>
      <c r="C170" s="5">
        <v>3</v>
      </c>
      <c r="D170" s="5">
        <v>1</v>
      </c>
      <c r="E170" s="5" t="s">
        <v>177</v>
      </c>
      <c r="F170" s="5">
        <v>1</v>
      </c>
      <c r="G170" s="5">
        <v>2</v>
      </c>
      <c r="H170" s="5">
        <v>7</v>
      </c>
      <c r="I170" s="5"/>
    </row>
    <row r="171" spans="1:9">
      <c r="A171" s="5">
        <v>85013</v>
      </c>
      <c r="B171" s="5">
        <v>43</v>
      </c>
      <c r="C171" s="5">
        <v>10</v>
      </c>
      <c r="D171" s="5">
        <v>4</v>
      </c>
      <c r="E171" s="5">
        <v>3</v>
      </c>
      <c r="F171" s="5">
        <v>9</v>
      </c>
      <c r="G171" s="5">
        <v>8</v>
      </c>
      <c r="H171" s="5">
        <v>9</v>
      </c>
      <c r="I171" s="5"/>
    </row>
    <row r="172" spans="1:9">
      <c r="A172" s="5">
        <v>85014</v>
      </c>
      <c r="B172" s="5">
        <v>42</v>
      </c>
      <c r="C172" s="5">
        <v>3</v>
      </c>
      <c r="D172" s="5">
        <v>3</v>
      </c>
      <c r="E172" s="5">
        <v>8</v>
      </c>
      <c r="F172" s="5">
        <v>12</v>
      </c>
      <c r="G172" s="5">
        <v>6</v>
      </c>
      <c r="H172" s="5">
        <v>10</v>
      </c>
      <c r="I172" s="5"/>
    </row>
    <row r="173" spans="1:9">
      <c r="A173" s="5">
        <v>85015</v>
      </c>
      <c r="B173" s="5">
        <v>72</v>
      </c>
      <c r="C173" s="5">
        <v>15</v>
      </c>
      <c r="D173" s="5">
        <v>6</v>
      </c>
      <c r="E173" s="5">
        <v>11</v>
      </c>
      <c r="F173" s="5">
        <v>15</v>
      </c>
      <c r="G173" s="5">
        <v>7</v>
      </c>
      <c r="H173" s="5">
        <v>18</v>
      </c>
      <c r="I173" s="5"/>
    </row>
    <row r="174" spans="1:9">
      <c r="A174" s="5">
        <v>85016</v>
      </c>
      <c r="B174" s="5">
        <v>33</v>
      </c>
      <c r="C174" s="5">
        <v>5</v>
      </c>
      <c r="D174" s="5">
        <v>6</v>
      </c>
      <c r="E174" s="5">
        <v>6</v>
      </c>
      <c r="F174" s="5">
        <v>4</v>
      </c>
      <c r="G174" s="5">
        <v>4</v>
      </c>
      <c r="H174" s="5">
        <v>8</v>
      </c>
      <c r="I174" s="5"/>
    </row>
    <row r="175" spans="1:9">
      <c r="A175" s="5">
        <v>85017</v>
      </c>
      <c r="B175" s="5">
        <v>72</v>
      </c>
      <c r="C175" s="5">
        <v>16</v>
      </c>
      <c r="D175" s="5">
        <v>12</v>
      </c>
      <c r="E175" s="5">
        <v>6</v>
      </c>
      <c r="F175" s="5">
        <v>9</v>
      </c>
      <c r="G175" s="5">
        <v>10</v>
      </c>
      <c r="H175" s="5">
        <v>19</v>
      </c>
      <c r="I175" s="5"/>
    </row>
    <row r="176" spans="1:9">
      <c r="A176" s="5">
        <v>85018</v>
      </c>
      <c r="B176" s="5">
        <v>41</v>
      </c>
      <c r="C176" s="5">
        <v>7</v>
      </c>
      <c r="D176" s="5">
        <v>9</v>
      </c>
      <c r="E176" s="5">
        <v>2</v>
      </c>
      <c r="F176" s="5">
        <v>6</v>
      </c>
      <c r="G176" s="5">
        <v>7</v>
      </c>
      <c r="H176" s="5">
        <v>10</v>
      </c>
      <c r="I176" s="5"/>
    </row>
    <row r="177" spans="1:9">
      <c r="A177" s="5">
        <v>85019</v>
      </c>
      <c r="B177" s="5">
        <v>35</v>
      </c>
      <c r="C177" s="5">
        <v>7</v>
      </c>
      <c r="D177" s="5">
        <v>4</v>
      </c>
      <c r="E177" s="5">
        <v>4</v>
      </c>
      <c r="F177" s="5">
        <v>6</v>
      </c>
      <c r="G177" s="5">
        <v>4</v>
      </c>
      <c r="H177" s="5">
        <v>10</v>
      </c>
      <c r="I177" s="5"/>
    </row>
    <row r="178" spans="1:9">
      <c r="A178" s="5">
        <v>85020</v>
      </c>
      <c r="B178" s="5">
        <v>37</v>
      </c>
      <c r="C178" s="5">
        <v>8</v>
      </c>
      <c r="D178" s="5">
        <v>7</v>
      </c>
      <c r="E178" s="5">
        <v>3</v>
      </c>
      <c r="F178" s="5">
        <v>6</v>
      </c>
      <c r="G178" s="5">
        <v>6</v>
      </c>
      <c r="H178" s="5">
        <v>7</v>
      </c>
      <c r="I178" s="5"/>
    </row>
    <row r="179" spans="1:9">
      <c r="A179" s="5">
        <v>85021</v>
      </c>
      <c r="B179" s="5">
        <v>65</v>
      </c>
      <c r="C179" s="5">
        <v>8</v>
      </c>
      <c r="D179" s="5">
        <v>9</v>
      </c>
      <c r="E179" s="5">
        <v>6</v>
      </c>
      <c r="F179" s="5">
        <v>15</v>
      </c>
      <c r="G179" s="5">
        <v>11</v>
      </c>
      <c r="H179" s="5">
        <v>16</v>
      </c>
      <c r="I179" s="5"/>
    </row>
    <row r="180" spans="1:9">
      <c r="A180" s="5">
        <v>85022</v>
      </c>
      <c r="B180" s="5">
        <v>74</v>
      </c>
      <c r="C180" s="5">
        <v>11</v>
      </c>
      <c r="D180" s="5">
        <v>13</v>
      </c>
      <c r="E180" s="5">
        <v>8</v>
      </c>
      <c r="F180" s="5">
        <v>14</v>
      </c>
      <c r="G180" s="5">
        <v>12</v>
      </c>
      <c r="H180" s="5">
        <v>16</v>
      </c>
      <c r="I180" s="5"/>
    </row>
    <row r="181" spans="1:9">
      <c r="A181" s="5">
        <v>85023</v>
      </c>
      <c r="B181" s="5">
        <v>69</v>
      </c>
      <c r="C181" s="5">
        <v>10</v>
      </c>
      <c r="D181" s="5">
        <v>9</v>
      </c>
      <c r="E181" s="5">
        <v>5</v>
      </c>
      <c r="F181" s="5">
        <v>13</v>
      </c>
      <c r="G181" s="5">
        <v>10</v>
      </c>
      <c r="H181" s="5">
        <v>22</v>
      </c>
      <c r="I181" s="5"/>
    </row>
    <row r="182" spans="1:9">
      <c r="A182" s="5">
        <v>85024</v>
      </c>
      <c r="B182" s="5">
        <v>49</v>
      </c>
      <c r="C182" s="5">
        <v>7</v>
      </c>
      <c r="D182" s="5">
        <v>7</v>
      </c>
      <c r="E182" s="5">
        <v>6</v>
      </c>
      <c r="F182" s="5">
        <v>6</v>
      </c>
      <c r="G182" s="5">
        <v>11</v>
      </c>
      <c r="H182" s="5">
        <v>12</v>
      </c>
      <c r="I182" s="5"/>
    </row>
    <row r="183" spans="1:9">
      <c r="A183" s="5">
        <v>85027</v>
      </c>
      <c r="B183" s="5">
        <v>63</v>
      </c>
      <c r="C183" s="5">
        <v>8</v>
      </c>
      <c r="D183" s="5">
        <v>8</v>
      </c>
      <c r="E183" s="5">
        <v>7</v>
      </c>
      <c r="F183" s="5">
        <v>15</v>
      </c>
      <c r="G183" s="5">
        <v>8</v>
      </c>
      <c r="H183" s="5">
        <v>17</v>
      </c>
      <c r="I183" s="5"/>
    </row>
    <row r="184" spans="1:9">
      <c r="A184" s="5">
        <v>85028</v>
      </c>
      <c r="B184" s="5">
        <v>26</v>
      </c>
      <c r="C184" s="5">
        <v>5</v>
      </c>
      <c r="D184" s="5">
        <v>4</v>
      </c>
      <c r="E184" s="5">
        <v>4</v>
      </c>
      <c r="F184" s="5">
        <v>3</v>
      </c>
      <c r="G184" s="5">
        <v>4</v>
      </c>
      <c r="H184" s="5">
        <v>6</v>
      </c>
      <c r="I184" s="5"/>
    </row>
    <row r="185" spans="1:9">
      <c r="A185" s="5">
        <v>85029</v>
      </c>
      <c r="B185" s="5">
        <v>75</v>
      </c>
      <c r="C185" s="5">
        <v>13</v>
      </c>
      <c r="D185" s="5">
        <v>16</v>
      </c>
      <c r="E185" s="5">
        <v>6</v>
      </c>
      <c r="F185" s="5">
        <v>12</v>
      </c>
      <c r="G185" s="5">
        <v>7</v>
      </c>
      <c r="H185" s="5">
        <v>21</v>
      </c>
      <c r="I185" s="5"/>
    </row>
    <row r="186" spans="1:9">
      <c r="A186" s="5">
        <v>85031</v>
      </c>
      <c r="B186" s="5">
        <v>43</v>
      </c>
      <c r="C186" s="5">
        <v>11</v>
      </c>
      <c r="D186" s="5">
        <v>12</v>
      </c>
      <c r="E186" s="5">
        <v>4</v>
      </c>
      <c r="F186" s="5">
        <v>5</v>
      </c>
      <c r="G186" s="5">
        <v>5</v>
      </c>
      <c r="H186" s="5">
        <v>6</v>
      </c>
      <c r="I186" s="5"/>
    </row>
    <row r="187" spans="1:9">
      <c r="A187" s="5">
        <v>85032</v>
      </c>
      <c r="B187" s="5">
        <v>102</v>
      </c>
      <c r="C187" s="5">
        <v>9</v>
      </c>
      <c r="D187" s="5">
        <v>17</v>
      </c>
      <c r="E187" s="5">
        <v>10</v>
      </c>
      <c r="F187" s="5">
        <v>18</v>
      </c>
      <c r="G187" s="5">
        <v>17</v>
      </c>
      <c r="H187" s="5">
        <v>31</v>
      </c>
      <c r="I187" s="5"/>
    </row>
    <row r="188" spans="1:9">
      <c r="A188" s="5">
        <v>85033</v>
      </c>
      <c r="B188" s="5">
        <v>90</v>
      </c>
      <c r="C188" s="5">
        <v>14</v>
      </c>
      <c r="D188" s="5">
        <v>13</v>
      </c>
      <c r="E188" s="5">
        <v>9</v>
      </c>
      <c r="F188" s="5">
        <v>19</v>
      </c>
      <c r="G188" s="5">
        <v>13</v>
      </c>
      <c r="H188" s="5">
        <v>22</v>
      </c>
      <c r="I188" s="5"/>
    </row>
    <row r="189" spans="1:9">
      <c r="A189" s="5">
        <v>85035</v>
      </c>
      <c r="B189" s="5">
        <v>96</v>
      </c>
      <c r="C189" s="5">
        <v>17</v>
      </c>
      <c r="D189" s="5">
        <v>10</v>
      </c>
      <c r="E189" s="5">
        <v>12</v>
      </c>
      <c r="F189" s="5">
        <v>25</v>
      </c>
      <c r="G189" s="5">
        <v>11</v>
      </c>
      <c r="H189" s="5">
        <v>21</v>
      </c>
      <c r="I189" s="5"/>
    </row>
    <row r="190" spans="1:9">
      <c r="A190" s="5">
        <v>85037</v>
      </c>
      <c r="B190" s="5">
        <v>114</v>
      </c>
      <c r="C190" s="5">
        <v>13</v>
      </c>
      <c r="D190" s="5">
        <v>22</v>
      </c>
      <c r="E190" s="5">
        <v>14</v>
      </c>
      <c r="F190" s="5">
        <v>20</v>
      </c>
      <c r="G190" s="5">
        <v>14</v>
      </c>
      <c r="H190" s="5">
        <v>31</v>
      </c>
      <c r="I190" s="5"/>
    </row>
    <row r="191" spans="1:9">
      <c r="A191" s="5">
        <v>85040</v>
      </c>
      <c r="B191" s="5">
        <v>64</v>
      </c>
      <c r="C191" s="5">
        <v>5</v>
      </c>
      <c r="D191" s="5">
        <v>13</v>
      </c>
      <c r="E191" s="5">
        <v>6</v>
      </c>
      <c r="F191" s="5">
        <v>14</v>
      </c>
      <c r="G191" s="5">
        <v>8</v>
      </c>
      <c r="H191" s="5">
        <v>18</v>
      </c>
      <c r="I191" s="5"/>
    </row>
    <row r="192" spans="1:9">
      <c r="A192" s="5">
        <v>85041</v>
      </c>
      <c r="B192" s="5">
        <v>149</v>
      </c>
      <c r="C192" s="5">
        <v>24</v>
      </c>
      <c r="D192" s="5">
        <v>25</v>
      </c>
      <c r="E192" s="5">
        <v>19</v>
      </c>
      <c r="F192" s="5">
        <v>24</v>
      </c>
      <c r="G192" s="5">
        <v>19</v>
      </c>
      <c r="H192" s="5">
        <v>38</v>
      </c>
      <c r="I192" s="5"/>
    </row>
    <row r="193" spans="1:9">
      <c r="A193" s="5">
        <v>85042</v>
      </c>
      <c r="B193" s="5">
        <v>86</v>
      </c>
      <c r="C193" s="5">
        <v>8</v>
      </c>
      <c r="D193" s="5">
        <v>11</v>
      </c>
      <c r="E193" s="5">
        <v>8</v>
      </c>
      <c r="F193" s="5">
        <v>22</v>
      </c>
      <c r="G193" s="5">
        <v>19</v>
      </c>
      <c r="H193" s="5">
        <v>18</v>
      </c>
      <c r="I193" s="5"/>
    </row>
    <row r="194" spans="1:9">
      <c r="A194" s="5">
        <v>85043</v>
      </c>
      <c r="B194" s="5">
        <v>63</v>
      </c>
      <c r="C194" s="5">
        <v>7</v>
      </c>
      <c r="D194" s="5">
        <v>9</v>
      </c>
      <c r="E194" s="5">
        <v>10</v>
      </c>
      <c r="F194" s="5">
        <v>12</v>
      </c>
      <c r="G194" s="5">
        <v>8</v>
      </c>
      <c r="H194" s="5">
        <v>17</v>
      </c>
      <c r="I194" s="5"/>
    </row>
    <row r="195" spans="1:9">
      <c r="A195" s="5">
        <v>85044</v>
      </c>
      <c r="B195" s="5">
        <v>54</v>
      </c>
      <c r="C195" s="5">
        <v>9</v>
      </c>
      <c r="D195" s="5">
        <v>10</v>
      </c>
      <c r="E195" s="5">
        <v>3</v>
      </c>
      <c r="F195" s="5">
        <v>7</v>
      </c>
      <c r="G195" s="5">
        <v>8</v>
      </c>
      <c r="H195" s="5">
        <v>17</v>
      </c>
      <c r="I195" s="5"/>
    </row>
    <row r="196" spans="1:9">
      <c r="A196" s="5">
        <v>85045</v>
      </c>
      <c r="B196" s="5">
        <v>27</v>
      </c>
      <c r="C196" s="5">
        <v>2</v>
      </c>
      <c r="D196" s="5">
        <v>4</v>
      </c>
      <c r="E196" s="5">
        <v>3</v>
      </c>
      <c r="F196" s="5">
        <v>4</v>
      </c>
      <c r="G196" s="5">
        <v>7</v>
      </c>
      <c r="H196" s="5">
        <v>7</v>
      </c>
      <c r="I196" s="5"/>
    </row>
    <row r="197" spans="1:9">
      <c r="A197" s="5">
        <v>85048</v>
      </c>
      <c r="B197" s="5">
        <v>65</v>
      </c>
      <c r="C197" s="5">
        <v>6</v>
      </c>
      <c r="D197" s="5">
        <v>10</v>
      </c>
      <c r="E197" s="5">
        <v>6</v>
      </c>
      <c r="F197" s="5">
        <v>14</v>
      </c>
      <c r="G197" s="5">
        <v>17</v>
      </c>
      <c r="H197" s="5">
        <v>12</v>
      </c>
      <c r="I197" s="5"/>
    </row>
    <row r="198" spans="1:9">
      <c r="A198" s="5">
        <v>85050</v>
      </c>
      <c r="B198" s="5">
        <v>44</v>
      </c>
      <c r="C198" s="5">
        <v>8</v>
      </c>
      <c r="D198" s="5">
        <v>5</v>
      </c>
      <c r="E198" s="5">
        <v>3</v>
      </c>
      <c r="F198" s="5">
        <v>6</v>
      </c>
      <c r="G198" s="5">
        <v>6</v>
      </c>
      <c r="H198" s="5">
        <v>16</v>
      </c>
      <c r="I198" s="5"/>
    </row>
    <row r="199" spans="1:9">
      <c r="A199" s="5">
        <v>85051</v>
      </c>
      <c r="B199" s="5">
        <v>95</v>
      </c>
      <c r="C199" s="5">
        <v>21</v>
      </c>
      <c r="D199" s="5">
        <v>9</v>
      </c>
      <c r="E199" s="5">
        <v>19</v>
      </c>
      <c r="F199" s="5">
        <v>15</v>
      </c>
      <c r="G199" s="5">
        <v>16</v>
      </c>
      <c r="H199" s="5">
        <v>15</v>
      </c>
      <c r="I199" s="5"/>
    </row>
    <row r="200" spans="1:9">
      <c r="A200" s="5">
        <v>85053</v>
      </c>
      <c r="B200" s="5">
        <v>70</v>
      </c>
      <c r="C200" s="5">
        <v>10</v>
      </c>
      <c r="D200" s="5">
        <v>12</v>
      </c>
      <c r="E200" s="5">
        <v>6</v>
      </c>
      <c r="F200" s="5">
        <v>13</v>
      </c>
      <c r="G200" s="5">
        <v>13</v>
      </c>
      <c r="H200" s="5">
        <v>16</v>
      </c>
      <c r="I200" s="5"/>
    </row>
    <row r="201" spans="1:9">
      <c r="A201" s="5">
        <v>85054</v>
      </c>
      <c r="B201" s="5">
        <v>14</v>
      </c>
      <c r="C201" s="5">
        <v>5</v>
      </c>
      <c r="D201" s="5">
        <v>2</v>
      </c>
      <c r="E201" s="5">
        <v>1</v>
      </c>
      <c r="F201" s="5">
        <v>3</v>
      </c>
      <c r="G201" s="5">
        <v>1</v>
      </c>
      <c r="H201" s="5">
        <v>2</v>
      </c>
      <c r="I201" s="5"/>
    </row>
    <row r="202" spans="1:9">
      <c r="A202" s="5">
        <v>85083</v>
      </c>
      <c r="B202" s="5">
        <v>22</v>
      </c>
      <c r="C202" s="5">
        <v>1</v>
      </c>
      <c r="D202" s="5">
        <v>7</v>
      </c>
      <c r="E202" s="5">
        <v>1</v>
      </c>
      <c r="F202" s="5">
        <v>4</v>
      </c>
      <c r="G202" s="5">
        <v>5</v>
      </c>
      <c r="H202" s="5">
        <v>4</v>
      </c>
      <c r="I202" s="5"/>
    </row>
    <row r="203" spans="1:9">
      <c r="A203" s="5">
        <v>85140</v>
      </c>
      <c r="B203" s="5">
        <v>63</v>
      </c>
      <c r="C203" s="5">
        <v>7</v>
      </c>
      <c r="D203" s="5">
        <v>12</v>
      </c>
      <c r="E203" s="5">
        <v>8</v>
      </c>
      <c r="F203" s="5">
        <v>15</v>
      </c>
      <c r="G203" s="5">
        <v>8</v>
      </c>
      <c r="H203" s="5">
        <v>13</v>
      </c>
      <c r="I203" s="5"/>
    </row>
    <row r="204" spans="1:9">
      <c r="A204" s="5">
        <v>85142</v>
      </c>
      <c r="B204" s="5">
        <v>120</v>
      </c>
      <c r="C204" s="5">
        <v>16</v>
      </c>
      <c r="D204" s="5">
        <v>14</v>
      </c>
      <c r="E204" s="5">
        <v>17</v>
      </c>
      <c r="F204" s="5">
        <v>19</v>
      </c>
      <c r="G204" s="5">
        <v>20</v>
      </c>
      <c r="H204" s="5">
        <v>34</v>
      </c>
      <c r="I204" s="5"/>
    </row>
    <row r="205" spans="1:9">
      <c r="A205" s="5">
        <v>85143</v>
      </c>
      <c r="B205" s="5">
        <v>68</v>
      </c>
      <c r="C205" s="5">
        <v>12</v>
      </c>
      <c r="D205" s="5">
        <v>11</v>
      </c>
      <c r="E205" s="5">
        <v>5</v>
      </c>
      <c r="F205" s="5">
        <v>14</v>
      </c>
      <c r="G205" s="5">
        <v>5</v>
      </c>
      <c r="H205" s="5">
        <v>21</v>
      </c>
      <c r="I205" s="5"/>
    </row>
    <row r="206" spans="1:9">
      <c r="A206" s="5">
        <v>85201</v>
      </c>
      <c r="B206" s="5">
        <v>77</v>
      </c>
      <c r="C206" s="5">
        <v>10</v>
      </c>
      <c r="D206" s="5">
        <v>12</v>
      </c>
      <c r="E206" s="5">
        <v>3</v>
      </c>
      <c r="F206" s="5">
        <v>15</v>
      </c>
      <c r="G206" s="5">
        <v>14</v>
      </c>
      <c r="H206" s="5">
        <v>23</v>
      </c>
      <c r="I206" s="5"/>
    </row>
    <row r="207" spans="1:9">
      <c r="A207" s="5">
        <v>85202</v>
      </c>
      <c r="B207" s="5">
        <v>74</v>
      </c>
      <c r="C207" s="5">
        <v>14</v>
      </c>
      <c r="D207" s="5">
        <v>15</v>
      </c>
      <c r="E207" s="5">
        <v>7</v>
      </c>
      <c r="F207" s="5">
        <v>14</v>
      </c>
      <c r="G207" s="5">
        <v>9</v>
      </c>
      <c r="H207" s="5">
        <v>15</v>
      </c>
      <c r="I207" s="5"/>
    </row>
    <row r="208" spans="1:9">
      <c r="A208" s="5">
        <v>85203</v>
      </c>
      <c r="B208" s="5">
        <v>73</v>
      </c>
      <c r="C208" s="5">
        <v>9</v>
      </c>
      <c r="D208" s="5">
        <v>10</v>
      </c>
      <c r="E208" s="5">
        <v>9</v>
      </c>
      <c r="F208" s="5">
        <v>19</v>
      </c>
      <c r="G208" s="5">
        <v>10</v>
      </c>
      <c r="H208" s="5">
        <v>16</v>
      </c>
      <c r="I208" s="5"/>
    </row>
    <row r="209" spans="1:9">
      <c r="A209" s="5">
        <v>85204</v>
      </c>
      <c r="B209" s="5">
        <v>90</v>
      </c>
      <c r="C209" s="5">
        <v>18</v>
      </c>
      <c r="D209" s="5">
        <v>14</v>
      </c>
      <c r="E209" s="5">
        <v>7</v>
      </c>
      <c r="F209" s="5">
        <v>16</v>
      </c>
      <c r="G209" s="5">
        <v>12</v>
      </c>
      <c r="H209" s="5">
        <v>23</v>
      </c>
      <c r="I209" s="5"/>
    </row>
    <row r="210" spans="1:9">
      <c r="A210" s="5">
        <v>85205</v>
      </c>
      <c r="B210" s="5">
        <v>52</v>
      </c>
      <c r="C210" s="5">
        <v>3</v>
      </c>
      <c r="D210" s="5">
        <v>10</v>
      </c>
      <c r="E210" s="5">
        <v>8</v>
      </c>
      <c r="F210" s="5">
        <v>9</v>
      </c>
      <c r="G210" s="5">
        <v>8</v>
      </c>
      <c r="H210" s="5">
        <v>14</v>
      </c>
      <c r="I210" s="5"/>
    </row>
    <row r="211" spans="1:9">
      <c r="A211" s="5">
        <v>85206</v>
      </c>
      <c r="B211" s="5">
        <v>61</v>
      </c>
      <c r="C211" s="5">
        <v>10</v>
      </c>
      <c r="D211" s="5">
        <v>7</v>
      </c>
      <c r="E211" s="5">
        <v>5</v>
      </c>
      <c r="F211" s="5">
        <v>12</v>
      </c>
      <c r="G211" s="5">
        <v>12</v>
      </c>
      <c r="H211" s="5">
        <v>15</v>
      </c>
      <c r="I211" s="5"/>
    </row>
    <row r="212" spans="1:9">
      <c r="A212" s="5">
        <v>85207</v>
      </c>
      <c r="B212" s="5">
        <v>73</v>
      </c>
      <c r="C212" s="5">
        <v>9</v>
      </c>
      <c r="D212" s="5">
        <v>14</v>
      </c>
      <c r="E212" s="5">
        <v>8</v>
      </c>
      <c r="F212" s="5">
        <v>17</v>
      </c>
      <c r="G212" s="5">
        <v>8</v>
      </c>
      <c r="H212" s="5">
        <v>17</v>
      </c>
      <c r="I212" s="5"/>
    </row>
    <row r="213" spans="1:9">
      <c r="A213" s="5">
        <v>85208</v>
      </c>
      <c r="B213" s="5">
        <v>42</v>
      </c>
      <c r="C213" s="5">
        <v>5</v>
      </c>
      <c r="D213" s="5">
        <v>5</v>
      </c>
      <c r="E213" s="5">
        <v>1</v>
      </c>
      <c r="F213" s="5">
        <v>7</v>
      </c>
      <c r="G213" s="5">
        <v>11</v>
      </c>
      <c r="H213" s="5">
        <v>13</v>
      </c>
      <c r="I213" s="5"/>
    </row>
    <row r="214" spans="1:9">
      <c r="A214" s="5">
        <v>85209</v>
      </c>
      <c r="B214" s="5">
        <v>68</v>
      </c>
      <c r="C214" s="5">
        <v>8</v>
      </c>
      <c r="D214" s="5">
        <v>12</v>
      </c>
      <c r="E214" s="5">
        <v>6</v>
      </c>
      <c r="F214" s="5">
        <v>14</v>
      </c>
      <c r="G214" s="5">
        <v>16</v>
      </c>
      <c r="H214" s="5">
        <v>12</v>
      </c>
      <c r="I214" s="5"/>
    </row>
    <row r="215" spans="1:9">
      <c r="A215" s="5">
        <v>85210</v>
      </c>
      <c r="B215" s="5">
        <v>58</v>
      </c>
      <c r="C215" s="5">
        <v>8</v>
      </c>
      <c r="D215" s="5">
        <v>7</v>
      </c>
      <c r="E215" s="5">
        <v>5</v>
      </c>
      <c r="F215" s="5">
        <v>14</v>
      </c>
      <c r="G215" s="5">
        <v>9</v>
      </c>
      <c r="H215" s="5">
        <v>15</v>
      </c>
      <c r="I215" s="5"/>
    </row>
    <row r="216" spans="1:9">
      <c r="A216" s="5">
        <v>85212</v>
      </c>
      <c r="B216" s="5">
        <v>98</v>
      </c>
      <c r="C216" s="5">
        <v>18</v>
      </c>
      <c r="D216" s="5">
        <v>15</v>
      </c>
      <c r="E216" s="5">
        <v>7</v>
      </c>
      <c r="F216" s="5">
        <v>16</v>
      </c>
      <c r="G216" s="5">
        <v>16</v>
      </c>
      <c r="H216" s="5">
        <v>26</v>
      </c>
      <c r="I216" s="5"/>
    </row>
    <row r="217" spans="1:9">
      <c r="A217" s="5">
        <v>85213</v>
      </c>
      <c r="B217" s="5">
        <v>39</v>
      </c>
      <c r="C217" s="5">
        <v>3</v>
      </c>
      <c r="D217" s="5">
        <v>5</v>
      </c>
      <c r="E217" s="5">
        <v>3</v>
      </c>
      <c r="F217" s="5">
        <v>10</v>
      </c>
      <c r="G217" s="5">
        <v>10</v>
      </c>
      <c r="H217" s="5">
        <v>8</v>
      </c>
      <c r="I217" s="5"/>
    </row>
    <row r="218" spans="1:9">
      <c r="A218" s="5">
        <v>85215</v>
      </c>
      <c r="B218" s="5">
        <v>20</v>
      </c>
      <c r="C218" s="5">
        <v>6</v>
      </c>
      <c r="D218" s="5">
        <v>1</v>
      </c>
      <c r="E218" s="5">
        <v>3</v>
      </c>
      <c r="F218" s="5">
        <v>3</v>
      </c>
      <c r="G218" s="5">
        <v>3</v>
      </c>
      <c r="H218" s="5">
        <v>4</v>
      </c>
      <c r="I218" s="5"/>
    </row>
    <row r="219" spans="1:9">
      <c r="A219" s="5">
        <v>85224</v>
      </c>
      <c r="B219" s="5">
        <v>69</v>
      </c>
      <c r="C219" s="5">
        <v>9</v>
      </c>
      <c r="D219" s="5">
        <v>8</v>
      </c>
      <c r="E219" s="5">
        <v>9</v>
      </c>
      <c r="F219" s="5">
        <v>18</v>
      </c>
      <c r="G219" s="5">
        <v>13</v>
      </c>
      <c r="H219" s="5">
        <v>12</v>
      </c>
      <c r="I219" s="5"/>
    </row>
    <row r="220" spans="1:9">
      <c r="A220" s="5">
        <v>85225</v>
      </c>
      <c r="B220" s="5">
        <v>129</v>
      </c>
      <c r="C220" s="5">
        <v>24</v>
      </c>
      <c r="D220" s="5">
        <v>23</v>
      </c>
      <c r="E220" s="5">
        <v>14</v>
      </c>
      <c r="F220" s="5">
        <v>25</v>
      </c>
      <c r="G220" s="5">
        <v>16</v>
      </c>
      <c r="H220" s="5">
        <v>27</v>
      </c>
      <c r="I220" s="5"/>
    </row>
    <row r="221" spans="1:9">
      <c r="A221" s="5">
        <v>85226</v>
      </c>
      <c r="B221" s="5">
        <v>101</v>
      </c>
      <c r="C221" s="5">
        <v>17</v>
      </c>
      <c r="D221" s="5">
        <v>10</v>
      </c>
      <c r="E221" s="5">
        <v>10</v>
      </c>
      <c r="F221" s="5">
        <v>22</v>
      </c>
      <c r="G221" s="5">
        <v>9</v>
      </c>
      <c r="H221" s="5">
        <v>33</v>
      </c>
      <c r="I221" s="5"/>
    </row>
    <row r="222" spans="1:9">
      <c r="A222" s="5">
        <v>85233</v>
      </c>
      <c r="B222" s="5">
        <v>64</v>
      </c>
      <c r="C222" s="5">
        <v>17</v>
      </c>
      <c r="D222" s="5">
        <v>7</v>
      </c>
      <c r="E222" s="5">
        <v>8</v>
      </c>
      <c r="F222" s="5">
        <v>7</v>
      </c>
      <c r="G222" s="5">
        <v>11</v>
      </c>
      <c r="H222" s="5">
        <v>14</v>
      </c>
      <c r="I222" s="5"/>
    </row>
    <row r="223" spans="1:9">
      <c r="A223" s="5">
        <v>85234</v>
      </c>
      <c r="B223" s="5">
        <v>96</v>
      </c>
      <c r="C223" s="5">
        <v>17</v>
      </c>
      <c r="D223" s="5">
        <v>21</v>
      </c>
      <c r="E223" s="5">
        <v>9</v>
      </c>
      <c r="F223" s="5">
        <v>17</v>
      </c>
      <c r="G223" s="5">
        <v>15</v>
      </c>
      <c r="H223" s="5">
        <v>17</v>
      </c>
      <c r="I223" s="5"/>
    </row>
    <row r="224" spans="1:9">
      <c r="A224" s="5">
        <v>85248</v>
      </c>
      <c r="B224" s="5">
        <v>30</v>
      </c>
      <c r="C224" s="5">
        <v>2</v>
      </c>
      <c r="D224" s="5">
        <v>3</v>
      </c>
      <c r="E224" s="5">
        <v>4</v>
      </c>
      <c r="F224" s="5">
        <v>8</v>
      </c>
      <c r="G224" s="5">
        <v>6</v>
      </c>
      <c r="H224" s="5">
        <v>7</v>
      </c>
      <c r="I224" s="5"/>
    </row>
    <row r="225" spans="1:9">
      <c r="A225" s="5">
        <v>85249</v>
      </c>
      <c r="B225" s="5">
        <v>71</v>
      </c>
      <c r="C225" s="5">
        <v>15</v>
      </c>
      <c r="D225" s="5">
        <v>12</v>
      </c>
      <c r="E225" s="5">
        <v>7</v>
      </c>
      <c r="F225" s="5">
        <v>15</v>
      </c>
      <c r="G225" s="5">
        <v>14</v>
      </c>
      <c r="H225" s="5">
        <v>8</v>
      </c>
      <c r="I225" s="5"/>
    </row>
    <row r="226" spans="1:9">
      <c r="A226" s="5">
        <v>85250</v>
      </c>
      <c r="B226" s="5">
        <v>23</v>
      </c>
      <c r="C226" s="5">
        <v>7</v>
      </c>
      <c r="D226" s="5">
        <v>5</v>
      </c>
      <c r="E226" s="5">
        <v>2</v>
      </c>
      <c r="F226" s="5">
        <v>4</v>
      </c>
      <c r="G226" s="5" t="s">
        <v>177</v>
      </c>
      <c r="H226" s="5">
        <v>5</v>
      </c>
      <c r="I226" s="5"/>
    </row>
    <row r="227" spans="1:9">
      <c r="A227" s="5">
        <v>85251</v>
      </c>
      <c r="B227" s="5">
        <v>54</v>
      </c>
      <c r="C227" s="5">
        <v>6</v>
      </c>
      <c r="D227" s="5">
        <v>11</v>
      </c>
      <c r="E227" s="5">
        <v>7</v>
      </c>
      <c r="F227" s="5">
        <v>8</v>
      </c>
      <c r="G227" s="5">
        <v>5</v>
      </c>
      <c r="H227" s="5">
        <v>17</v>
      </c>
      <c r="I227" s="5"/>
    </row>
    <row r="228" spans="1:9">
      <c r="A228" s="5">
        <v>85253</v>
      </c>
      <c r="B228" s="5">
        <v>19</v>
      </c>
      <c r="C228" s="5">
        <v>6</v>
      </c>
      <c r="D228" s="5">
        <v>4</v>
      </c>
      <c r="E228" s="5">
        <v>1</v>
      </c>
      <c r="F228" s="5">
        <v>3</v>
      </c>
      <c r="G228" s="5">
        <v>2</v>
      </c>
      <c r="H228" s="5">
        <v>3</v>
      </c>
      <c r="I228" s="5"/>
    </row>
    <row r="229" spans="1:9">
      <c r="A229" s="5">
        <v>85254</v>
      </c>
      <c r="B229" s="5">
        <v>60</v>
      </c>
      <c r="C229" s="5">
        <v>12</v>
      </c>
      <c r="D229" s="5">
        <v>8</v>
      </c>
      <c r="E229" s="5">
        <v>3</v>
      </c>
      <c r="F229" s="5">
        <v>14</v>
      </c>
      <c r="G229" s="5">
        <v>4</v>
      </c>
      <c r="H229" s="5">
        <v>19</v>
      </c>
      <c r="I229" s="5"/>
    </row>
    <row r="230" spans="1:9">
      <c r="A230" s="5">
        <v>85256</v>
      </c>
      <c r="B230" s="5">
        <v>22</v>
      </c>
      <c r="C230" s="5">
        <v>7</v>
      </c>
      <c r="D230" s="5">
        <v>2</v>
      </c>
      <c r="E230" s="5">
        <v>7</v>
      </c>
      <c r="F230" s="5">
        <v>2</v>
      </c>
      <c r="G230" s="5">
        <v>3</v>
      </c>
      <c r="H230" s="5">
        <v>1</v>
      </c>
      <c r="I230" s="5"/>
    </row>
    <row r="231" spans="1:9">
      <c r="A231" s="5">
        <v>85257</v>
      </c>
      <c r="B231" s="5">
        <v>43</v>
      </c>
      <c r="C231" s="5">
        <v>7</v>
      </c>
      <c r="D231" s="5">
        <v>11</v>
      </c>
      <c r="E231" s="5">
        <v>2</v>
      </c>
      <c r="F231" s="5">
        <v>6</v>
      </c>
      <c r="G231" s="5">
        <v>5</v>
      </c>
      <c r="H231" s="5">
        <v>12</v>
      </c>
      <c r="I231" s="5"/>
    </row>
    <row r="232" spans="1:9">
      <c r="A232" s="5">
        <v>85258</v>
      </c>
      <c r="B232" s="5">
        <v>21</v>
      </c>
      <c r="C232" s="5">
        <v>2</v>
      </c>
      <c r="D232" s="5">
        <v>3</v>
      </c>
      <c r="E232" s="5">
        <v>2</v>
      </c>
      <c r="F232" s="5">
        <v>1</v>
      </c>
      <c r="G232" s="5">
        <v>7</v>
      </c>
      <c r="H232" s="5">
        <v>6</v>
      </c>
      <c r="I232" s="5"/>
    </row>
    <row r="233" spans="1:9">
      <c r="A233" s="5">
        <v>85260</v>
      </c>
      <c r="B233" s="5">
        <v>53</v>
      </c>
      <c r="C233" s="5">
        <v>8</v>
      </c>
      <c r="D233" s="5">
        <v>8</v>
      </c>
      <c r="E233" s="5">
        <v>6</v>
      </c>
      <c r="F233" s="5">
        <v>10</v>
      </c>
      <c r="G233" s="5">
        <v>5</v>
      </c>
      <c r="H233" s="5">
        <v>16</v>
      </c>
      <c r="I233" s="5"/>
    </row>
    <row r="234" spans="1:9">
      <c r="A234" s="5">
        <v>85281</v>
      </c>
      <c r="B234" s="5">
        <v>87</v>
      </c>
      <c r="C234" s="5">
        <v>12</v>
      </c>
      <c r="D234" s="5">
        <v>17</v>
      </c>
      <c r="E234" s="5">
        <v>10</v>
      </c>
      <c r="F234" s="5">
        <v>17</v>
      </c>
      <c r="G234" s="5">
        <v>9</v>
      </c>
      <c r="H234" s="5">
        <v>22</v>
      </c>
      <c r="I234" s="5"/>
    </row>
    <row r="235" spans="1:9">
      <c r="A235" s="5">
        <v>85282</v>
      </c>
      <c r="B235" s="5">
        <v>91</v>
      </c>
      <c r="C235" s="5">
        <v>17</v>
      </c>
      <c r="D235" s="5">
        <v>10</v>
      </c>
      <c r="E235" s="5">
        <v>11</v>
      </c>
      <c r="F235" s="5">
        <v>20</v>
      </c>
      <c r="G235" s="5">
        <v>12</v>
      </c>
      <c r="H235" s="5">
        <v>21</v>
      </c>
      <c r="I235" s="5"/>
    </row>
    <row r="236" spans="1:9">
      <c r="A236" s="5">
        <v>85283</v>
      </c>
      <c r="B236" s="5">
        <v>68</v>
      </c>
      <c r="C236" s="5">
        <v>8</v>
      </c>
      <c r="D236" s="5">
        <v>8</v>
      </c>
      <c r="E236" s="5">
        <v>5</v>
      </c>
      <c r="F236" s="5">
        <v>14</v>
      </c>
      <c r="G236" s="5">
        <v>9</v>
      </c>
      <c r="H236" s="5">
        <v>24</v>
      </c>
      <c r="I236" s="5"/>
    </row>
    <row r="237" spans="1:9">
      <c r="A237" s="5">
        <v>85284</v>
      </c>
      <c r="B237" s="5">
        <v>20</v>
      </c>
      <c r="C237" s="5">
        <v>4</v>
      </c>
      <c r="D237" s="5">
        <v>1</v>
      </c>
      <c r="E237" s="5">
        <v>1</v>
      </c>
      <c r="F237" s="5">
        <v>6</v>
      </c>
      <c r="G237" s="5">
        <v>2</v>
      </c>
      <c r="H237" s="5">
        <v>6</v>
      </c>
      <c r="I237" s="5"/>
    </row>
    <row r="238" spans="1:9">
      <c r="A238" s="5">
        <v>85286</v>
      </c>
      <c r="B238" s="5">
        <v>104</v>
      </c>
      <c r="C238" s="5">
        <v>16</v>
      </c>
      <c r="D238" s="5">
        <v>26</v>
      </c>
      <c r="E238" s="5">
        <v>11</v>
      </c>
      <c r="F238" s="5">
        <v>19</v>
      </c>
      <c r="G238" s="5">
        <v>12</v>
      </c>
      <c r="H238" s="5">
        <v>20</v>
      </c>
      <c r="I238" s="5"/>
    </row>
    <row r="239" spans="1:9">
      <c r="A239" s="5">
        <v>85295</v>
      </c>
      <c r="B239" s="5">
        <v>103</v>
      </c>
      <c r="C239" s="5">
        <v>19</v>
      </c>
      <c r="D239" s="5">
        <v>18</v>
      </c>
      <c r="E239" s="5">
        <v>3</v>
      </c>
      <c r="F239" s="5">
        <v>24</v>
      </c>
      <c r="G239" s="5">
        <v>13</v>
      </c>
      <c r="H239" s="5">
        <v>26</v>
      </c>
      <c r="I239" s="5"/>
    </row>
    <row r="240" spans="1:9">
      <c r="A240" s="5">
        <v>85296</v>
      </c>
      <c r="B240" s="5">
        <v>87</v>
      </c>
      <c r="C240" s="5">
        <v>14</v>
      </c>
      <c r="D240" s="5">
        <v>13</v>
      </c>
      <c r="E240" s="5">
        <v>9</v>
      </c>
      <c r="F240" s="5">
        <v>19</v>
      </c>
      <c r="G240" s="5">
        <v>12</v>
      </c>
      <c r="H240" s="5">
        <v>20</v>
      </c>
      <c r="I240" s="5"/>
    </row>
    <row r="241" spans="1:9">
      <c r="A241" s="5">
        <v>85297</v>
      </c>
      <c r="B241" s="5">
        <v>58</v>
      </c>
      <c r="C241" s="5">
        <v>8</v>
      </c>
      <c r="D241" s="5">
        <v>8</v>
      </c>
      <c r="E241" s="5">
        <v>7</v>
      </c>
      <c r="F241" s="5">
        <v>8</v>
      </c>
      <c r="G241" s="5">
        <v>7</v>
      </c>
      <c r="H241" s="5">
        <v>20</v>
      </c>
      <c r="I241" s="5"/>
    </row>
    <row r="242" spans="1:9">
      <c r="A242" s="5">
        <v>85298</v>
      </c>
      <c r="B242" s="5">
        <v>77</v>
      </c>
      <c r="C242" s="5">
        <v>9</v>
      </c>
      <c r="D242" s="5">
        <v>10</v>
      </c>
      <c r="E242" s="5">
        <v>8</v>
      </c>
      <c r="F242" s="5">
        <v>16</v>
      </c>
      <c r="G242" s="5">
        <v>12</v>
      </c>
      <c r="H242" s="5">
        <v>22</v>
      </c>
      <c r="I242" s="5"/>
    </row>
    <row r="243" spans="1:9">
      <c r="A243" s="5">
        <v>85301</v>
      </c>
      <c r="B243" s="5">
        <v>152</v>
      </c>
      <c r="C243" s="5">
        <v>25</v>
      </c>
      <c r="D243" s="5">
        <v>18</v>
      </c>
      <c r="E243" s="5">
        <v>19</v>
      </c>
      <c r="F243" s="5">
        <v>33</v>
      </c>
      <c r="G243" s="5">
        <v>22</v>
      </c>
      <c r="H243" s="5">
        <v>35</v>
      </c>
      <c r="I243" s="5"/>
    </row>
    <row r="244" spans="1:9">
      <c r="A244" s="5">
        <v>85302</v>
      </c>
      <c r="B244" s="5">
        <v>64</v>
      </c>
      <c r="C244" s="5">
        <v>9</v>
      </c>
      <c r="D244" s="5">
        <v>10</v>
      </c>
      <c r="E244" s="5">
        <v>6</v>
      </c>
      <c r="F244" s="5">
        <v>17</v>
      </c>
      <c r="G244" s="5">
        <v>8</v>
      </c>
      <c r="H244" s="5">
        <v>14</v>
      </c>
      <c r="I244" s="5"/>
    </row>
    <row r="245" spans="1:9">
      <c r="A245" s="5">
        <v>85303</v>
      </c>
      <c r="B245" s="5">
        <v>60</v>
      </c>
      <c r="C245" s="5">
        <v>7</v>
      </c>
      <c r="D245" s="5">
        <v>7</v>
      </c>
      <c r="E245" s="5">
        <v>7</v>
      </c>
      <c r="F245" s="5">
        <v>14</v>
      </c>
      <c r="G245" s="5">
        <v>10</v>
      </c>
      <c r="H245" s="5">
        <v>15</v>
      </c>
      <c r="I245" s="5"/>
    </row>
    <row r="246" spans="1:9">
      <c r="A246" s="5">
        <v>85304</v>
      </c>
      <c r="B246" s="5">
        <v>59</v>
      </c>
      <c r="C246" s="5">
        <v>12</v>
      </c>
      <c r="D246" s="5">
        <v>6</v>
      </c>
      <c r="E246" s="5">
        <v>7</v>
      </c>
      <c r="F246" s="5">
        <v>19</v>
      </c>
      <c r="G246" s="5">
        <v>7</v>
      </c>
      <c r="H246" s="5">
        <v>8</v>
      </c>
      <c r="I246" s="5"/>
    </row>
    <row r="247" spans="1:9">
      <c r="A247" s="5">
        <v>85305</v>
      </c>
      <c r="B247" s="5">
        <v>48</v>
      </c>
      <c r="C247" s="5">
        <v>5</v>
      </c>
      <c r="D247" s="5">
        <v>10</v>
      </c>
      <c r="E247" s="5">
        <v>5</v>
      </c>
      <c r="F247" s="5">
        <v>8</v>
      </c>
      <c r="G247" s="5">
        <v>7</v>
      </c>
      <c r="H247" s="5">
        <v>13</v>
      </c>
      <c r="I247" s="5"/>
    </row>
    <row r="248" spans="1:9">
      <c r="A248" s="5">
        <v>85306</v>
      </c>
      <c r="B248" s="5">
        <v>31</v>
      </c>
      <c r="C248" s="5">
        <v>6</v>
      </c>
      <c r="D248" s="5">
        <v>5</v>
      </c>
      <c r="E248" s="5">
        <v>2</v>
      </c>
      <c r="F248" s="5">
        <v>6</v>
      </c>
      <c r="G248" s="5">
        <v>5</v>
      </c>
      <c r="H248" s="5">
        <v>7</v>
      </c>
      <c r="I248" s="5"/>
    </row>
    <row r="249" spans="1:9">
      <c r="A249" s="5">
        <v>85307</v>
      </c>
      <c r="B249" s="5">
        <v>31</v>
      </c>
      <c r="C249" s="5">
        <v>4</v>
      </c>
      <c r="D249" s="5">
        <v>5</v>
      </c>
      <c r="E249" s="5">
        <v>4</v>
      </c>
      <c r="F249" s="5">
        <v>8</v>
      </c>
      <c r="G249" s="5">
        <v>3</v>
      </c>
      <c r="H249" s="5">
        <v>7</v>
      </c>
      <c r="I249" s="5"/>
    </row>
    <row r="250" spans="1:9">
      <c r="A250" s="5">
        <v>85308</v>
      </c>
      <c r="B250" s="5">
        <v>94</v>
      </c>
      <c r="C250" s="5">
        <v>13</v>
      </c>
      <c r="D250" s="5">
        <v>12</v>
      </c>
      <c r="E250" s="5">
        <v>13</v>
      </c>
      <c r="F250" s="5">
        <v>18</v>
      </c>
      <c r="G250" s="5">
        <v>14</v>
      </c>
      <c r="H250" s="5">
        <v>24</v>
      </c>
      <c r="I250" s="5"/>
    </row>
    <row r="251" spans="1:9">
      <c r="A251" s="5">
        <v>85310</v>
      </c>
      <c r="B251" s="5">
        <v>34</v>
      </c>
      <c r="C251" s="5">
        <v>7</v>
      </c>
      <c r="D251" s="5">
        <v>6</v>
      </c>
      <c r="E251" s="5">
        <v>1</v>
      </c>
      <c r="F251" s="5">
        <v>5</v>
      </c>
      <c r="G251" s="5">
        <v>7</v>
      </c>
      <c r="H251" s="5">
        <v>8</v>
      </c>
      <c r="I251" s="5"/>
    </row>
    <row r="252" spans="1:9">
      <c r="A252" s="5">
        <v>85323</v>
      </c>
      <c r="B252" s="5">
        <v>86</v>
      </c>
      <c r="C252" s="5">
        <v>15</v>
      </c>
      <c r="D252" s="5">
        <v>11</v>
      </c>
      <c r="E252" s="5">
        <v>7</v>
      </c>
      <c r="F252" s="5">
        <v>19</v>
      </c>
      <c r="G252" s="5">
        <v>14</v>
      </c>
      <c r="H252" s="5">
        <v>20</v>
      </c>
      <c r="I252" s="5"/>
    </row>
    <row r="253" spans="1:9">
      <c r="A253" s="5">
        <v>85335</v>
      </c>
      <c r="B253" s="5">
        <v>55</v>
      </c>
      <c r="C253" s="5">
        <v>10</v>
      </c>
      <c r="D253" s="5">
        <v>5</v>
      </c>
      <c r="E253" s="5">
        <v>6</v>
      </c>
      <c r="F253" s="5">
        <v>14</v>
      </c>
      <c r="G253" s="5">
        <v>12</v>
      </c>
      <c r="H253" s="5">
        <v>8</v>
      </c>
      <c r="I253" s="5"/>
    </row>
    <row r="254" spans="1:9">
      <c r="A254" s="5">
        <v>85338</v>
      </c>
      <c r="B254" s="5">
        <v>270</v>
      </c>
      <c r="C254" s="5">
        <v>45</v>
      </c>
      <c r="D254" s="5">
        <v>34</v>
      </c>
      <c r="E254" s="5">
        <v>54</v>
      </c>
      <c r="F254" s="5">
        <v>36</v>
      </c>
      <c r="G254" s="5">
        <v>52</v>
      </c>
      <c r="H254" s="5">
        <v>49</v>
      </c>
      <c r="I254" s="5"/>
    </row>
    <row r="255" spans="1:9">
      <c r="A255" s="5">
        <v>85340</v>
      </c>
      <c r="B255" s="5">
        <v>85</v>
      </c>
      <c r="C255" s="5">
        <v>10</v>
      </c>
      <c r="D255" s="5">
        <v>15</v>
      </c>
      <c r="E255" s="5">
        <v>7</v>
      </c>
      <c r="F255" s="5">
        <v>21</v>
      </c>
      <c r="G255" s="5">
        <v>12</v>
      </c>
      <c r="H255" s="5">
        <v>20</v>
      </c>
      <c r="I255" s="5"/>
    </row>
    <row r="256" spans="1:9">
      <c r="A256" s="5">
        <v>85345</v>
      </c>
      <c r="B256" s="5">
        <v>96</v>
      </c>
      <c r="C256" s="5">
        <v>13</v>
      </c>
      <c r="D256" s="5">
        <v>14</v>
      </c>
      <c r="E256" s="5">
        <v>11</v>
      </c>
      <c r="F256" s="5">
        <v>14</v>
      </c>
      <c r="G256" s="5">
        <v>17</v>
      </c>
      <c r="H256" s="5">
        <v>27</v>
      </c>
      <c r="I256" s="5"/>
    </row>
    <row r="257" spans="1:9">
      <c r="A257" s="5">
        <v>85351</v>
      </c>
      <c r="B257" s="5">
        <v>43</v>
      </c>
      <c r="C257" s="5">
        <v>5</v>
      </c>
      <c r="D257" s="5">
        <v>12</v>
      </c>
      <c r="E257" s="5">
        <v>4</v>
      </c>
      <c r="F257" s="5">
        <v>8</v>
      </c>
      <c r="G257" s="5">
        <v>5</v>
      </c>
      <c r="H257" s="5">
        <v>9</v>
      </c>
      <c r="I257" s="5"/>
    </row>
    <row r="258" spans="1:9">
      <c r="A258" s="5">
        <v>85353</v>
      </c>
      <c r="B258" s="5">
        <v>113</v>
      </c>
      <c r="C258" s="5">
        <v>18</v>
      </c>
      <c r="D258" s="5">
        <v>12</v>
      </c>
      <c r="E258" s="5">
        <v>14</v>
      </c>
      <c r="F258" s="5">
        <v>26</v>
      </c>
      <c r="G258" s="5">
        <v>17</v>
      </c>
      <c r="H258" s="5">
        <v>26</v>
      </c>
      <c r="I258" s="5"/>
    </row>
    <row r="259" spans="1:9">
      <c r="A259" s="5">
        <v>85355</v>
      </c>
      <c r="B259" s="5">
        <v>69</v>
      </c>
      <c r="C259" s="5">
        <v>15</v>
      </c>
      <c r="D259" s="5">
        <v>10</v>
      </c>
      <c r="E259" s="5">
        <v>10</v>
      </c>
      <c r="F259" s="5">
        <v>8</v>
      </c>
      <c r="G259" s="5">
        <v>17</v>
      </c>
      <c r="H259" s="5">
        <v>9</v>
      </c>
      <c r="I259" s="5"/>
    </row>
    <row r="260" spans="1:9">
      <c r="A260" s="5">
        <v>85363</v>
      </c>
      <c r="B260" s="5">
        <v>8</v>
      </c>
      <c r="C260" s="5">
        <v>2</v>
      </c>
      <c r="D260" s="5">
        <v>2</v>
      </c>
      <c r="E260" s="5">
        <v>3</v>
      </c>
      <c r="F260" s="5" t="s">
        <v>177</v>
      </c>
      <c r="G260" s="5" t="s">
        <v>177</v>
      </c>
      <c r="H260" s="5">
        <v>1</v>
      </c>
      <c r="I260" s="5"/>
    </row>
    <row r="261" spans="1:9">
      <c r="A261" s="5">
        <v>85373</v>
      </c>
      <c r="B261" s="5">
        <v>26</v>
      </c>
      <c r="C261" s="5">
        <v>2</v>
      </c>
      <c r="D261" s="5">
        <v>5</v>
      </c>
      <c r="E261" s="5">
        <v>1</v>
      </c>
      <c r="F261" s="5">
        <v>5</v>
      </c>
      <c r="G261" s="5">
        <v>2</v>
      </c>
      <c r="H261" s="5">
        <v>11</v>
      </c>
      <c r="I261" s="5"/>
    </row>
    <row r="262" spans="1:9">
      <c r="A262" s="5">
        <v>85374</v>
      </c>
      <c r="B262" s="5">
        <v>51</v>
      </c>
      <c r="C262" s="5">
        <v>14</v>
      </c>
      <c r="D262" s="5">
        <v>7</v>
      </c>
      <c r="E262" s="5">
        <v>3</v>
      </c>
      <c r="F262" s="5">
        <v>8</v>
      </c>
      <c r="G262" s="5">
        <v>4</v>
      </c>
      <c r="H262" s="5">
        <v>15</v>
      </c>
      <c r="I262" s="5"/>
    </row>
    <row r="263" spans="1:9">
      <c r="A263" s="5">
        <v>85375</v>
      </c>
      <c r="B263" s="5">
        <v>13</v>
      </c>
      <c r="C263" s="5" t="s">
        <v>177</v>
      </c>
      <c r="D263" s="5">
        <v>2</v>
      </c>
      <c r="E263" s="5">
        <v>1</v>
      </c>
      <c r="F263" s="5">
        <v>4</v>
      </c>
      <c r="G263" s="5">
        <v>3</v>
      </c>
      <c r="H263" s="5">
        <v>3</v>
      </c>
      <c r="I263" s="5"/>
    </row>
    <row r="264" spans="1:9">
      <c r="A264" s="5">
        <v>85378</v>
      </c>
      <c r="B264" s="5">
        <v>12</v>
      </c>
      <c r="C264" s="5">
        <v>3</v>
      </c>
      <c r="D264" s="5">
        <v>5</v>
      </c>
      <c r="E264" s="5">
        <v>2</v>
      </c>
      <c r="F264" s="5">
        <v>2</v>
      </c>
      <c r="G264" s="5" t="s">
        <v>177</v>
      </c>
      <c r="H264" s="5" t="s">
        <v>177</v>
      </c>
      <c r="I264" s="5"/>
    </row>
    <row r="265" spans="1:9">
      <c r="A265" s="5">
        <v>85379</v>
      </c>
      <c r="B265" s="5">
        <v>75</v>
      </c>
      <c r="C265" s="5">
        <v>11</v>
      </c>
      <c r="D265" s="5">
        <v>14</v>
      </c>
      <c r="E265" s="5">
        <v>6</v>
      </c>
      <c r="F265" s="5">
        <v>13</v>
      </c>
      <c r="G265" s="5">
        <v>17</v>
      </c>
      <c r="H265" s="5">
        <v>14</v>
      </c>
      <c r="I265" s="5"/>
    </row>
    <row r="266" spans="1:9">
      <c r="A266" s="5">
        <v>85381</v>
      </c>
      <c r="B266" s="5">
        <v>35</v>
      </c>
      <c r="C266" s="5">
        <v>4</v>
      </c>
      <c r="D266" s="5">
        <v>4</v>
      </c>
      <c r="E266" s="5">
        <v>4</v>
      </c>
      <c r="F266" s="5">
        <v>9</v>
      </c>
      <c r="G266" s="5">
        <v>4</v>
      </c>
      <c r="H266" s="5">
        <v>10</v>
      </c>
      <c r="I266" s="5"/>
    </row>
    <row r="267" spans="1:9">
      <c r="A267" s="5">
        <v>85382</v>
      </c>
      <c r="B267" s="5">
        <v>58</v>
      </c>
      <c r="C267" s="5">
        <v>5</v>
      </c>
      <c r="D267" s="5">
        <v>10</v>
      </c>
      <c r="E267" s="5">
        <v>11</v>
      </c>
      <c r="F267" s="5">
        <v>13</v>
      </c>
      <c r="G267" s="5">
        <v>4</v>
      </c>
      <c r="H267" s="5">
        <v>15</v>
      </c>
      <c r="I267" s="5"/>
    </row>
    <row r="268" spans="1:9">
      <c r="A268" s="5">
        <v>85387</v>
      </c>
      <c r="B268" s="5">
        <v>35</v>
      </c>
      <c r="C268" s="5">
        <v>5</v>
      </c>
      <c r="D268" s="5">
        <v>6</v>
      </c>
      <c r="E268" s="5">
        <v>4</v>
      </c>
      <c r="F268" s="5">
        <v>9</v>
      </c>
      <c r="G268" s="5">
        <v>4</v>
      </c>
      <c r="H268" s="5">
        <v>7</v>
      </c>
      <c r="I268" s="5"/>
    </row>
    <row r="269" spans="1:9">
      <c r="A269" s="5">
        <v>85388</v>
      </c>
      <c r="B269" s="5">
        <v>123</v>
      </c>
      <c r="C269" s="5">
        <v>23</v>
      </c>
      <c r="D269" s="5">
        <v>12</v>
      </c>
      <c r="E269" s="5">
        <v>20</v>
      </c>
      <c r="F269" s="5">
        <v>22</v>
      </c>
      <c r="G269" s="5">
        <v>26</v>
      </c>
      <c r="H269" s="5">
        <v>20</v>
      </c>
      <c r="I269" s="5"/>
    </row>
    <row r="270" spans="1:9">
      <c r="A270" s="5">
        <v>85392</v>
      </c>
      <c r="B270" s="5">
        <v>69</v>
      </c>
      <c r="C270" s="5">
        <v>14</v>
      </c>
      <c r="D270" s="5">
        <v>7</v>
      </c>
      <c r="E270" s="5">
        <v>10</v>
      </c>
      <c r="F270" s="5">
        <v>14</v>
      </c>
      <c r="G270" s="5">
        <v>13</v>
      </c>
      <c r="H270" s="5">
        <v>11</v>
      </c>
      <c r="I270" s="5"/>
    </row>
    <row r="271" spans="1:9">
      <c r="A271" s="5">
        <v>85395</v>
      </c>
      <c r="B271" s="5">
        <v>42</v>
      </c>
      <c r="C271" s="5">
        <v>6</v>
      </c>
      <c r="D271" s="5">
        <v>8</v>
      </c>
      <c r="E271" s="5">
        <v>6</v>
      </c>
      <c r="F271" s="5">
        <v>7</v>
      </c>
      <c r="G271" s="5">
        <v>5</v>
      </c>
      <c r="H271" s="5">
        <v>10</v>
      </c>
      <c r="I271" s="5"/>
    </row>
    <row r="272" spans="1:9">
      <c r="A272" s="5">
        <v>89002</v>
      </c>
      <c r="B272" s="5">
        <v>57</v>
      </c>
      <c r="C272" s="5">
        <v>8</v>
      </c>
      <c r="D272" s="5">
        <v>15</v>
      </c>
      <c r="E272" s="5">
        <v>8</v>
      </c>
      <c r="F272" s="5">
        <v>11</v>
      </c>
      <c r="G272" s="5">
        <v>6</v>
      </c>
      <c r="H272" s="5">
        <v>9</v>
      </c>
      <c r="I272" s="5"/>
    </row>
    <row r="273" spans="1:9">
      <c r="A273" s="5">
        <v>89005</v>
      </c>
      <c r="B273" s="5">
        <v>32</v>
      </c>
      <c r="C273" s="5">
        <v>4</v>
      </c>
      <c r="D273" s="5">
        <v>8</v>
      </c>
      <c r="E273" s="5">
        <v>5</v>
      </c>
      <c r="F273" s="5">
        <v>10</v>
      </c>
      <c r="G273" s="5" t="s">
        <v>177</v>
      </c>
      <c r="H273" s="5">
        <v>5</v>
      </c>
      <c r="I273" s="5"/>
    </row>
    <row r="274" spans="1:9">
      <c r="A274" s="5">
        <v>89011</v>
      </c>
      <c r="B274" s="5">
        <v>108</v>
      </c>
      <c r="C274" s="5">
        <v>15</v>
      </c>
      <c r="D274" s="5">
        <v>12</v>
      </c>
      <c r="E274" s="5">
        <v>15</v>
      </c>
      <c r="F274" s="5">
        <v>32</v>
      </c>
      <c r="G274" s="5">
        <v>16</v>
      </c>
      <c r="H274" s="5">
        <v>18</v>
      </c>
      <c r="I274" s="5"/>
    </row>
    <row r="275" spans="1:9">
      <c r="A275" s="5">
        <v>89012</v>
      </c>
      <c r="B275" s="5">
        <v>71</v>
      </c>
      <c r="C275" s="5">
        <v>11</v>
      </c>
      <c r="D275" s="5">
        <v>8</v>
      </c>
      <c r="E275" s="5">
        <v>8</v>
      </c>
      <c r="F275" s="5">
        <v>18</v>
      </c>
      <c r="G275" s="5">
        <v>8</v>
      </c>
      <c r="H275" s="5">
        <v>18</v>
      </c>
      <c r="I275" s="5"/>
    </row>
    <row r="276" spans="1:9">
      <c r="A276" s="5">
        <v>89014</v>
      </c>
      <c r="B276" s="5">
        <v>83</v>
      </c>
      <c r="C276" s="5">
        <v>15</v>
      </c>
      <c r="D276" s="5">
        <v>9</v>
      </c>
      <c r="E276" s="5">
        <v>9</v>
      </c>
      <c r="F276" s="5">
        <v>16</v>
      </c>
      <c r="G276" s="5">
        <v>12</v>
      </c>
      <c r="H276" s="5">
        <v>22</v>
      </c>
      <c r="I276" s="5"/>
    </row>
    <row r="277" spans="1:9">
      <c r="A277" s="5">
        <v>89015</v>
      </c>
      <c r="B277" s="5">
        <v>87</v>
      </c>
      <c r="C277" s="5">
        <v>10</v>
      </c>
      <c r="D277" s="5">
        <v>17</v>
      </c>
      <c r="E277" s="5">
        <v>8</v>
      </c>
      <c r="F277" s="5">
        <v>12</v>
      </c>
      <c r="G277" s="5">
        <v>21</v>
      </c>
      <c r="H277" s="5">
        <v>19</v>
      </c>
      <c r="I277" s="5"/>
    </row>
    <row r="278" spans="1:9">
      <c r="A278" s="5">
        <v>89030</v>
      </c>
      <c r="B278" s="5">
        <v>77</v>
      </c>
      <c r="C278" s="5">
        <v>7</v>
      </c>
      <c r="D278" s="5">
        <v>14</v>
      </c>
      <c r="E278" s="5">
        <v>11</v>
      </c>
      <c r="F278" s="5">
        <v>8</v>
      </c>
      <c r="G278" s="5">
        <v>11</v>
      </c>
      <c r="H278" s="5">
        <v>26</v>
      </c>
      <c r="I278" s="5"/>
    </row>
    <row r="279" spans="1:9">
      <c r="A279" s="5">
        <v>89031</v>
      </c>
      <c r="B279" s="5">
        <v>146</v>
      </c>
      <c r="C279" s="5">
        <v>21</v>
      </c>
      <c r="D279" s="5">
        <v>16</v>
      </c>
      <c r="E279" s="5">
        <v>18</v>
      </c>
      <c r="F279" s="5">
        <v>33</v>
      </c>
      <c r="G279" s="5">
        <v>21</v>
      </c>
      <c r="H279" s="5">
        <v>37</v>
      </c>
      <c r="I279" s="5"/>
    </row>
    <row r="280" spans="1:9">
      <c r="A280" s="5">
        <v>89032</v>
      </c>
      <c r="B280" s="5">
        <v>117</v>
      </c>
      <c r="C280" s="5">
        <v>15</v>
      </c>
      <c r="D280" s="5">
        <v>18</v>
      </c>
      <c r="E280" s="5">
        <v>14</v>
      </c>
      <c r="F280" s="5">
        <v>24</v>
      </c>
      <c r="G280" s="5">
        <v>14</v>
      </c>
      <c r="H280" s="5">
        <v>32</v>
      </c>
      <c r="I280" s="5"/>
    </row>
    <row r="281" spans="1:9">
      <c r="A281" s="5">
        <v>89044</v>
      </c>
      <c r="B281" s="5">
        <v>71</v>
      </c>
      <c r="C281" s="5">
        <v>8</v>
      </c>
      <c r="D281" s="5">
        <v>7</v>
      </c>
      <c r="E281" s="5">
        <v>7</v>
      </c>
      <c r="F281" s="5">
        <v>12</v>
      </c>
      <c r="G281" s="5">
        <v>11</v>
      </c>
      <c r="H281" s="5">
        <v>26</v>
      </c>
      <c r="I281" s="5"/>
    </row>
    <row r="282" spans="1:9">
      <c r="A282" s="5">
        <v>89052</v>
      </c>
      <c r="B282" s="5">
        <v>129</v>
      </c>
      <c r="C282" s="5">
        <v>19</v>
      </c>
      <c r="D282" s="5">
        <v>18</v>
      </c>
      <c r="E282" s="5">
        <v>9</v>
      </c>
      <c r="F282" s="5">
        <v>25</v>
      </c>
      <c r="G282" s="5">
        <v>18</v>
      </c>
      <c r="H282" s="5">
        <v>40</v>
      </c>
      <c r="I282" s="5"/>
    </row>
    <row r="283" spans="1:9">
      <c r="A283" s="5">
        <v>89074</v>
      </c>
      <c r="B283" s="5">
        <v>98</v>
      </c>
      <c r="C283" s="5">
        <v>15</v>
      </c>
      <c r="D283" s="5">
        <v>16</v>
      </c>
      <c r="E283" s="5">
        <v>12</v>
      </c>
      <c r="F283" s="5">
        <v>16</v>
      </c>
      <c r="G283" s="5">
        <v>10</v>
      </c>
      <c r="H283" s="5">
        <v>29</v>
      </c>
      <c r="I283" s="5"/>
    </row>
    <row r="284" spans="1:9">
      <c r="A284" s="5">
        <v>89081</v>
      </c>
      <c r="B284" s="5">
        <v>57</v>
      </c>
      <c r="C284" s="5">
        <v>9</v>
      </c>
      <c r="D284" s="5">
        <v>12</v>
      </c>
      <c r="E284" s="5">
        <v>5</v>
      </c>
      <c r="F284" s="5">
        <v>12</v>
      </c>
      <c r="G284" s="5">
        <v>7</v>
      </c>
      <c r="H284" s="5">
        <v>12</v>
      </c>
      <c r="I284" s="5"/>
    </row>
    <row r="285" spans="1:9">
      <c r="A285" s="5">
        <v>89084</v>
      </c>
      <c r="B285" s="5">
        <v>89</v>
      </c>
      <c r="C285" s="5">
        <v>14</v>
      </c>
      <c r="D285" s="5">
        <v>17</v>
      </c>
      <c r="E285" s="5">
        <v>14</v>
      </c>
      <c r="F285" s="5">
        <v>12</v>
      </c>
      <c r="G285" s="5">
        <v>14</v>
      </c>
      <c r="H285" s="5">
        <v>18</v>
      </c>
      <c r="I285" s="5"/>
    </row>
    <row r="286" spans="1:9">
      <c r="A286" s="5">
        <v>89085</v>
      </c>
      <c r="B286" s="5">
        <v>16</v>
      </c>
      <c r="C286" s="5">
        <v>2</v>
      </c>
      <c r="D286" s="5">
        <v>7</v>
      </c>
      <c r="E286" s="5">
        <v>2</v>
      </c>
      <c r="F286" s="5">
        <v>1</v>
      </c>
      <c r="G286" s="5" t="s">
        <v>177</v>
      </c>
      <c r="H286" s="5">
        <v>4</v>
      </c>
      <c r="I286" s="5"/>
    </row>
    <row r="287" spans="1:9">
      <c r="A287" s="5">
        <v>89086</v>
      </c>
      <c r="B287" s="5">
        <v>26</v>
      </c>
      <c r="C287" s="5">
        <v>4</v>
      </c>
      <c r="D287" s="5">
        <v>3</v>
      </c>
      <c r="E287" s="5">
        <v>1</v>
      </c>
      <c r="F287" s="5">
        <v>6</v>
      </c>
      <c r="G287" s="5">
        <v>3</v>
      </c>
      <c r="H287" s="5">
        <v>9</v>
      </c>
      <c r="I287" s="5"/>
    </row>
    <row r="288" spans="1:9">
      <c r="A288" s="5">
        <v>89101</v>
      </c>
      <c r="B288" s="5">
        <v>79</v>
      </c>
      <c r="C288" s="5">
        <v>14</v>
      </c>
      <c r="D288" s="5">
        <v>9</v>
      </c>
      <c r="E288" s="5">
        <v>5</v>
      </c>
      <c r="F288" s="5">
        <v>15</v>
      </c>
      <c r="G288" s="5">
        <v>11</v>
      </c>
      <c r="H288" s="5">
        <v>25</v>
      </c>
      <c r="I288" s="5"/>
    </row>
    <row r="289" spans="1:9">
      <c r="A289" s="5">
        <v>89102</v>
      </c>
      <c r="B289" s="5">
        <v>71</v>
      </c>
      <c r="C289" s="5">
        <v>5</v>
      </c>
      <c r="D289" s="5">
        <v>14</v>
      </c>
      <c r="E289" s="5">
        <v>9</v>
      </c>
      <c r="F289" s="5">
        <v>18</v>
      </c>
      <c r="G289" s="5">
        <v>6</v>
      </c>
      <c r="H289" s="5">
        <v>19</v>
      </c>
      <c r="I289" s="5"/>
    </row>
    <row r="290" spans="1:9">
      <c r="A290" s="5">
        <v>89103</v>
      </c>
      <c r="B290" s="5">
        <v>99</v>
      </c>
      <c r="C290" s="5">
        <v>8</v>
      </c>
      <c r="D290" s="5">
        <v>11</v>
      </c>
      <c r="E290" s="5">
        <v>8</v>
      </c>
      <c r="F290" s="5">
        <v>24</v>
      </c>
      <c r="G290" s="5">
        <v>14</v>
      </c>
      <c r="H290" s="5">
        <v>34</v>
      </c>
      <c r="I290" s="5"/>
    </row>
    <row r="291" spans="1:9">
      <c r="A291" s="5">
        <v>89104</v>
      </c>
      <c r="B291" s="5">
        <v>79</v>
      </c>
      <c r="C291" s="5">
        <v>15</v>
      </c>
      <c r="D291" s="5">
        <v>12</v>
      </c>
      <c r="E291" s="5">
        <v>13</v>
      </c>
      <c r="F291" s="5">
        <v>15</v>
      </c>
      <c r="G291" s="5">
        <v>8</v>
      </c>
      <c r="H291" s="5">
        <v>16</v>
      </c>
      <c r="I291" s="5"/>
    </row>
    <row r="292" spans="1:9">
      <c r="A292" s="5">
        <v>89106</v>
      </c>
      <c r="B292" s="5">
        <v>62</v>
      </c>
      <c r="C292" s="5">
        <v>8</v>
      </c>
      <c r="D292" s="5">
        <v>9</v>
      </c>
      <c r="E292" s="5">
        <v>6</v>
      </c>
      <c r="F292" s="5">
        <v>8</v>
      </c>
      <c r="G292" s="5">
        <v>8</v>
      </c>
      <c r="H292" s="5">
        <v>23</v>
      </c>
      <c r="I292" s="5"/>
    </row>
    <row r="293" spans="1:9">
      <c r="A293" s="5">
        <v>89107</v>
      </c>
      <c r="B293" s="5">
        <v>66</v>
      </c>
      <c r="C293" s="5">
        <v>10</v>
      </c>
      <c r="D293" s="5">
        <v>14</v>
      </c>
      <c r="E293" s="5">
        <v>8</v>
      </c>
      <c r="F293" s="5">
        <v>10</v>
      </c>
      <c r="G293" s="5">
        <v>9</v>
      </c>
      <c r="H293" s="5">
        <v>15</v>
      </c>
      <c r="I293" s="5"/>
    </row>
    <row r="294" spans="1:9">
      <c r="A294" s="5">
        <v>89108</v>
      </c>
      <c r="B294" s="5">
        <v>122</v>
      </c>
      <c r="C294" s="5">
        <v>22</v>
      </c>
      <c r="D294" s="5">
        <v>19</v>
      </c>
      <c r="E294" s="5">
        <v>12</v>
      </c>
      <c r="F294" s="5">
        <v>14</v>
      </c>
      <c r="G294" s="5">
        <v>22</v>
      </c>
      <c r="H294" s="5">
        <v>33</v>
      </c>
      <c r="I294" s="5"/>
    </row>
    <row r="295" spans="1:9">
      <c r="A295" s="5">
        <v>89110</v>
      </c>
      <c r="B295" s="5">
        <v>156</v>
      </c>
      <c r="C295" s="5">
        <v>18</v>
      </c>
      <c r="D295" s="5">
        <v>34</v>
      </c>
      <c r="E295" s="5">
        <v>16</v>
      </c>
      <c r="F295" s="5">
        <v>32</v>
      </c>
      <c r="G295" s="5">
        <v>25</v>
      </c>
      <c r="H295" s="5">
        <v>31</v>
      </c>
      <c r="I295" s="5"/>
    </row>
    <row r="296" spans="1:9">
      <c r="A296" s="5">
        <v>89113</v>
      </c>
      <c r="B296" s="5">
        <v>117</v>
      </c>
      <c r="C296" s="5">
        <v>16</v>
      </c>
      <c r="D296" s="5">
        <v>10</v>
      </c>
      <c r="E296" s="5">
        <v>16</v>
      </c>
      <c r="F296" s="5">
        <v>22</v>
      </c>
      <c r="G296" s="5">
        <v>14</v>
      </c>
      <c r="H296" s="5">
        <v>39</v>
      </c>
      <c r="I296" s="5"/>
    </row>
    <row r="297" spans="1:9">
      <c r="A297" s="5">
        <v>89115</v>
      </c>
      <c r="B297" s="5">
        <v>123</v>
      </c>
      <c r="C297" s="5">
        <v>14</v>
      </c>
      <c r="D297" s="5">
        <v>19</v>
      </c>
      <c r="E297" s="5">
        <v>15</v>
      </c>
      <c r="F297" s="5">
        <v>25</v>
      </c>
      <c r="G297" s="5">
        <v>9</v>
      </c>
      <c r="H297" s="5">
        <v>41</v>
      </c>
      <c r="I297" s="5"/>
    </row>
    <row r="298" spans="1:9">
      <c r="A298" s="5">
        <v>89117</v>
      </c>
      <c r="B298" s="5">
        <v>114</v>
      </c>
      <c r="C298" s="5">
        <v>9</v>
      </c>
      <c r="D298" s="5">
        <v>18</v>
      </c>
      <c r="E298" s="5">
        <v>18</v>
      </c>
      <c r="F298" s="5">
        <v>27</v>
      </c>
      <c r="G298" s="5">
        <v>13</v>
      </c>
      <c r="H298" s="5">
        <v>29</v>
      </c>
      <c r="I298" s="5"/>
    </row>
    <row r="299" spans="1:9">
      <c r="A299" s="5">
        <v>89118</v>
      </c>
      <c r="B299" s="5">
        <v>45</v>
      </c>
      <c r="C299" s="5">
        <v>6</v>
      </c>
      <c r="D299" s="5">
        <v>8</v>
      </c>
      <c r="E299" s="5">
        <v>2</v>
      </c>
      <c r="F299" s="5">
        <v>9</v>
      </c>
      <c r="G299" s="5">
        <v>7</v>
      </c>
      <c r="H299" s="5">
        <v>13</v>
      </c>
      <c r="I299" s="5"/>
    </row>
    <row r="300" spans="1:9">
      <c r="A300" s="5">
        <v>89119</v>
      </c>
      <c r="B300" s="5">
        <v>180</v>
      </c>
      <c r="C300" s="5">
        <v>32</v>
      </c>
      <c r="D300" s="5">
        <v>36</v>
      </c>
      <c r="E300" s="5">
        <v>20</v>
      </c>
      <c r="F300" s="5">
        <v>25</v>
      </c>
      <c r="G300" s="5">
        <v>24</v>
      </c>
      <c r="H300" s="5">
        <v>43</v>
      </c>
      <c r="I300" s="5"/>
    </row>
    <row r="301" spans="1:9">
      <c r="A301" s="5">
        <v>89120</v>
      </c>
      <c r="B301" s="5">
        <v>50</v>
      </c>
      <c r="C301" s="5">
        <v>4</v>
      </c>
      <c r="D301" s="5">
        <v>5</v>
      </c>
      <c r="E301" s="5">
        <v>8</v>
      </c>
      <c r="F301" s="5">
        <v>9</v>
      </c>
      <c r="G301" s="5">
        <v>10</v>
      </c>
      <c r="H301" s="5">
        <v>14</v>
      </c>
      <c r="I301" s="5"/>
    </row>
    <row r="302" spans="1:9">
      <c r="A302" s="5">
        <v>89121</v>
      </c>
      <c r="B302" s="5">
        <v>157</v>
      </c>
      <c r="C302" s="5">
        <v>15</v>
      </c>
      <c r="D302" s="5">
        <v>27</v>
      </c>
      <c r="E302" s="5">
        <v>17</v>
      </c>
      <c r="F302" s="5">
        <v>36</v>
      </c>
      <c r="G302" s="5">
        <v>27</v>
      </c>
      <c r="H302" s="5">
        <v>35</v>
      </c>
      <c r="I302" s="5"/>
    </row>
    <row r="303" spans="1:9">
      <c r="A303" s="5">
        <v>89122</v>
      </c>
      <c r="B303" s="5">
        <v>133</v>
      </c>
      <c r="C303" s="5">
        <v>20</v>
      </c>
      <c r="D303" s="5">
        <v>21</v>
      </c>
      <c r="E303" s="5">
        <v>17</v>
      </c>
      <c r="F303" s="5">
        <v>24</v>
      </c>
      <c r="G303" s="5">
        <v>19</v>
      </c>
      <c r="H303" s="5">
        <v>32</v>
      </c>
      <c r="I303" s="5"/>
    </row>
    <row r="304" spans="1:9">
      <c r="A304" s="5">
        <v>89123</v>
      </c>
      <c r="B304" s="5">
        <v>97</v>
      </c>
      <c r="C304" s="5">
        <v>21</v>
      </c>
      <c r="D304" s="5">
        <v>9</v>
      </c>
      <c r="E304" s="5">
        <v>8</v>
      </c>
      <c r="F304" s="5">
        <v>17</v>
      </c>
      <c r="G304" s="5">
        <v>13</v>
      </c>
      <c r="H304" s="5">
        <v>29</v>
      </c>
      <c r="I304" s="5"/>
    </row>
    <row r="305" spans="1:9">
      <c r="A305" s="5">
        <v>89128</v>
      </c>
      <c r="B305" s="5">
        <v>88</v>
      </c>
      <c r="C305" s="5">
        <v>10</v>
      </c>
      <c r="D305" s="5">
        <v>9</v>
      </c>
      <c r="E305" s="5">
        <v>26</v>
      </c>
      <c r="F305" s="5">
        <v>15</v>
      </c>
      <c r="G305" s="5">
        <v>7</v>
      </c>
      <c r="H305" s="5">
        <v>21</v>
      </c>
      <c r="I305" s="5"/>
    </row>
    <row r="306" spans="1:9">
      <c r="A306" s="5">
        <v>89129</v>
      </c>
      <c r="B306" s="5">
        <v>110</v>
      </c>
      <c r="C306" s="5">
        <v>19</v>
      </c>
      <c r="D306" s="5">
        <v>8</v>
      </c>
      <c r="E306" s="5">
        <v>10</v>
      </c>
      <c r="F306" s="5">
        <v>24</v>
      </c>
      <c r="G306" s="5">
        <v>15</v>
      </c>
      <c r="H306" s="5">
        <v>34</v>
      </c>
      <c r="I306" s="5"/>
    </row>
    <row r="307" spans="1:9">
      <c r="A307" s="5">
        <v>89130</v>
      </c>
      <c r="B307" s="5">
        <v>62</v>
      </c>
      <c r="C307" s="5">
        <v>4</v>
      </c>
      <c r="D307" s="5">
        <v>14</v>
      </c>
      <c r="E307" s="5">
        <v>9</v>
      </c>
      <c r="F307" s="5">
        <v>14</v>
      </c>
      <c r="G307" s="5">
        <v>8</v>
      </c>
      <c r="H307" s="5">
        <v>13</v>
      </c>
      <c r="I307" s="5"/>
    </row>
    <row r="308" spans="1:9">
      <c r="A308" s="5">
        <v>89131</v>
      </c>
      <c r="B308" s="5">
        <v>100</v>
      </c>
      <c r="C308" s="5">
        <v>11</v>
      </c>
      <c r="D308" s="5">
        <v>12</v>
      </c>
      <c r="E308" s="5">
        <v>8</v>
      </c>
      <c r="F308" s="5">
        <v>29</v>
      </c>
      <c r="G308" s="5">
        <v>8</v>
      </c>
      <c r="H308" s="5">
        <v>32</v>
      </c>
      <c r="I308" s="5"/>
    </row>
    <row r="309" spans="1:9">
      <c r="A309" s="5">
        <v>89134</v>
      </c>
      <c r="B309" s="5">
        <v>43</v>
      </c>
      <c r="C309" s="5">
        <v>4</v>
      </c>
      <c r="D309" s="5">
        <v>6</v>
      </c>
      <c r="E309" s="5">
        <v>4</v>
      </c>
      <c r="F309" s="5">
        <v>13</v>
      </c>
      <c r="G309" s="5">
        <v>7</v>
      </c>
      <c r="H309" s="5">
        <v>9</v>
      </c>
      <c r="I309" s="5"/>
    </row>
    <row r="310" spans="1:9">
      <c r="A310" s="5">
        <v>89135</v>
      </c>
      <c r="B310" s="5">
        <v>80</v>
      </c>
      <c r="C310" s="5">
        <v>9</v>
      </c>
      <c r="D310" s="5">
        <v>13</v>
      </c>
      <c r="E310" s="5">
        <v>11</v>
      </c>
      <c r="F310" s="5">
        <v>19</v>
      </c>
      <c r="G310" s="5">
        <v>4</v>
      </c>
      <c r="H310" s="5">
        <v>24</v>
      </c>
      <c r="I310" s="5"/>
    </row>
    <row r="311" spans="1:9">
      <c r="A311" s="5">
        <v>89138</v>
      </c>
      <c r="B311" s="5">
        <v>58</v>
      </c>
      <c r="C311" s="5">
        <v>12</v>
      </c>
      <c r="D311" s="5">
        <v>6</v>
      </c>
      <c r="E311" s="5">
        <v>5</v>
      </c>
      <c r="F311" s="5">
        <v>8</v>
      </c>
      <c r="G311" s="5">
        <v>9</v>
      </c>
      <c r="H311" s="5">
        <v>18</v>
      </c>
      <c r="I311" s="5"/>
    </row>
    <row r="312" spans="1:9">
      <c r="A312" s="5">
        <v>89139</v>
      </c>
      <c r="B312" s="5">
        <v>152</v>
      </c>
      <c r="C312" s="5">
        <v>32</v>
      </c>
      <c r="D312" s="5">
        <v>16</v>
      </c>
      <c r="E312" s="5">
        <v>11</v>
      </c>
      <c r="F312" s="5">
        <v>24</v>
      </c>
      <c r="G312" s="5">
        <v>31</v>
      </c>
      <c r="H312" s="5">
        <v>38</v>
      </c>
      <c r="I312" s="5"/>
    </row>
    <row r="313" spans="1:9">
      <c r="A313" s="5">
        <v>89141</v>
      </c>
      <c r="B313" s="5">
        <v>102</v>
      </c>
      <c r="C313" s="5">
        <v>18</v>
      </c>
      <c r="D313" s="5">
        <v>15</v>
      </c>
      <c r="E313" s="5">
        <v>13</v>
      </c>
      <c r="F313" s="5">
        <v>21</v>
      </c>
      <c r="G313" s="5">
        <v>10</v>
      </c>
      <c r="H313" s="5">
        <v>25</v>
      </c>
      <c r="I313" s="5"/>
    </row>
    <row r="314" spans="1:9">
      <c r="A314" s="5">
        <v>89142</v>
      </c>
      <c r="B314" s="5">
        <v>65</v>
      </c>
      <c r="C314" s="5">
        <v>12</v>
      </c>
      <c r="D314" s="5">
        <v>12</v>
      </c>
      <c r="E314" s="5">
        <v>6</v>
      </c>
      <c r="F314" s="5">
        <v>8</v>
      </c>
      <c r="G314" s="5">
        <v>7</v>
      </c>
      <c r="H314" s="5">
        <v>20</v>
      </c>
      <c r="I314" s="5"/>
    </row>
    <row r="315" spans="1:9">
      <c r="A315" s="5">
        <v>89143</v>
      </c>
      <c r="B315" s="5">
        <v>29</v>
      </c>
      <c r="C315" s="5">
        <v>5</v>
      </c>
      <c r="D315" s="5">
        <v>5</v>
      </c>
      <c r="E315" s="5">
        <v>4</v>
      </c>
      <c r="F315" s="5">
        <v>8</v>
      </c>
      <c r="G315" s="5">
        <v>4</v>
      </c>
      <c r="H315" s="5">
        <v>3</v>
      </c>
      <c r="I315" s="5"/>
    </row>
    <row r="316" spans="1:9">
      <c r="A316" s="5">
        <v>89144</v>
      </c>
      <c r="B316" s="5">
        <v>39</v>
      </c>
      <c r="C316" s="5">
        <v>6</v>
      </c>
      <c r="D316" s="5">
        <v>7</v>
      </c>
      <c r="E316" s="5">
        <v>4</v>
      </c>
      <c r="F316" s="5">
        <v>12</v>
      </c>
      <c r="G316" s="5">
        <v>4</v>
      </c>
      <c r="H316" s="5">
        <v>6</v>
      </c>
      <c r="I316" s="5"/>
    </row>
    <row r="317" spans="1:9">
      <c r="A317" s="5">
        <v>89145</v>
      </c>
      <c r="B317" s="5">
        <v>46</v>
      </c>
      <c r="C317" s="5">
        <v>5</v>
      </c>
      <c r="D317" s="5">
        <v>12</v>
      </c>
      <c r="E317" s="5">
        <v>7</v>
      </c>
      <c r="F317" s="5">
        <v>8</v>
      </c>
      <c r="G317" s="5">
        <v>4</v>
      </c>
      <c r="H317" s="5">
        <v>10</v>
      </c>
      <c r="I317" s="5"/>
    </row>
    <row r="318" spans="1:9">
      <c r="A318" s="5">
        <v>89146</v>
      </c>
      <c r="B318" s="5">
        <v>45</v>
      </c>
      <c r="C318" s="5">
        <v>4</v>
      </c>
      <c r="D318" s="5">
        <v>3</v>
      </c>
      <c r="E318" s="5">
        <v>4</v>
      </c>
      <c r="F318" s="5">
        <v>6</v>
      </c>
      <c r="G318" s="5">
        <v>6</v>
      </c>
      <c r="H318" s="5">
        <v>22</v>
      </c>
      <c r="I318" s="5"/>
    </row>
    <row r="319" spans="1:9">
      <c r="A319" s="5">
        <v>89147</v>
      </c>
      <c r="B319" s="5">
        <v>116</v>
      </c>
      <c r="C319" s="5">
        <v>18</v>
      </c>
      <c r="D319" s="5">
        <v>14</v>
      </c>
      <c r="E319" s="5">
        <v>13</v>
      </c>
      <c r="F319" s="5">
        <v>28</v>
      </c>
      <c r="G319" s="5">
        <v>12</v>
      </c>
      <c r="H319" s="5">
        <v>31</v>
      </c>
      <c r="I319" s="5"/>
    </row>
    <row r="320" spans="1:9">
      <c r="A320" s="5">
        <v>89148</v>
      </c>
      <c r="B320" s="5">
        <v>190</v>
      </c>
      <c r="C320" s="5">
        <v>22</v>
      </c>
      <c r="D320" s="5">
        <v>28</v>
      </c>
      <c r="E320" s="5">
        <v>23</v>
      </c>
      <c r="F320" s="5">
        <v>37</v>
      </c>
      <c r="G320" s="5">
        <v>28</v>
      </c>
      <c r="H320" s="5">
        <v>52</v>
      </c>
      <c r="I320" s="5"/>
    </row>
    <row r="321" spans="1:9">
      <c r="A321" s="5">
        <v>89149</v>
      </c>
      <c r="B321" s="5">
        <v>79</v>
      </c>
      <c r="C321" s="5">
        <v>12</v>
      </c>
      <c r="D321" s="5">
        <v>12</v>
      </c>
      <c r="E321" s="5">
        <v>12</v>
      </c>
      <c r="F321" s="5">
        <v>14</v>
      </c>
      <c r="G321" s="5">
        <v>11</v>
      </c>
      <c r="H321" s="5">
        <v>18</v>
      </c>
      <c r="I321" s="5"/>
    </row>
    <row r="322" spans="1:9">
      <c r="A322" s="5">
        <v>89156</v>
      </c>
      <c r="B322" s="5">
        <v>58</v>
      </c>
      <c r="C322" s="5">
        <v>6</v>
      </c>
      <c r="D322" s="5">
        <v>9</v>
      </c>
      <c r="E322" s="5">
        <v>9</v>
      </c>
      <c r="F322" s="5">
        <v>14</v>
      </c>
      <c r="G322" s="5">
        <v>7</v>
      </c>
      <c r="H322" s="5">
        <v>13</v>
      </c>
      <c r="I322" s="5"/>
    </row>
    <row r="323" spans="1:9">
      <c r="A323" s="5">
        <v>89158</v>
      </c>
      <c r="B323" s="5">
        <v>5</v>
      </c>
      <c r="C323" s="5">
        <v>3</v>
      </c>
      <c r="D323" s="5">
        <v>2</v>
      </c>
      <c r="E323" s="5" t="s">
        <v>177</v>
      </c>
      <c r="F323" s="5" t="s">
        <v>177</v>
      </c>
      <c r="G323" s="5" t="s">
        <v>177</v>
      </c>
      <c r="H323" s="5" t="s">
        <v>177</v>
      </c>
      <c r="I323" s="5"/>
    </row>
    <row r="324" spans="1:9">
      <c r="A324" s="5">
        <v>89166</v>
      </c>
      <c r="B324" s="5">
        <v>92</v>
      </c>
      <c r="C324" s="5">
        <v>19</v>
      </c>
      <c r="D324" s="5">
        <v>10</v>
      </c>
      <c r="E324" s="5">
        <v>7</v>
      </c>
      <c r="F324" s="5">
        <v>17</v>
      </c>
      <c r="G324" s="5">
        <v>9</v>
      </c>
      <c r="H324" s="5">
        <v>30</v>
      </c>
      <c r="I324" s="5"/>
    </row>
    <row r="325" spans="1:9">
      <c r="A325" s="5">
        <v>89169</v>
      </c>
      <c r="B325" s="5">
        <v>86</v>
      </c>
      <c r="C325" s="5">
        <v>16</v>
      </c>
      <c r="D325" s="5">
        <v>15</v>
      </c>
      <c r="E325" s="5">
        <v>15</v>
      </c>
      <c r="F325" s="5">
        <v>3</v>
      </c>
      <c r="G325" s="5">
        <v>8</v>
      </c>
      <c r="H325" s="5">
        <v>29</v>
      </c>
      <c r="I325" s="5"/>
    </row>
    <row r="326" spans="1:9">
      <c r="A326" s="5">
        <v>89178</v>
      </c>
      <c r="B326" s="5">
        <v>117</v>
      </c>
      <c r="C326" s="5">
        <v>17</v>
      </c>
      <c r="D326" s="5">
        <v>21</v>
      </c>
      <c r="E326" s="5">
        <v>19</v>
      </c>
      <c r="F326" s="5">
        <v>22</v>
      </c>
      <c r="G326" s="5">
        <v>13</v>
      </c>
      <c r="H326" s="5">
        <v>25</v>
      </c>
      <c r="I326" s="5"/>
    </row>
    <row r="327" spans="1:9">
      <c r="A327" s="5">
        <v>89179</v>
      </c>
      <c r="B327" s="5">
        <v>18</v>
      </c>
      <c r="C327" s="5">
        <v>3</v>
      </c>
      <c r="D327" s="5">
        <v>3</v>
      </c>
      <c r="E327" s="5">
        <v>2</v>
      </c>
      <c r="F327" s="5">
        <v>3</v>
      </c>
      <c r="G327" s="5">
        <v>1</v>
      </c>
      <c r="H327" s="5">
        <v>6</v>
      </c>
      <c r="I327" s="5"/>
    </row>
    <row r="328" spans="1:9">
      <c r="A328" s="5">
        <v>89183</v>
      </c>
      <c r="B328" s="5">
        <v>84</v>
      </c>
      <c r="C328" s="5">
        <v>13</v>
      </c>
      <c r="D328" s="5">
        <v>12</v>
      </c>
      <c r="E328" s="5">
        <v>6</v>
      </c>
      <c r="F328" s="5">
        <v>13</v>
      </c>
      <c r="G328" s="5">
        <v>13</v>
      </c>
      <c r="H328" s="5">
        <v>27</v>
      </c>
      <c r="I328" s="5"/>
    </row>
    <row r="329" spans="1:9">
      <c r="A329" s="5">
        <v>89191</v>
      </c>
      <c r="B329" s="5">
        <v>3</v>
      </c>
      <c r="C329" s="5" t="s">
        <v>177</v>
      </c>
      <c r="D329" s="5" t="s">
        <v>177</v>
      </c>
      <c r="E329" s="5" t="s">
        <v>177</v>
      </c>
      <c r="F329" s="5" t="s">
        <v>177</v>
      </c>
      <c r="G329" s="5" t="s">
        <v>177</v>
      </c>
      <c r="H329" s="5">
        <v>3</v>
      </c>
      <c r="I329" s="5"/>
    </row>
    <row r="330" spans="1:9">
      <c r="A330" s="5">
        <v>90001</v>
      </c>
      <c r="B330" s="5">
        <v>2</v>
      </c>
      <c r="C330" s="5">
        <v>1</v>
      </c>
      <c r="D330" s="5">
        <v>1</v>
      </c>
      <c r="E330" s="5" t="s">
        <v>177</v>
      </c>
      <c r="F330" s="5" t="s">
        <v>177</v>
      </c>
      <c r="G330" s="5" t="s">
        <v>177</v>
      </c>
      <c r="H330" s="5" t="s">
        <v>177</v>
      </c>
      <c r="I330" s="5"/>
    </row>
    <row r="331" spans="1:9">
      <c r="A331" s="5">
        <v>90002</v>
      </c>
      <c r="B331" s="5">
        <v>1</v>
      </c>
      <c r="C331" s="5" t="s">
        <v>177</v>
      </c>
      <c r="D331" s="5" t="s">
        <v>177</v>
      </c>
      <c r="E331" s="5" t="s">
        <v>177</v>
      </c>
      <c r="F331" s="5" t="s">
        <v>177</v>
      </c>
      <c r="G331" s="5" t="s">
        <v>177</v>
      </c>
      <c r="H331" s="5">
        <v>1</v>
      </c>
      <c r="I331" s="5"/>
    </row>
    <row r="332" spans="1:9">
      <c r="A332" s="5">
        <v>90003</v>
      </c>
      <c r="B332" s="5">
        <v>2</v>
      </c>
      <c r="C332" s="5">
        <v>1</v>
      </c>
      <c r="D332" s="5" t="s">
        <v>177</v>
      </c>
      <c r="E332" s="5" t="s">
        <v>177</v>
      </c>
      <c r="F332" s="5" t="s">
        <v>177</v>
      </c>
      <c r="G332" s="5">
        <v>1</v>
      </c>
      <c r="H332" s="5" t="s">
        <v>177</v>
      </c>
      <c r="I332" s="5"/>
    </row>
    <row r="333" spans="1:9">
      <c r="A333" s="5">
        <v>90004</v>
      </c>
      <c r="B333" s="5">
        <v>6</v>
      </c>
      <c r="C333" s="5">
        <v>1</v>
      </c>
      <c r="D333" s="5">
        <v>3</v>
      </c>
      <c r="E333" s="5" t="s">
        <v>177</v>
      </c>
      <c r="F333" s="5">
        <v>2</v>
      </c>
      <c r="G333" s="5" t="s">
        <v>177</v>
      </c>
      <c r="H333" s="5" t="s">
        <v>177</v>
      </c>
      <c r="I333" s="5"/>
    </row>
    <row r="334" spans="1:9">
      <c r="A334" s="5">
        <v>90005</v>
      </c>
      <c r="B334" s="5">
        <v>2</v>
      </c>
      <c r="C334" s="5">
        <v>1</v>
      </c>
      <c r="D334" s="5" t="s">
        <v>177</v>
      </c>
      <c r="E334" s="5" t="s">
        <v>177</v>
      </c>
      <c r="F334" s="5" t="s">
        <v>177</v>
      </c>
      <c r="G334" s="5">
        <v>1</v>
      </c>
      <c r="H334" s="5" t="s">
        <v>177</v>
      </c>
      <c r="I334" s="5"/>
    </row>
    <row r="335" spans="1:9">
      <c r="A335" s="5">
        <v>90006</v>
      </c>
      <c r="B335" s="5">
        <v>3</v>
      </c>
      <c r="C335" s="5">
        <v>1</v>
      </c>
      <c r="D335" s="5">
        <v>1</v>
      </c>
      <c r="E335" s="5" t="s">
        <v>177</v>
      </c>
      <c r="F335" s="5" t="s">
        <v>177</v>
      </c>
      <c r="G335" s="5" t="s">
        <v>177</v>
      </c>
      <c r="H335" s="5">
        <v>1</v>
      </c>
      <c r="I335" s="5"/>
    </row>
    <row r="336" spans="1:9">
      <c r="A336" s="5">
        <v>90007</v>
      </c>
      <c r="B336" s="5">
        <v>3</v>
      </c>
      <c r="C336" s="5">
        <v>1</v>
      </c>
      <c r="D336" s="5">
        <v>1</v>
      </c>
      <c r="E336" s="5" t="s">
        <v>177</v>
      </c>
      <c r="F336" s="5" t="s">
        <v>177</v>
      </c>
      <c r="G336" s="5" t="s">
        <v>177</v>
      </c>
      <c r="H336" s="5">
        <v>1</v>
      </c>
      <c r="I336" s="5"/>
    </row>
    <row r="337" spans="1:9">
      <c r="A337" s="5">
        <v>90008</v>
      </c>
      <c r="B337" s="5">
        <v>1</v>
      </c>
      <c r="C337" s="5">
        <v>1</v>
      </c>
      <c r="D337" s="5" t="s">
        <v>177</v>
      </c>
      <c r="E337" s="5" t="s">
        <v>177</v>
      </c>
      <c r="F337" s="5" t="s">
        <v>177</v>
      </c>
      <c r="G337" s="5" t="s">
        <v>177</v>
      </c>
      <c r="H337" s="5" t="s">
        <v>177</v>
      </c>
      <c r="I337" s="5"/>
    </row>
    <row r="338" spans="1:9">
      <c r="A338" s="5">
        <v>90010</v>
      </c>
      <c r="B338" s="5">
        <v>3</v>
      </c>
      <c r="C338" s="5" t="s">
        <v>177</v>
      </c>
      <c r="D338" s="5" t="s">
        <v>177</v>
      </c>
      <c r="E338" s="5">
        <v>1</v>
      </c>
      <c r="F338" s="5" t="s">
        <v>177</v>
      </c>
      <c r="G338" s="5" t="s">
        <v>177</v>
      </c>
      <c r="H338" s="5">
        <v>2</v>
      </c>
      <c r="I338" s="5"/>
    </row>
    <row r="339" spans="1:9">
      <c r="A339" s="5">
        <v>90011</v>
      </c>
      <c r="B339" s="5">
        <v>3</v>
      </c>
      <c r="C339" s="5">
        <v>1</v>
      </c>
      <c r="D339" s="5">
        <v>1</v>
      </c>
      <c r="E339" s="5" t="s">
        <v>177</v>
      </c>
      <c r="F339" s="5">
        <v>1</v>
      </c>
      <c r="G339" s="5" t="s">
        <v>177</v>
      </c>
      <c r="H339" s="5" t="s">
        <v>177</v>
      </c>
      <c r="I339" s="5"/>
    </row>
    <row r="340" spans="1:9">
      <c r="A340" s="5">
        <v>90012</v>
      </c>
      <c r="B340" s="5">
        <v>2</v>
      </c>
      <c r="C340" s="5" t="s">
        <v>177</v>
      </c>
      <c r="D340" s="5" t="s">
        <v>177</v>
      </c>
      <c r="E340" s="5">
        <v>1</v>
      </c>
      <c r="F340" s="5">
        <v>1</v>
      </c>
      <c r="G340" s="5" t="s">
        <v>177</v>
      </c>
      <c r="H340" s="5" t="s">
        <v>177</v>
      </c>
      <c r="I340" s="5"/>
    </row>
    <row r="341" spans="1:9">
      <c r="A341" s="5">
        <v>90013</v>
      </c>
      <c r="B341" s="5">
        <v>2</v>
      </c>
      <c r="C341" s="5" t="s">
        <v>177</v>
      </c>
      <c r="D341" s="5" t="s">
        <v>177</v>
      </c>
      <c r="E341" s="5" t="s">
        <v>177</v>
      </c>
      <c r="F341" s="5" t="s">
        <v>177</v>
      </c>
      <c r="G341" s="5">
        <v>1</v>
      </c>
      <c r="H341" s="5">
        <v>1</v>
      </c>
      <c r="I341" s="5"/>
    </row>
    <row r="342" spans="1:9">
      <c r="A342" s="5">
        <v>90014</v>
      </c>
      <c r="B342" s="5">
        <v>1</v>
      </c>
      <c r="C342" s="5" t="s">
        <v>177</v>
      </c>
      <c r="D342" s="5" t="s">
        <v>177</v>
      </c>
      <c r="E342" s="5" t="s">
        <v>177</v>
      </c>
      <c r="F342" s="5" t="s">
        <v>177</v>
      </c>
      <c r="G342" s="5" t="s">
        <v>177</v>
      </c>
      <c r="H342" s="5">
        <v>1</v>
      </c>
      <c r="I342" s="5"/>
    </row>
    <row r="343" spans="1:9">
      <c r="A343" s="5">
        <v>90015</v>
      </c>
      <c r="B343" s="5">
        <v>2</v>
      </c>
      <c r="C343" s="5" t="s">
        <v>177</v>
      </c>
      <c r="D343" s="5">
        <v>2</v>
      </c>
      <c r="E343" s="5" t="s">
        <v>177</v>
      </c>
      <c r="F343" s="5" t="s">
        <v>177</v>
      </c>
      <c r="G343" s="5" t="s">
        <v>177</v>
      </c>
      <c r="H343" s="5" t="s">
        <v>177</v>
      </c>
      <c r="I343" s="5"/>
    </row>
    <row r="344" spans="1:9">
      <c r="A344" s="5">
        <v>90016</v>
      </c>
      <c r="B344" s="5">
        <v>5</v>
      </c>
      <c r="C344" s="5">
        <v>1</v>
      </c>
      <c r="D344" s="5">
        <v>1</v>
      </c>
      <c r="E344" s="5">
        <v>2</v>
      </c>
      <c r="F344" s="5" t="s">
        <v>177</v>
      </c>
      <c r="G344" s="5" t="s">
        <v>177</v>
      </c>
      <c r="H344" s="5">
        <v>1</v>
      </c>
      <c r="I344" s="5"/>
    </row>
    <row r="345" spans="1:9">
      <c r="A345" s="5">
        <v>90017</v>
      </c>
      <c r="B345" s="5">
        <v>1</v>
      </c>
      <c r="C345" s="5" t="s">
        <v>177</v>
      </c>
      <c r="D345" s="5" t="s">
        <v>177</v>
      </c>
      <c r="E345" s="5" t="s">
        <v>177</v>
      </c>
      <c r="F345" s="5" t="s">
        <v>177</v>
      </c>
      <c r="G345" s="5" t="s">
        <v>177</v>
      </c>
      <c r="H345" s="5">
        <v>1</v>
      </c>
      <c r="I345" s="5"/>
    </row>
    <row r="346" spans="1:9">
      <c r="A346" s="5">
        <v>90018</v>
      </c>
      <c r="B346" s="5">
        <v>3</v>
      </c>
      <c r="C346" s="5" t="s">
        <v>177</v>
      </c>
      <c r="D346" s="5" t="s">
        <v>177</v>
      </c>
      <c r="E346" s="5">
        <v>1</v>
      </c>
      <c r="F346" s="5">
        <v>1</v>
      </c>
      <c r="G346" s="5" t="s">
        <v>177</v>
      </c>
      <c r="H346" s="5">
        <v>1</v>
      </c>
      <c r="I346" s="5"/>
    </row>
    <row r="347" spans="1:9">
      <c r="A347" s="5">
        <v>90020</v>
      </c>
      <c r="B347" s="5">
        <v>2</v>
      </c>
      <c r="C347" s="5">
        <v>1</v>
      </c>
      <c r="D347" s="5" t="s">
        <v>177</v>
      </c>
      <c r="E347" s="5" t="s">
        <v>177</v>
      </c>
      <c r="F347" s="5" t="s">
        <v>177</v>
      </c>
      <c r="G347" s="5" t="s">
        <v>177</v>
      </c>
      <c r="H347" s="5">
        <v>1</v>
      </c>
      <c r="I347" s="5"/>
    </row>
    <row r="348" spans="1:9">
      <c r="A348" s="5">
        <v>90022</v>
      </c>
      <c r="B348" s="5">
        <v>6</v>
      </c>
      <c r="C348" s="5">
        <v>1</v>
      </c>
      <c r="D348" s="5" t="s">
        <v>177</v>
      </c>
      <c r="E348" s="5">
        <v>3</v>
      </c>
      <c r="F348" s="5">
        <v>1</v>
      </c>
      <c r="G348" s="5" t="s">
        <v>177</v>
      </c>
      <c r="H348" s="5">
        <v>1</v>
      </c>
      <c r="I348" s="5"/>
    </row>
    <row r="349" spans="1:9">
      <c r="A349" s="5">
        <v>90023</v>
      </c>
      <c r="B349" s="5">
        <v>3</v>
      </c>
      <c r="C349" s="5" t="s">
        <v>177</v>
      </c>
      <c r="D349" s="5" t="s">
        <v>177</v>
      </c>
      <c r="E349" s="5">
        <v>1</v>
      </c>
      <c r="F349" s="5" t="s">
        <v>177</v>
      </c>
      <c r="G349" s="5">
        <v>2</v>
      </c>
      <c r="H349" s="5" t="s">
        <v>177</v>
      </c>
      <c r="I349" s="5"/>
    </row>
    <row r="350" spans="1:9">
      <c r="A350" s="5">
        <v>90024</v>
      </c>
      <c r="B350" s="5">
        <v>1</v>
      </c>
      <c r="C350" s="5" t="s">
        <v>177</v>
      </c>
      <c r="D350" s="5" t="s">
        <v>177</v>
      </c>
      <c r="E350" s="5" t="s">
        <v>177</v>
      </c>
      <c r="F350" s="5" t="s">
        <v>177</v>
      </c>
      <c r="G350" s="5" t="s">
        <v>177</v>
      </c>
      <c r="H350" s="5">
        <v>1</v>
      </c>
      <c r="I350" s="5"/>
    </row>
    <row r="351" spans="1:9">
      <c r="A351" s="5">
        <v>90026</v>
      </c>
      <c r="B351" s="5">
        <v>7</v>
      </c>
      <c r="C351" s="5">
        <v>2</v>
      </c>
      <c r="D351" s="5" t="s">
        <v>177</v>
      </c>
      <c r="E351" s="5">
        <v>1</v>
      </c>
      <c r="F351" s="5">
        <v>1</v>
      </c>
      <c r="G351" s="5">
        <v>1</v>
      </c>
      <c r="H351" s="5">
        <v>2</v>
      </c>
      <c r="I351" s="5"/>
    </row>
    <row r="352" spans="1:9">
      <c r="A352" s="5">
        <v>90027</v>
      </c>
      <c r="B352" s="5">
        <v>4</v>
      </c>
      <c r="C352" s="5">
        <v>2</v>
      </c>
      <c r="D352" s="5">
        <v>1</v>
      </c>
      <c r="E352" s="5" t="s">
        <v>177</v>
      </c>
      <c r="F352" s="5">
        <v>1</v>
      </c>
      <c r="G352" s="5" t="s">
        <v>177</v>
      </c>
      <c r="H352" s="5" t="s">
        <v>177</v>
      </c>
      <c r="I352" s="5"/>
    </row>
    <row r="353" spans="1:9">
      <c r="A353" s="5">
        <v>90029</v>
      </c>
      <c r="B353" s="5">
        <v>2</v>
      </c>
      <c r="C353" s="5">
        <v>1</v>
      </c>
      <c r="D353" s="5">
        <v>1</v>
      </c>
      <c r="E353" s="5" t="s">
        <v>177</v>
      </c>
      <c r="F353" s="5" t="s">
        <v>177</v>
      </c>
      <c r="G353" s="5" t="s">
        <v>177</v>
      </c>
      <c r="H353" s="5" t="s">
        <v>177</v>
      </c>
      <c r="I353" s="5"/>
    </row>
    <row r="354" spans="1:9">
      <c r="A354" s="5">
        <v>90031</v>
      </c>
      <c r="B354" s="5">
        <v>33</v>
      </c>
      <c r="C354" s="5">
        <v>2</v>
      </c>
      <c r="D354" s="5">
        <v>1</v>
      </c>
      <c r="E354" s="5">
        <v>10</v>
      </c>
      <c r="F354" s="5">
        <v>5</v>
      </c>
      <c r="G354" s="5">
        <v>11</v>
      </c>
      <c r="H354" s="5">
        <v>4</v>
      </c>
      <c r="I354" s="5"/>
    </row>
    <row r="355" spans="1:9">
      <c r="A355" s="5">
        <v>90032</v>
      </c>
      <c r="B355" s="5">
        <v>2</v>
      </c>
      <c r="C355" s="5" t="s">
        <v>177</v>
      </c>
      <c r="D355" s="5">
        <v>1</v>
      </c>
      <c r="E355" s="5" t="s">
        <v>177</v>
      </c>
      <c r="F355" s="5">
        <v>1</v>
      </c>
      <c r="G355" s="5" t="s">
        <v>177</v>
      </c>
      <c r="H355" s="5" t="s">
        <v>177</v>
      </c>
      <c r="I355" s="5"/>
    </row>
    <row r="356" spans="1:9">
      <c r="A356" s="5">
        <v>90033</v>
      </c>
      <c r="B356" s="5">
        <v>58</v>
      </c>
      <c r="C356" s="5">
        <v>11</v>
      </c>
      <c r="D356" s="5">
        <v>5</v>
      </c>
      <c r="E356" s="5">
        <v>19</v>
      </c>
      <c r="F356" s="5">
        <v>7</v>
      </c>
      <c r="G356" s="5">
        <v>11</v>
      </c>
      <c r="H356" s="5">
        <v>5</v>
      </c>
      <c r="I356" s="5"/>
    </row>
    <row r="357" spans="1:9">
      <c r="A357" s="5">
        <v>90034</v>
      </c>
      <c r="B357" s="5">
        <v>1</v>
      </c>
      <c r="C357" s="5">
        <v>1</v>
      </c>
      <c r="D357" s="5" t="s">
        <v>177</v>
      </c>
      <c r="E357" s="5" t="s">
        <v>177</v>
      </c>
      <c r="F357" s="5" t="s">
        <v>177</v>
      </c>
      <c r="G357" s="5" t="s">
        <v>177</v>
      </c>
      <c r="H357" s="5" t="s">
        <v>177</v>
      </c>
      <c r="I357" s="5"/>
    </row>
    <row r="358" spans="1:9">
      <c r="A358" s="5">
        <v>90035</v>
      </c>
      <c r="B358" s="5">
        <v>2</v>
      </c>
      <c r="C358" s="5">
        <v>1</v>
      </c>
      <c r="D358" s="5">
        <v>1</v>
      </c>
      <c r="E358" s="5" t="s">
        <v>177</v>
      </c>
      <c r="F358" s="5" t="s">
        <v>177</v>
      </c>
      <c r="G358" s="5" t="s">
        <v>177</v>
      </c>
      <c r="H358" s="5" t="s">
        <v>177</v>
      </c>
      <c r="I358" s="5"/>
    </row>
    <row r="359" spans="1:9">
      <c r="A359" s="5">
        <v>90036</v>
      </c>
      <c r="B359" s="5">
        <v>7</v>
      </c>
      <c r="C359" s="5">
        <v>2</v>
      </c>
      <c r="D359" s="5" t="s">
        <v>177</v>
      </c>
      <c r="E359" s="5" t="s">
        <v>177</v>
      </c>
      <c r="F359" s="5">
        <v>1</v>
      </c>
      <c r="G359" s="5">
        <v>3</v>
      </c>
      <c r="H359" s="5">
        <v>1</v>
      </c>
      <c r="I359" s="5"/>
    </row>
    <row r="360" spans="1:9">
      <c r="A360" s="5">
        <v>90037</v>
      </c>
      <c r="B360" s="5">
        <v>2</v>
      </c>
      <c r="C360" s="5">
        <v>1</v>
      </c>
      <c r="D360" s="5" t="s">
        <v>177</v>
      </c>
      <c r="E360" s="5" t="s">
        <v>177</v>
      </c>
      <c r="F360" s="5">
        <v>1</v>
      </c>
      <c r="G360" s="5" t="s">
        <v>177</v>
      </c>
      <c r="H360" s="5" t="s">
        <v>177</v>
      </c>
      <c r="I360" s="5"/>
    </row>
    <row r="361" spans="1:9">
      <c r="A361" s="5">
        <v>90038</v>
      </c>
      <c r="B361" s="5">
        <v>2</v>
      </c>
      <c r="C361" s="5">
        <v>1</v>
      </c>
      <c r="D361" s="5" t="s">
        <v>177</v>
      </c>
      <c r="E361" s="5" t="s">
        <v>177</v>
      </c>
      <c r="F361" s="5" t="s">
        <v>177</v>
      </c>
      <c r="G361" s="5" t="s">
        <v>177</v>
      </c>
      <c r="H361" s="5">
        <v>1</v>
      </c>
      <c r="I361" s="5"/>
    </row>
    <row r="362" spans="1:9">
      <c r="A362" s="5">
        <v>90039</v>
      </c>
      <c r="B362" s="5">
        <v>2</v>
      </c>
      <c r="C362" s="5">
        <v>2</v>
      </c>
      <c r="D362" s="5" t="s">
        <v>177</v>
      </c>
      <c r="E362" s="5" t="s">
        <v>177</v>
      </c>
      <c r="F362" s="5" t="s">
        <v>177</v>
      </c>
      <c r="G362" s="5" t="s">
        <v>177</v>
      </c>
      <c r="H362" s="5" t="s">
        <v>177</v>
      </c>
      <c r="I362" s="5"/>
    </row>
    <row r="363" spans="1:9">
      <c r="A363" s="5">
        <v>90040</v>
      </c>
      <c r="B363" s="5">
        <v>29</v>
      </c>
      <c r="C363" s="5">
        <v>1</v>
      </c>
      <c r="D363" s="5">
        <v>5</v>
      </c>
      <c r="E363" s="5">
        <v>3</v>
      </c>
      <c r="F363" s="5">
        <v>14</v>
      </c>
      <c r="G363" s="5">
        <v>4</v>
      </c>
      <c r="H363" s="5">
        <v>2</v>
      </c>
      <c r="I363" s="5"/>
    </row>
    <row r="364" spans="1:9">
      <c r="A364" s="5">
        <v>90041</v>
      </c>
      <c r="B364" s="5">
        <v>1</v>
      </c>
      <c r="C364" s="5" t="s">
        <v>177</v>
      </c>
      <c r="D364" s="5" t="s">
        <v>177</v>
      </c>
      <c r="E364" s="5" t="s">
        <v>177</v>
      </c>
      <c r="F364" s="5" t="s">
        <v>177</v>
      </c>
      <c r="G364" s="5">
        <v>1</v>
      </c>
      <c r="H364" s="5" t="s">
        <v>177</v>
      </c>
      <c r="I364" s="5"/>
    </row>
    <row r="365" spans="1:9">
      <c r="A365" s="5">
        <v>90042</v>
      </c>
      <c r="B365" s="5">
        <v>4</v>
      </c>
      <c r="C365" s="5" t="s">
        <v>177</v>
      </c>
      <c r="D365" s="5">
        <v>2</v>
      </c>
      <c r="E365" s="5" t="s">
        <v>177</v>
      </c>
      <c r="F365" s="5">
        <v>1</v>
      </c>
      <c r="G365" s="5" t="s">
        <v>177</v>
      </c>
      <c r="H365" s="5">
        <v>1</v>
      </c>
      <c r="I365" s="5"/>
    </row>
    <row r="366" spans="1:9">
      <c r="A366" s="5">
        <v>90043</v>
      </c>
      <c r="B366" s="5">
        <v>1</v>
      </c>
      <c r="C366" s="5" t="s">
        <v>177</v>
      </c>
      <c r="D366" s="5" t="s">
        <v>177</v>
      </c>
      <c r="E366" s="5" t="s">
        <v>177</v>
      </c>
      <c r="F366" s="5">
        <v>1</v>
      </c>
      <c r="G366" s="5" t="s">
        <v>177</v>
      </c>
      <c r="H366" s="5" t="s">
        <v>177</v>
      </c>
      <c r="I366" s="5"/>
    </row>
    <row r="367" spans="1:9">
      <c r="A367" s="5">
        <v>90044</v>
      </c>
      <c r="B367" s="5">
        <v>3</v>
      </c>
      <c r="C367" s="5" t="s">
        <v>177</v>
      </c>
      <c r="D367" s="5">
        <v>1</v>
      </c>
      <c r="E367" s="5">
        <v>1</v>
      </c>
      <c r="F367" s="5" t="s">
        <v>177</v>
      </c>
      <c r="G367" s="5">
        <v>1</v>
      </c>
      <c r="H367" s="5" t="s">
        <v>177</v>
      </c>
      <c r="I367" s="5"/>
    </row>
    <row r="368" spans="1:9">
      <c r="A368" s="5">
        <v>90045</v>
      </c>
      <c r="B368" s="5">
        <v>3</v>
      </c>
      <c r="C368" s="5" t="s">
        <v>177</v>
      </c>
      <c r="D368" s="5" t="s">
        <v>177</v>
      </c>
      <c r="E368" s="5">
        <v>2</v>
      </c>
      <c r="F368" s="5" t="s">
        <v>177</v>
      </c>
      <c r="G368" s="5">
        <v>1</v>
      </c>
      <c r="H368" s="5" t="s">
        <v>177</v>
      </c>
      <c r="I368" s="5"/>
    </row>
    <row r="369" spans="1:9">
      <c r="A369" s="5">
        <v>90046</v>
      </c>
      <c r="B369" s="5">
        <v>3</v>
      </c>
      <c r="C369" s="5">
        <v>2</v>
      </c>
      <c r="D369" s="5" t="s">
        <v>177</v>
      </c>
      <c r="E369" s="5" t="s">
        <v>177</v>
      </c>
      <c r="F369" s="5">
        <v>1</v>
      </c>
      <c r="G369" s="5" t="s">
        <v>177</v>
      </c>
      <c r="H369" s="5" t="s">
        <v>177</v>
      </c>
      <c r="I369" s="5"/>
    </row>
    <row r="370" spans="1:9">
      <c r="A370" s="5">
        <v>90047</v>
      </c>
      <c r="B370" s="5">
        <v>3</v>
      </c>
      <c r="C370" s="5">
        <v>2</v>
      </c>
      <c r="D370" s="5" t="s">
        <v>177</v>
      </c>
      <c r="E370" s="5" t="s">
        <v>177</v>
      </c>
      <c r="F370" s="5" t="s">
        <v>177</v>
      </c>
      <c r="G370" s="5" t="s">
        <v>177</v>
      </c>
      <c r="H370" s="5">
        <v>1</v>
      </c>
      <c r="I370" s="5"/>
    </row>
    <row r="371" spans="1:9">
      <c r="A371" s="5">
        <v>90048</v>
      </c>
      <c r="B371" s="5">
        <v>3</v>
      </c>
      <c r="C371" s="5">
        <v>1</v>
      </c>
      <c r="D371" s="5" t="s">
        <v>177</v>
      </c>
      <c r="E371" s="5">
        <v>1</v>
      </c>
      <c r="F371" s="5" t="s">
        <v>177</v>
      </c>
      <c r="G371" s="5" t="s">
        <v>177</v>
      </c>
      <c r="H371" s="5">
        <v>1</v>
      </c>
      <c r="I371" s="5"/>
    </row>
    <row r="372" spans="1:9">
      <c r="A372" s="5">
        <v>90049</v>
      </c>
      <c r="B372" s="5">
        <v>83</v>
      </c>
      <c r="C372" s="5">
        <v>9</v>
      </c>
      <c r="D372" s="5">
        <v>13</v>
      </c>
      <c r="E372" s="5">
        <v>10</v>
      </c>
      <c r="F372" s="5">
        <v>22</v>
      </c>
      <c r="G372" s="5">
        <v>14</v>
      </c>
      <c r="H372" s="5">
        <v>15</v>
      </c>
      <c r="I372" s="5"/>
    </row>
    <row r="373" spans="1:9">
      <c r="A373" s="5">
        <v>90056</v>
      </c>
      <c r="B373" s="5">
        <v>7</v>
      </c>
      <c r="C373" s="5" t="s">
        <v>177</v>
      </c>
      <c r="D373" s="5" t="s">
        <v>177</v>
      </c>
      <c r="E373" s="5">
        <v>4</v>
      </c>
      <c r="F373" s="5">
        <v>2</v>
      </c>
      <c r="G373" s="5">
        <v>1</v>
      </c>
      <c r="H373" s="5" t="s">
        <v>177</v>
      </c>
      <c r="I373" s="5"/>
    </row>
    <row r="374" spans="1:9">
      <c r="A374" s="5">
        <v>90057</v>
      </c>
      <c r="B374" s="5">
        <v>14</v>
      </c>
      <c r="C374" s="5">
        <v>1</v>
      </c>
      <c r="D374" s="5">
        <v>1</v>
      </c>
      <c r="E374" s="5">
        <v>5</v>
      </c>
      <c r="F374" s="5">
        <v>4</v>
      </c>
      <c r="G374" s="5">
        <v>1</v>
      </c>
      <c r="H374" s="5">
        <v>2</v>
      </c>
      <c r="I374" s="5"/>
    </row>
    <row r="375" spans="1:9">
      <c r="A375" s="5">
        <v>90059</v>
      </c>
      <c r="B375" s="5">
        <v>1</v>
      </c>
      <c r="C375" s="5" t="s">
        <v>177</v>
      </c>
      <c r="D375" s="5" t="s">
        <v>177</v>
      </c>
      <c r="E375" s="5">
        <v>1</v>
      </c>
      <c r="F375" s="5" t="s">
        <v>177</v>
      </c>
      <c r="G375" s="5" t="s">
        <v>177</v>
      </c>
      <c r="H375" s="5" t="s">
        <v>177</v>
      </c>
      <c r="I375" s="5"/>
    </row>
    <row r="376" spans="1:9">
      <c r="A376" s="5">
        <v>90061</v>
      </c>
      <c r="B376" s="5">
        <v>1</v>
      </c>
      <c r="C376" s="5" t="s">
        <v>177</v>
      </c>
      <c r="D376" s="5">
        <v>1</v>
      </c>
      <c r="E376" s="5" t="s">
        <v>177</v>
      </c>
      <c r="F376" s="5" t="s">
        <v>177</v>
      </c>
      <c r="G376" s="5" t="s">
        <v>177</v>
      </c>
      <c r="H376" s="5" t="s">
        <v>177</v>
      </c>
      <c r="I376" s="5"/>
    </row>
    <row r="377" spans="1:9">
      <c r="A377" s="5">
        <v>90062</v>
      </c>
      <c r="B377" s="5">
        <v>2</v>
      </c>
      <c r="C377" s="5" t="s">
        <v>177</v>
      </c>
      <c r="D377" s="5" t="s">
        <v>177</v>
      </c>
      <c r="E377" s="5" t="s">
        <v>177</v>
      </c>
      <c r="F377" s="5">
        <v>1</v>
      </c>
      <c r="G377" s="5" t="s">
        <v>177</v>
      </c>
      <c r="H377" s="5">
        <v>1</v>
      </c>
      <c r="I377" s="5"/>
    </row>
    <row r="378" spans="1:9">
      <c r="A378" s="5">
        <v>90063</v>
      </c>
      <c r="B378" s="5">
        <v>8</v>
      </c>
      <c r="C378" s="5">
        <v>2</v>
      </c>
      <c r="D378" s="5">
        <v>2</v>
      </c>
      <c r="E378" s="5">
        <v>1</v>
      </c>
      <c r="F378" s="5">
        <v>2</v>
      </c>
      <c r="G378" s="5">
        <v>1</v>
      </c>
      <c r="H378" s="5" t="s">
        <v>177</v>
      </c>
      <c r="I378" s="5"/>
    </row>
    <row r="379" spans="1:9">
      <c r="A379" s="5">
        <v>90064</v>
      </c>
      <c r="B379" s="5">
        <v>3</v>
      </c>
      <c r="C379" s="5">
        <v>2</v>
      </c>
      <c r="D379" s="5">
        <v>1</v>
      </c>
      <c r="E379" s="5" t="s">
        <v>177</v>
      </c>
      <c r="F379" s="5" t="s">
        <v>177</v>
      </c>
      <c r="G379" s="5" t="s">
        <v>177</v>
      </c>
      <c r="H379" s="5" t="s">
        <v>177</v>
      </c>
      <c r="I379" s="5"/>
    </row>
    <row r="380" spans="1:9">
      <c r="A380" s="5">
        <v>90065</v>
      </c>
      <c r="B380" s="5">
        <v>2</v>
      </c>
      <c r="C380" s="5">
        <v>1</v>
      </c>
      <c r="D380" s="5" t="s">
        <v>177</v>
      </c>
      <c r="E380" s="5" t="s">
        <v>177</v>
      </c>
      <c r="F380" s="5" t="s">
        <v>177</v>
      </c>
      <c r="G380" s="5">
        <v>1</v>
      </c>
      <c r="H380" s="5" t="s">
        <v>177</v>
      </c>
      <c r="I380" s="5"/>
    </row>
    <row r="381" spans="1:9">
      <c r="A381" s="5">
        <v>90066</v>
      </c>
      <c r="B381" s="5">
        <v>2</v>
      </c>
      <c r="C381" s="5">
        <v>1</v>
      </c>
      <c r="D381" s="5" t="s">
        <v>177</v>
      </c>
      <c r="E381" s="5" t="s">
        <v>177</v>
      </c>
      <c r="F381" s="5" t="s">
        <v>177</v>
      </c>
      <c r="G381" s="5" t="s">
        <v>177</v>
      </c>
      <c r="H381" s="5">
        <v>1</v>
      </c>
      <c r="I381" s="5"/>
    </row>
    <row r="382" spans="1:9">
      <c r="A382" s="5">
        <v>90068</v>
      </c>
      <c r="B382" s="5">
        <v>2</v>
      </c>
      <c r="C382" s="5" t="s">
        <v>177</v>
      </c>
      <c r="D382" s="5" t="s">
        <v>177</v>
      </c>
      <c r="E382" s="5" t="s">
        <v>177</v>
      </c>
      <c r="F382" s="5">
        <v>1</v>
      </c>
      <c r="G382" s="5">
        <v>1</v>
      </c>
      <c r="H382" s="5" t="s">
        <v>177</v>
      </c>
      <c r="I382" s="5"/>
    </row>
    <row r="383" spans="1:9">
      <c r="A383" s="5">
        <v>90069</v>
      </c>
      <c r="B383" s="5">
        <v>5</v>
      </c>
      <c r="C383" s="5">
        <v>2</v>
      </c>
      <c r="D383" s="5">
        <v>1</v>
      </c>
      <c r="E383" s="5">
        <v>2</v>
      </c>
      <c r="F383" s="5" t="s">
        <v>177</v>
      </c>
      <c r="G383" s="5" t="s">
        <v>177</v>
      </c>
      <c r="H383" s="5" t="s">
        <v>177</v>
      </c>
      <c r="I383" s="5"/>
    </row>
    <row r="384" spans="1:9">
      <c r="A384" s="5">
        <v>90077</v>
      </c>
      <c r="B384" s="5">
        <v>31</v>
      </c>
      <c r="C384" s="5">
        <v>5</v>
      </c>
      <c r="D384" s="5">
        <v>2</v>
      </c>
      <c r="E384" s="5">
        <v>6</v>
      </c>
      <c r="F384" s="5">
        <v>4</v>
      </c>
      <c r="G384" s="5">
        <v>8</v>
      </c>
      <c r="H384" s="5">
        <v>6</v>
      </c>
      <c r="I384" s="5"/>
    </row>
    <row r="385" spans="1:9">
      <c r="A385" s="5">
        <v>90089</v>
      </c>
      <c r="B385" s="5">
        <v>1</v>
      </c>
      <c r="C385" s="5" t="s">
        <v>177</v>
      </c>
      <c r="D385" s="5" t="s">
        <v>177</v>
      </c>
      <c r="E385" s="5" t="s">
        <v>177</v>
      </c>
      <c r="F385" s="5" t="s">
        <v>177</v>
      </c>
      <c r="G385" s="5" t="s">
        <v>177</v>
      </c>
      <c r="H385" s="5">
        <v>1</v>
      </c>
      <c r="I385" s="5"/>
    </row>
    <row r="386" spans="1:9">
      <c r="A386" s="5">
        <v>90094</v>
      </c>
      <c r="B386" s="5">
        <v>1</v>
      </c>
      <c r="C386" s="5" t="s">
        <v>177</v>
      </c>
      <c r="D386" s="5" t="s">
        <v>177</v>
      </c>
      <c r="E386" s="5" t="s">
        <v>177</v>
      </c>
      <c r="F386" s="5">
        <v>1</v>
      </c>
      <c r="G386" s="5" t="s">
        <v>177</v>
      </c>
      <c r="H386" s="5" t="s">
        <v>177</v>
      </c>
      <c r="I386" s="5"/>
    </row>
    <row r="387" spans="1:9">
      <c r="A387" s="5">
        <v>90201</v>
      </c>
      <c r="B387" s="5">
        <v>4</v>
      </c>
      <c r="C387" s="5" t="s">
        <v>177</v>
      </c>
      <c r="D387" s="5" t="s">
        <v>177</v>
      </c>
      <c r="E387" s="5">
        <v>3</v>
      </c>
      <c r="F387" s="5" t="s">
        <v>177</v>
      </c>
      <c r="G387" s="5" t="s">
        <v>177</v>
      </c>
      <c r="H387" s="5">
        <v>1</v>
      </c>
      <c r="I387" s="5"/>
    </row>
    <row r="388" spans="1:9">
      <c r="A388" s="5">
        <v>90210</v>
      </c>
      <c r="B388" s="5">
        <v>67</v>
      </c>
      <c r="C388" s="5">
        <v>10</v>
      </c>
      <c r="D388" s="5">
        <v>6</v>
      </c>
      <c r="E388" s="5">
        <v>10</v>
      </c>
      <c r="F388" s="5">
        <v>10</v>
      </c>
      <c r="G388" s="5">
        <v>13</v>
      </c>
      <c r="H388" s="5">
        <v>18</v>
      </c>
      <c r="I388" s="5"/>
    </row>
    <row r="389" spans="1:9">
      <c r="A389" s="5">
        <v>90211</v>
      </c>
      <c r="B389" s="5">
        <v>3</v>
      </c>
      <c r="C389" s="5">
        <v>1</v>
      </c>
      <c r="D389" s="5">
        <v>1</v>
      </c>
      <c r="E389" s="5" t="s">
        <v>177</v>
      </c>
      <c r="F389" s="5" t="s">
        <v>177</v>
      </c>
      <c r="G389" s="5">
        <v>1</v>
      </c>
      <c r="H389" s="5" t="s">
        <v>177</v>
      </c>
      <c r="I389" s="5"/>
    </row>
    <row r="390" spans="1:9">
      <c r="A390" s="5">
        <v>90212</v>
      </c>
      <c r="B390" s="5">
        <v>9</v>
      </c>
      <c r="C390" s="5" t="s">
        <v>177</v>
      </c>
      <c r="D390" s="5">
        <v>1</v>
      </c>
      <c r="E390" s="5">
        <v>3</v>
      </c>
      <c r="F390" s="5">
        <v>1</v>
      </c>
      <c r="G390" s="5">
        <v>2</v>
      </c>
      <c r="H390" s="5">
        <v>2</v>
      </c>
      <c r="I390" s="5"/>
    </row>
    <row r="391" spans="1:9">
      <c r="A391" s="5">
        <v>90220</v>
      </c>
      <c r="B391" s="5">
        <v>9</v>
      </c>
      <c r="C391" s="5">
        <v>3</v>
      </c>
      <c r="D391" s="5">
        <v>1</v>
      </c>
      <c r="E391" s="5">
        <v>3</v>
      </c>
      <c r="F391" s="5">
        <v>1</v>
      </c>
      <c r="G391" s="5" t="s">
        <v>177</v>
      </c>
      <c r="H391" s="5">
        <v>1</v>
      </c>
      <c r="I391" s="5"/>
    </row>
    <row r="392" spans="1:9">
      <c r="A392" s="5">
        <v>90221</v>
      </c>
      <c r="B392" s="5">
        <v>8</v>
      </c>
      <c r="C392" s="5" t="s">
        <v>177</v>
      </c>
      <c r="D392" s="5">
        <v>3</v>
      </c>
      <c r="E392" s="5">
        <v>4</v>
      </c>
      <c r="F392" s="5">
        <v>1</v>
      </c>
      <c r="G392" s="5" t="s">
        <v>177</v>
      </c>
      <c r="H392" s="5" t="s">
        <v>177</v>
      </c>
      <c r="I392" s="5"/>
    </row>
    <row r="393" spans="1:9">
      <c r="A393" s="5">
        <v>90222</v>
      </c>
      <c r="B393" s="5">
        <v>2</v>
      </c>
      <c r="C393" s="5" t="s">
        <v>177</v>
      </c>
      <c r="D393" s="5">
        <v>1</v>
      </c>
      <c r="E393" s="5">
        <v>1</v>
      </c>
      <c r="F393" s="5" t="s">
        <v>177</v>
      </c>
      <c r="G393" s="5" t="s">
        <v>177</v>
      </c>
      <c r="H393" s="5" t="s">
        <v>177</v>
      </c>
      <c r="I393" s="5"/>
    </row>
    <row r="394" spans="1:9">
      <c r="A394" s="5">
        <v>90230</v>
      </c>
      <c r="B394" s="5">
        <v>3</v>
      </c>
      <c r="C394" s="5">
        <v>3</v>
      </c>
      <c r="D394" s="5" t="s">
        <v>177</v>
      </c>
      <c r="E394" s="5" t="s">
        <v>177</v>
      </c>
      <c r="F394" s="5" t="s">
        <v>177</v>
      </c>
      <c r="G394" s="5" t="s">
        <v>177</v>
      </c>
      <c r="H394" s="5" t="s">
        <v>177</v>
      </c>
      <c r="I394" s="5"/>
    </row>
    <row r="395" spans="1:9">
      <c r="A395" s="5">
        <v>90232</v>
      </c>
      <c r="B395" s="5">
        <v>1</v>
      </c>
      <c r="C395" s="5" t="s">
        <v>177</v>
      </c>
      <c r="D395" s="5">
        <v>1</v>
      </c>
      <c r="E395" s="5" t="s">
        <v>177</v>
      </c>
      <c r="F395" s="5" t="s">
        <v>177</v>
      </c>
      <c r="G395" s="5" t="s">
        <v>177</v>
      </c>
      <c r="H395" s="5" t="s">
        <v>177</v>
      </c>
      <c r="I395" s="5"/>
    </row>
    <row r="396" spans="1:9">
      <c r="A396" s="5">
        <v>90240</v>
      </c>
      <c r="B396" s="5">
        <v>1</v>
      </c>
      <c r="C396" s="5">
        <v>1</v>
      </c>
      <c r="D396" s="5" t="s">
        <v>177</v>
      </c>
      <c r="E396" s="5" t="s">
        <v>177</v>
      </c>
      <c r="F396" s="5" t="s">
        <v>177</v>
      </c>
      <c r="G396" s="5" t="s">
        <v>177</v>
      </c>
      <c r="H396" s="5" t="s">
        <v>177</v>
      </c>
      <c r="I396" s="5"/>
    </row>
    <row r="397" spans="1:9">
      <c r="A397" s="5">
        <v>90241</v>
      </c>
      <c r="B397" s="5">
        <v>7</v>
      </c>
      <c r="C397" s="5">
        <v>1</v>
      </c>
      <c r="D397" s="5">
        <v>1</v>
      </c>
      <c r="E397" s="5">
        <v>4</v>
      </c>
      <c r="F397" s="5" t="s">
        <v>177</v>
      </c>
      <c r="G397" s="5" t="s">
        <v>177</v>
      </c>
      <c r="H397" s="5">
        <v>1</v>
      </c>
      <c r="I397" s="5"/>
    </row>
    <row r="398" spans="1:9">
      <c r="A398" s="5">
        <v>90242</v>
      </c>
      <c r="B398" s="5">
        <v>3</v>
      </c>
      <c r="C398" s="5" t="s">
        <v>177</v>
      </c>
      <c r="D398" s="5">
        <v>1</v>
      </c>
      <c r="E398" s="5">
        <v>2</v>
      </c>
      <c r="F398" s="5" t="s">
        <v>177</v>
      </c>
      <c r="G398" s="5" t="s">
        <v>177</v>
      </c>
      <c r="H398" s="5" t="s">
        <v>177</v>
      </c>
      <c r="I398" s="5"/>
    </row>
    <row r="399" spans="1:9">
      <c r="A399" s="5">
        <v>90245</v>
      </c>
      <c r="B399" s="5">
        <v>1</v>
      </c>
      <c r="C399" s="5" t="s">
        <v>177</v>
      </c>
      <c r="D399" s="5" t="s">
        <v>177</v>
      </c>
      <c r="E399" s="5" t="s">
        <v>177</v>
      </c>
      <c r="F399" s="5" t="s">
        <v>177</v>
      </c>
      <c r="G399" s="5">
        <v>1</v>
      </c>
      <c r="H399" s="5" t="s">
        <v>177</v>
      </c>
      <c r="I399" s="5"/>
    </row>
    <row r="400" spans="1:9">
      <c r="A400" s="5">
        <v>90249</v>
      </c>
      <c r="B400" s="5">
        <v>3</v>
      </c>
      <c r="C400" s="5">
        <v>1</v>
      </c>
      <c r="D400" s="5">
        <v>1</v>
      </c>
      <c r="E400" s="5">
        <v>1</v>
      </c>
      <c r="F400" s="5" t="s">
        <v>177</v>
      </c>
      <c r="G400" s="5" t="s">
        <v>177</v>
      </c>
      <c r="H400" s="5" t="s">
        <v>177</v>
      </c>
      <c r="I400" s="5"/>
    </row>
    <row r="401" spans="1:9">
      <c r="A401" s="5">
        <v>90250</v>
      </c>
      <c r="B401" s="5">
        <v>4</v>
      </c>
      <c r="C401" s="5">
        <v>2</v>
      </c>
      <c r="D401" s="5" t="s">
        <v>177</v>
      </c>
      <c r="E401" s="5">
        <v>1</v>
      </c>
      <c r="F401" s="5">
        <v>1</v>
      </c>
      <c r="G401" s="5" t="s">
        <v>177</v>
      </c>
      <c r="H401" s="5" t="s">
        <v>177</v>
      </c>
      <c r="I401" s="5"/>
    </row>
    <row r="402" spans="1:9">
      <c r="A402" s="5">
        <v>90254</v>
      </c>
      <c r="B402" s="5">
        <v>3</v>
      </c>
      <c r="C402" s="5">
        <v>1</v>
      </c>
      <c r="D402" s="5">
        <v>1</v>
      </c>
      <c r="E402" s="5" t="s">
        <v>177</v>
      </c>
      <c r="F402" s="5" t="s">
        <v>177</v>
      </c>
      <c r="G402" s="5" t="s">
        <v>177</v>
      </c>
      <c r="H402" s="5">
        <v>1</v>
      </c>
      <c r="I402" s="5"/>
    </row>
    <row r="403" spans="1:9">
      <c r="A403" s="5">
        <v>90255</v>
      </c>
      <c r="B403" s="5">
        <v>1</v>
      </c>
      <c r="C403" s="5">
        <v>1</v>
      </c>
      <c r="D403" s="5" t="s">
        <v>177</v>
      </c>
      <c r="E403" s="5" t="s">
        <v>177</v>
      </c>
      <c r="F403" s="5" t="s">
        <v>177</v>
      </c>
      <c r="G403" s="5" t="s">
        <v>177</v>
      </c>
      <c r="H403" s="5" t="s">
        <v>177</v>
      </c>
      <c r="I403" s="5"/>
    </row>
    <row r="404" spans="1:9">
      <c r="A404" s="5">
        <v>90260</v>
      </c>
      <c r="B404" s="5">
        <v>89</v>
      </c>
      <c r="C404" s="5">
        <v>11</v>
      </c>
      <c r="D404" s="5">
        <v>17</v>
      </c>
      <c r="E404" s="5">
        <v>13</v>
      </c>
      <c r="F404" s="5">
        <v>13</v>
      </c>
      <c r="G404" s="5">
        <v>8</v>
      </c>
      <c r="H404" s="5">
        <v>27</v>
      </c>
      <c r="I404" s="5"/>
    </row>
    <row r="405" spans="1:9">
      <c r="A405" s="5">
        <v>90262</v>
      </c>
      <c r="B405" s="5">
        <v>112</v>
      </c>
      <c r="C405" s="5">
        <v>22</v>
      </c>
      <c r="D405" s="5">
        <v>18</v>
      </c>
      <c r="E405" s="5">
        <v>10</v>
      </c>
      <c r="F405" s="5">
        <v>20</v>
      </c>
      <c r="G405" s="5">
        <v>15</v>
      </c>
      <c r="H405" s="5">
        <v>27</v>
      </c>
      <c r="I405" s="5"/>
    </row>
    <row r="406" spans="1:9">
      <c r="A406" s="5">
        <v>90266</v>
      </c>
      <c r="B406" s="5">
        <v>2</v>
      </c>
      <c r="C406" s="5">
        <v>1</v>
      </c>
      <c r="D406" s="5" t="s">
        <v>177</v>
      </c>
      <c r="E406" s="5" t="s">
        <v>177</v>
      </c>
      <c r="F406" s="5" t="s">
        <v>177</v>
      </c>
      <c r="G406" s="5" t="s">
        <v>177</v>
      </c>
      <c r="H406" s="5">
        <v>1</v>
      </c>
      <c r="I406" s="5"/>
    </row>
    <row r="407" spans="1:9">
      <c r="A407" s="5">
        <v>90270</v>
      </c>
      <c r="B407" s="5">
        <v>48</v>
      </c>
      <c r="C407" s="5">
        <v>11</v>
      </c>
      <c r="D407" s="5">
        <v>6</v>
      </c>
      <c r="E407" s="5">
        <v>4</v>
      </c>
      <c r="F407" s="5">
        <v>12</v>
      </c>
      <c r="G407" s="5">
        <v>6</v>
      </c>
      <c r="H407" s="5">
        <v>9</v>
      </c>
      <c r="I407" s="5"/>
    </row>
    <row r="408" spans="1:9">
      <c r="A408" s="5">
        <v>90272</v>
      </c>
      <c r="B408" s="5">
        <v>12</v>
      </c>
      <c r="C408" s="5">
        <v>3</v>
      </c>
      <c r="D408" s="5">
        <v>1</v>
      </c>
      <c r="E408" s="5">
        <v>1</v>
      </c>
      <c r="F408" s="5">
        <v>2</v>
      </c>
      <c r="G408" s="5">
        <v>4</v>
      </c>
      <c r="H408" s="5">
        <v>1</v>
      </c>
      <c r="I408" s="5"/>
    </row>
    <row r="409" spans="1:9">
      <c r="A409" s="5">
        <v>90274</v>
      </c>
      <c r="B409" s="5">
        <v>1</v>
      </c>
      <c r="C409" s="5" t="s">
        <v>177</v>
      </c>
      <c r="D409" s="5" t="s">
        <v>177</v>
      </c>
      <c r="E409" s="5" t="s">
        <v>177</v>
      </c>
      <c r="F409" s="5">
        <v>1</v>
      </c>
      <c r="G409" s="5" t="s">
        <v>177</v>
      </c>
      <c r="H409" s="5" t="s">
        <v>177</v>
      </c>
      <c r="I409" s="5"/>
    </row>
    <row r="410" spans="1:9">
      <c r="A410" s="5">
        <v>90275</v>
      </c>
      <c r="B410" s="5">
        <v>1</v>
      </c>
      <c r="C410" s="5">
        <v>1</v>
      </c>
      <c r="D410" s="5" t="s">
        <v>177</v>
      </c>
      <c r="E410" s="5" t="s">
        <v>177</v>
      </c>
      <c r="F410" s="5" t="s">
        <v>177</v>
      </c>
      <c r="G410" s="5" t="s">
        <v>177</v>
      </c>
      <c r="H410" s="5" t="s">
        <v>177</v>
      </c>
      <c r="I410" s="5"/>
    </row>
    <row r="411" spans="1:9">
      <c r="A411" s="5">
        <v>90277</v>
      </c>
      <c r="B411" s="5">
        <v>3</v>
      </c>
      <c r="C411" s="5">
        <v>2</v>
      </c>
      <c r="D411" s="5">
        <v>1</v>
      </c>
      <c r="E411" s="5" t="s">
        <v>177</v>
      </c>
      <c r="F411" s="5" t="s">
        <v>177</v>
      </c>
      <c r="G411" s="5" t="s">
        <v>177</v>
      </c>
      <c r="H411" s="5" t="s">
        <v>177</v>
      </c>
      <c r="I411" s="5"/>
    </row>
    <row r="412" spans="1:9">
      <c r="A412" s="5">
        <v>90278</v>
      </c>
      <c r="B412" s="5">
        <v>1</v>
      </c>
      <c r="C412" s="5" t="s">
        <v>177</v>
      </c>
      <c r="D412" s="5">
        <v>1</v>
      </c>
      <c r="E412" s="5" t="s">
        <v>177</v>
      </c>
      <c r="F412" s="5" t="s">
        <v>177</v>
      </c>
      <c r="G412" s="5" t="s">
        <v>177</v>
      </c>
      <c r="H412" s="5" t="s">
        <v>177</v>
      </c>
      <c r="I412" s="5"/>
    </row>
    <row r="413" spans="1:9">
      <c r="A413" s="5">
        <v>90280</v>
      </c>
      <c r="B413" s="5">
        <v>3</v>
      </c>
      <c r="C413" s="5">
        <v>1</v>
      </c>
      <c r="D413" s="5">
        <v>1</v>
      </c>
      <c r="E413" s="5" t="s">
        <v>177</v>
      </c>
      <c r="F413" s="5">
        <v>1</v>
      </c>
      <c r="G413" s="5" t="s">
        <v>177</v>
      </c>
      <c r="H413" s="5" t="s">
        <v>177</v>
      </c>
      <c r="I413" s="5"/>
    </row>
    <row r="414" spans="1:9">
      <c r="A414" s="5">
        <v>90291</v>
      </c>
      <c r="B414" s="5">
        <v>6</v>
      </c>
      <c r="C414" s="5">
        <v>1</v>
      </c>
      <c r="D414" s="5">
        <v>4</v>
      </c>
      <c r="E414" s="5" t="s">
        <v>177</v>
      </c>
      <c r="F414" s="5" t="s">
        <v>177</v>
      </c>
      <c r="G414" s="5" t="s">
        <v>177</v>
      </c>
      <c r="H414" s="5">
        <v>1</v>
      </c>
      <c r="I414" s="5"/>
    </row>
    <row r="415" spans="1:9">
      <c r="A415" s="5">
        <v>90292</v>
      </c>
      <c r="B415" s="5">
        <v>1</v>
      </c>
      <c r="C415" s="5" t="s">
        <v>177</v>
      </c>
      <c r="D415" s="5">
        <v>1</v>
      </c>
      <c r="E415" s="5" t="s">
        <v>177</v>
      </c>
      <c r="F415" s="5" t="s">
        <v>177</v>
      </c>
      <c r="G415" s="5" t="s">
        <v>177</v>
      </c>
      <c r="H415" s="5" t="s">
        <v>177</v>
      </c>
      <c r="I415" s="5"/>
    </row>
    <row r="416" spans="1:9">
      <c r="A416" s="5">
        <v>90301</v>
      </c>
      <c r="B416" s="5">
        <v>28</v>
      </c>
      <c r="C416" s="5">
        <v>5</v>
      </c>
      <c r="D416" s="5">
        <v>3</v>
      </c>
      <c r="E416" s="5">
        <v>6</v>
      </c>
      <c r="F416" s="5">
        <v>4</v>
      </c>
      <c r="G416" s="5">
        <v>6</v>
      </c>
      <c r="H416" s="5">
        <v>4</v>
      </c>
      <c r="I416" s="5"/>
    </row>
    <row r="417" spans="1:9">
      <c r="A417" s="5">
        <v>90302</v>
      </c>
      <c r="B417" s="5">
        <v>18</v>
      </c>
      <c r="C417" s="5">
        <v>2</v>
      </c>
      <c r="D417" s="5">
        <v>1</v>
      </c>
      <c r="E417" s="5">
        <v>5</v>
      </c>
      <c r="F417" s="5">
        <v>7</v>
      </c>
      <c r="G417" s="5">
        <v>2</v>
      </c>
      <c r="H417" s="5">
        <v>1</v>
      </c>
      <c r="I417" s="5"/>
    </row>
    <row r="418" spans="1:9">
      <c r="A418" s="5">
        <v>90303</v>
      </c>
      <c r="B418" s="5">
        <v>44</v>
      </c>
      <c r="C418" s="5">
        <v>6</v>
      </c>
      <c r="D418" s="5">
        <v>4</v>
      </c>
      <c r="E418" s="5">
        <v>9</v>
      </c>
      <c r="F418" s="5">
        <v>5</v>
      </c>
      <c r="G418" s="5">
        <v>14</v>
      </c>
      <c r="H418" s="5">
        <v>6</v>
      </c>
      <c r="I418" s="5"/>
    </row>
    <row r="419" spans="1:9">
      <c r="A419" s="5">
        <v>90304</v>
      </c>
      <c r="B419" s="5">
        <v>37</v>
      </c>
      <c r="C419" s="5">
        <v>7</v>
      </c>
      <c r="D419" s="5">
        <v>5</v>
      </c>
      <c r="E419" s="5">
        <v>6</v>
      </c>
      <c r="F419" s="5">
        <v>5</v>
      </c>
      <c r="G419" s="5">
        <v>11</v>
      </c>
      <c r="H419" s="5">
        <v>3</v>
      </c>
      <c r="I419" s="5"/>
    </row>
    <row r="420" spans="1:9">
      <c r="A420" s="5">
        <v>90305</v>
      </c>
      <c r="B420" s="5">
        <v>19</v>
      </c>
      <c r="C420" s="5">
        <v>1</v>
      </c>
      <c r="D420" s="5">
        <v>3</v>
      </c>
      <c r="E420" s="5">
        <v>2</v>
      </c>
      <c r="F420" s="5">
        <v>3</v>
      </c>
      <c r="G420" s="5">
        <v>8</v>
      </c>
      <c r="H420" s="5">
        <v>2</v>
      </c>
      <c r="I420" s="5"/>
    </row>
    <row r="421" spans="1:9">
      <c r="A421" s="5">
        <v>90401</v>
      </c>
      <c r="B421" s="5">
        <v>5</v>
      </c>
      <c r="C421" s="5" t="s">
        <v>177</v>
      </c>
      <c r="D421" s="5" t="s">
        <v>177</v>
      </c>
      <c r="E421" s="5">
        <v>2</v>
      </c>
      <c r="F421" s="5">
        <v>1</v>
      </c>
      <c r="G421" s="5">
        <v>2</v>
      </c>
      <c r="H421" s="5" t="s">
        <v>177</v>
      </c>
      <c r="I421" s="5"/>
    </row>
    <row r="422" spans="1:9">
      <c r="A422" s="5">
        <v>90402</v>
      </c>
      <c r="B422" s="5">
        <v>7</v>
      </c>
      <c r="C422" s="5" t="s">
        <v>177</v>
      </c>
      <c r="D422" s="5">
        <v>2</v>
      </c>
      <c r="E422" s="5" t="s">
        <v>177</v>
      </c>
      <c r="F422" s="5" t="s">
        <v>177</v>
      </c>
      <c r="G422" s="5">
        <v>3</v>
      </c>
      <c r="H422" s="5">
        <v>2</v>
      </c>
      <c r="I422" s="5"/>
    </row>
    <row r="423" spans="1:9">
      <c r="A423" s="5">
        <v>90403</v>
      </c>
      <c r="B423" s="5">
        <v>6</v>
      </c>
      <c r="C423" s="5">
        <v>3</v>
      </c>
      <c r="D423" s="5" t="s">
        <v>177</v>
      </c>
      <c r="E423" s="5" t="s">
        <v>177</v>
      </c>
      <c r="F423" s="5" t="s">
        <v>177</v>
      </c>
      <c r="G423" s="5" t="s">
        <v>177</v>
      </c>
      <c r="H423" s="5">
        <v>3</v>
      </c>
      <c r="I423" s="5"/>
    </row>
    <row r="424" spans="1:9">
      <c r="A424" s="5">
        <v>90404</v>
      </c>
      <c r="B424" s="5">
        <v>42</v>
      </c>
      <c r="C424" s="5">
        <v>7</v>
      </c>
      <c r="D424" s="5">
        <v>5</v>
      </c>
      <c r="E424" s="5">
        <v>5</v>
      </c>
      <c r="F424" s="5">
        <v>7</v>
      </c>
      <c r="G424" s="5">
        <v>5</v>
      </c>
      <c r="H424" s="5">
        <v>13</v>
      </c>
      <c r="I424" s="5"/>
    </row>
    <row r="425" spans="1:9">
      <c r="A425" s="5">
        <v>90405</v>
      </c>
      <c r="B425" s="5">
        <v>34</v>
      </c>
      <c r="C425" s="5">
        <v>3</v>
      </c>
      <c r="D425" s="5">
        <v>5</v>
      </c>
      <c r="E425" s="5">
        <v>1</v>
      </c>
      <c r="F425" s="5">
        <v>5</v>
      </c>
      <c r="G425" s="5">
        <v>7</v>
      </c>
      <c r="H425" s="5">
        <v>13</v>
      </c>
      <c r="I425" s="5"/>
    </row>
    <row r="426" spans="1:9">
      <c r="A426" s="5">
        <v>90501</v>
      </c>
      <c r="B426" s="5">
        <v>1</v>
      </c>
      <c r="C426" s="5" t="s">
        <v>177</v>
      </c>
      <c r="D426" s="5">
        <v>1</v>
      </c>
      <c r="E426" s="5" t="s">
        <v>177</v>
      </c>
      <c r="F426" s="5" t="s">
        <v>177</v>
      </c>
      <c r="G426" s="5" t="s">
        <v>177</v>
      </c>
      <c r="H426" s="5" t="s">
        <v>177</v>
      </c>
      <c r="I426" s="5"/>
    </row>
    <row r="427" spans="1:9">
      <c r="A427" s="5">
        <v>90502</v>
      </c>
      <c r="B427" s="5">
        <v>49</v>
      </c>
      <c r="C427" s="5">
        <v>6</v>
      </c>
      <c r="D427" s="5">
        <v>9</v>
      </c>
      <c r="E427" s="5">
        <v>4</v>
      </c>
      <c r="F427" s="5">
        <v>11</v>
      </c>
      <c r="G427" s="5">
        <v>4</v>
      </c>
      <c r="H427" s="5">
        <v>15</v>
      </c>
      <c r="I427" s="5"/>
    </row>
    <row r="428" spans="1:9">
      <c r="A428" s="5">
        <v>90503</v>
      </c>
      <c r="B428" s="5">
        <v>3</v>
      </c>
      <c r="C428" s="5">
        <v>2</v>
      </c>
      <c r="D428" s="5" t="s">
        <v>177</v>
      </c>
      <c r="E428" s="5" t="s">
        <v>177</v>
      </c>
      <c r="F428" s="5" t="s">
        <v>177</v>
      </c>
      <c r="G428" s="5" t="s">
        <v>177</v>
      </c>
      <c r="H428" s="5">
        <v>1</v>
      </c>
      <c r="I428" s="5"/>
    </row>
    <row r="429" spans="1:9">
      <c r="A429" s="5">
        <v>90505</v>
      </c>
      <c r="B429" s="5">
        <v>4</v>
      </c>
      <c r="C429" s="5">
        <v>2</v>
      </c>
      <c r="D429" s="5">
        <v>1</v>
      </c>
      <c r="E429" s="5" t="s">
        <v>177</v>
      </c>
      <c r="F429" s="5">
        <v>1</v>
      </c>
      <c r="G429" s="5" t="s">
        <v>177</v>
      </c>
      <c r="H429" s="5" t="s">
        <v>177</v>
      </c>
      <c r="I429" s="5"/>
    </row>
    <row r="430" spans="1:9">
      <c r="A430" s="5">
        <v>90601</v>
      </c>
      <c r="B430" s="5">
        <v>2</v>
      </c>
      <c r="C430" s="5" t="s">
        <v>177</v>
      </c>
      <c r="D430" s="5">
        <v>1</v>
      </c>
      <c r="E430" s="5" t="s">
        <v>177</v>
      </c>
      <c r="F430" s="5">
        <v>1</v>
      </c>
      <c r="G430" s="5" t="s">
        <v>177</v>
      </c>
      <c r="H430" s="5" t="s">
        <v>177</v>
      </c>
      <c r="I430" s="5"/>
    </row>
    <row r="431" spans="1:9">
      <c r="A431" s="5">
        <v>90602</v>
      </c>
      <c r="B431" s="5">
        <v>1</v>
      </c>
      <c r="C431" s="5" t="s">
        <v>177</v>
      </c>
      <c r="D431" s="5" t="s">
        <v>177</v>
      </c>
      <c r="E431" s="5">
        <v>1</v>
      </c>
      <c r="F431" s="5" t="s">
        <v>177</v>
      </c>
      <c r="G431" s="5" t="s">
        <v>177</v>
      </c>
      <c r="H431" s="5" t="s">
        <v>177</v>
      </c>
      <c r="I431" s="5"/>
    </row>
    <row r="432" spans="1:9">
      <c r="A432" s="5">
        <v>90603</v>
      </c>
      <c r="B432" s="5">
        <v>1</v>
      </c>
      <c r="C432" s="5" t="s">
        <v>177</v>
      </c>
      <c r="D432" s="5" t="s">
        <v>177</v>
      </c>
      <c r="E432" s="5">
        <v>1</v>
      </c>
      <c r="F432" s="5" t="s">
        <v>177</v>
      </c>
      <c r="G432" s="5" t="s">
        <v>177</v>
      </c>
      <c r="H432" s="5" t="s">
        <v>177</v>
      </c>
      <c r="I432" s="5"/>
    </row>
    <row r="433" spans="1:9">
      <c r="A433" s="5">
        <v>90605</v>
      </c>
      <c r="B433" s="5">
        <v>63</v>
      </c>
      <c r="C433" s="5">
        <v>13</v>
      </c>
      <c r="D433" s="5">
        <v>7</v>
      </c>
      <c r="E433" s="5">
        <v>5</v>
      </c>
      <c r="F433" s="5">
        <v>12</v>
      </c>
      <c r="G433" s="5">
        <v>13</v>
      </c>
      <c r="H433" s="5">
        <v>13</v>
      </c>
      <c r="I433" s="5"/>
    </row>
    <row r="434" spans="1:9">
      <c r="A434" s="5">
        <v>90606</v>
      </c>
      <c r="B434" s="5">
        <v>2</v>
      </c>
      <c r="C434" s="5" t="s">
        <v>177</v>
      </c>
      <c r="D434" s="5" t="s">
        <v>177</v>
      </c>
      <c r="E434" s="5">
        <v>1</v>
      </c>
      <c r="F434" s="5">
        <v>1</v>
      </c>
      <c r="G434" s="5" t="s">
        <v>177</v>
      </c>
      <c r="H434" s="5" t="s">
        <v>177</v>
      </c>
      <c r="I434" s="5"/>
    </row>
    <row r="435" spans="1:9">
      <c r="A435" s="5">
        <v>90620</v>
      </c>
      <c r="B435" s="5">
        <v>1</v>
      </c>
      <c r="C435" s="5" t="s">
        <v>177</v>
      </c>
      <c r="D435" s="5" t="s">
        <v>177</v>
      </c>
      <c r="E435" s="5" t="s">
        <v>177</v>
      </c>
      <c r="F435" s="5">
        <v>1</v>
      </c>
      <c r="G435" s="5" t="s">
        <v>177</v>
      </c>
      <c r="H435" s="5" t="s">
        <v>177</v>
      </c>
      <c r="I435" s="5"/>
    </row>
    <row r="436" spans="1:9">
      <c r="A436" s="5">
        <v>90623</v>
      </c>
      <c r="B436" s="5">
        <v>1</v>
      </c>
      <c r="C436" s="5">
        <v>1</v>
      </c>
      <c r="D436" s="5" t="s">
        <v>177</v>
      </c>
      <c r="E436" s="5" t="s">
        <v>177</v>
      </c>
      <c r="F436" s="5" t="s">
        <v>177</v>
      </c>
      <c r="G436" s="5" t="s">
        <v>177</v>
      </c>
      <c r="H436" s="5" t="s">
        <v>177</v>
      </c>
      <c r="I436" s="5"/>
    </row>
    <row r="437" spans="1:9">
      <c r="A437" s="5">
        <v>90630</v>
      </c>
      <c r="B437" s="5">
        <v>1</v>
      </c>
      <c r="C437" s="5" t="s">
        <v>177</v>
      </c>
      <c r="D437" s="5">
        <v>1</v>
      </c>
      <c r="E437" s="5" t="s">
        <v>177</v>
      </c>
      <c r="F437" s="5" t="s">
        <v>177</v>
      </c>
      <c r="G437" s="5" t="s">
        <v>177</v>
      </c>
      <c r="H437" s="5" t="s">
        <v>177</v>
      </c>
      <c r="I437" s="5"/>
    </row>
    <row r="438" spans="1:9">
      <c r="A438" s="5">
        <v>90631</v>
      </c>
      <c r="B438" s="5">
        <v>2</v>
      </c>
      <c r="C438" s="5">
        <v>1</v>
      </c>
      <c r="D438" s="5" t="s">
        <v>177</v>
      </c>
      <c r="E438" s="5">
        <v>1</v>
      </c>
      <c r="F438" s="5" t="s">
        <v>177</v>
      </c>
      <c r="G438" s="5" t="s">
        <v>177</v>
      </c>
      <c r="H438" s="5" t="s">
        <v>177</v>
      </c>
      <c r="I438" s="5"/>
    </row>
    <row r="439" spans="1:9">
      <c r="A439" s="5">
        <v>90638</v>
      </c>
      <c r="B439" s="5">
        <v>1</v>
      </c>
      <c r="C439" s="5" t="s">
        <v>177</v>
      </c>
      <c r="D439" s="5" t="s">
        <v>177</v>
      </c>
      <c r="E439" s="5">
        <v>1</v>
      </c>
      <c r="F439" s="5" t="s">
        <v>177</v>
      </c>
      <c r="G439" s="5" t="s">
        <v>177</v>
      </c>
      <c r="H439" s="5" t="s">
        <v>177</v>
      </c>
      <c r="I439" s="5"/>
    </row>
    <row r="440" spans="1:9">
      <c r="A440" s="5">
        <v>90639</v>
      </c>
      <c r="B440" s="5">
        <v>1</v>
      </c>
      <c r="C440" s="5">
        <v>1</v>
      </c>
      <c r="D440" s="5" t="s">
        <v>177</v>
      </c>
      <c r="E440" s="5" t="s">
        <v>177</v>
      </c>
      <c r="F440" s="5" t="s">
        <v>177</v>
      </c>
      <c r="G440" s="5" t="s">
        <v>177</v>
      </c>
      <c r="H440" s="5" t="s">
        <v>177</v>
      </c>
      <c r="I440" s="5"/>
    </row>
    <row r="441" spans="1:9">
      <c r="A441" s="5">
        <v>90640</v>
      </c>
      <c r="B441" s="5">
        <v>1</v>
      </c>
      <c r="C441" s="5">
        <v>1</v>
      </c>
      <c r="D441" s="5" t="s">
        <v>177</v>
      </c>
      <c r="E441" s="5" t="s">
        <v>177</v>
      </c>
      <c r="F441" s="5" t="s">
        <v>177</v>
      </c>
      <c r="G441" s="5" t="s">
        <v>177</v>
      </c>
      <c r="H441" s="5" t="s">
        <v>177</v>
      </c>
      <c r="I441" s="5"/>
    </row>
    <row r="442" spans="1:9">
      <c r="A442" s="5">
        <v>90650</v>
      </c>
      <c r="B442" s="5">
        <v>4</v>
      </c>
      <c r="C442" s="5">
        <v>2</v>
      </c>
      <c r="D442" s="5" t="s">
        <v>177</v>
      </c>
      <c r="E442" s="5">
        <v>1</v>
      </c>
      <c r="F442" s="5">
        <v>1</v>
      </c>
      <c r="G442" s="5" t="s">
        <v>177</v>
      </c>
      <c r="H442" s="5" t="s">
        <v>177</v>
      </c>
      <c r="I442" s="5"/>
    </row>
    <row r="443" spans="1:9">
      <c r="A443" s="5">
        <v>90660</v>
      </c>
      <c r="B443" s="5">
        <v>2</v>
      </c>
      <c r="C443" s="5" t="s">
        <v>177</v>
      </c>
      <c r="D443" s="5">
        <v>1</v>
      </c>
      <c r="E443" s="5">
        <v>1</v>
      </c>
      <c r="F443" s="5" t="s">
        <v>177</v>
      </c>
      <c r="G443" s="5" t="s">
        <v>177</v>
      </c>
      <c r="H443" s="5" t="s">
        <v>177</v>
      </c>
      <c r="I443" s="5"/>
    </row>
    <row r="444" spans="1:9">
      <c r="A444" s="5">
        <v>90670</v>
      </c>
      <c r="B444" s="5">
        <v>27</v>
      </c>
      <c r="C444" s="5">
        <v>2</v>
      </c>
      <c r="D444" s="5">
        <v>4</v>
      </c>
      <c r="E444" s="5">
        <v>1</v>
      </c>
      <c r="F444" s="5">
        <v>10</v>
      </c>
      <c r="G444" s="5">
        <v>5</v>
      </c>
      <c r="H444" s="5">
        <v>5</v>
      </c>
      <c r="I444" s="5"/>
    </row>
    <row r="445" spans="1:9">
      <c r="A445" s="5">
        <v>90680</v>
      </c>
      <c r="B445" s="5">
        <v>3</v>
      </c>
      <c r="C445" s="5" t="s">
        <v>177</v>
      </c>
      <c r="D445" s="5">
        <v>1</v>
      </c>
      <c r="E445" s="5">
        <v>1</v>
      </c>
      <c r="F445" s="5" t="s">
        <v>177</v>
      </c>
      <c r="G445" s="5" t="s">
        <v>177</v>
      </c>
      <c r="H445" s="5">
        <v>1</v>
      </c>
      <c r="I445" s="5"/>
    </row>
    <row r="446" spans="1:9">
      <c r="A446" s="5">
        <v>90706</v>
      </c>
      <c r="B446" s="5">
        <v>5</v>
      </c>
      <c r="C446" s="5">
        <v>3</v>
      </c>
      <c r="D446" s="5">
        <v>2</v>
      </c>
      <c r="E446" s="5" t="s">
        <v>177</v>
      </c>
      <c r="F446" s="5" t="s">
        <v>177</v>
      </c>
      <c r="G446" s="5" t="s">
        <v>177</v>
      </c>
      <c r="H446" s="5" t="s">
        <v>177</v>
      </c>
      <c r="I446" s="5"/>
    </row>
    <row r="447" spans="1:9">
      <c r="A447" s="5">
        <v>90712</v>
      </c>
      <c r="B447" s="5">
        <v>3</v>
      </c>
      <c r="C447" s="5">
        <v>1</v>
      </c>
      <c r="D447" s="5">
        <v>1</v>
      </c>
      <c r="E447" s="5" t="s">
        <v>177</v>
      </c>
      <c r="F447" s="5" t="s">
        <v>177</v>
      </c>
      <c r="G447" s="5">
        <v>1</v>
      </c>
      <c r="H447" s="5" t="s">
        <v>177</v>
      </c>
      <c r="I447" s="5"/>
    </row>
    <row r="448" spans="1:9">
      <c r="A448" s="5">
        <v>90713</v>
      </c>
      <c r="B448" s="5">
        <v>4</v>
      </c>
      <c r="C448" s="5" t="s">
        <v>177</v>
      </c>
      <c r="D448" s="5">
        <v>2</v>
      </c>
      <c r="E448" s="5" t="s">
        <v>177</v>
      </c>
      <c r="F448" s="5">
        <v>2</v>
      </c>
      <c r="G448" s="5" t="s">
        <v>177</v>
      </c>
      <c r="H448" s="5" t="s">
        <v>177</v>
      </c>
      <c r="I448" s="5"/>
    </row>
    <row r="449" spans="1:9">
      <c r="A449" s="5">
        <v>90715</v>
      </c>
      <c r="B449" s="5">
        <v>1</v>
      </c>
      <c r="C449" s="5">
        <v>1</v>
      </c>
      <c r="D449" s="5" t="s">
        <v>177</v>
      </c>
      <c r="E449" s="5" t="s">
        <v>177</v>
      </c>
      <c r="F449" s="5" t="s">
        <v>177</v>
      </c>
      <c r="G449" s="5" t="s">
        <v>177</v>
      </c>
      <c r="H449" s="5" t="s">
        <v>177</v>
      </c>
      <c r="I449" s="5"/>
    </row>
    <row r="450" spans="1:9">
      <c r="A450" s="5">
        <v>90716</v>
      </c>
      <c r="B450" s="5">
        <v>34</v>
      </c>
      <c r="C450" s="5">
        <v>4</v>
      </c>
      <c r="D450" s="5">
        <v>6</v>
      </c>
      <c r="E450" s="5">
        <v>2</v>
      </c>
      <c r="F450" s="5">
        <v>5</v>
      </c>
      <c r="G450" s="5">
        <v>9</v>
      </c>
      <c r="H450" s="5">
        <v>8</v>
      </c>
      <c r="I450" s="5"/>
    </row>
    <row r="451" spans="1:9">
      <c r="A451" s="5">
        <v>90717</v>
      </c>
      <c r="B451" s="5">
        <v>39</v>
      </c>
      <c r="C451" s="5">
        <v>8</v>
      </c>
      <c r="D451" s="5">
        <v>4</v>
      </c>
      <c r="E451" s="5">
        <v>3</v>
      </c>
      <c r="F451" s="5">
        <v>9</v>
      </c>
      <c r="G451" s="5">
        <v>6</v>
      </c>
      <c r="H451" s="5">
        <v>9</v>
      </c>
      <c r="I451" s="5"/>
    </row>
    <row r="452" spans="1:9">
      <c r="A452" s="5">
        <v>90720</v>
      </c>
      <c r="B452" s="5">
        <v>4</v>
      </c>
      <c r="C452" s="5" t="s">
        <v>177</v>
      </c>
      <c r="D452" s="5">
        <v>1</v>
      </c>
      <c r="E452" s="5">
        <v>1</v>
      </c>
      <c r="F452" s="5" t="s">
        <v>177</v>
      </c>
      <c r="G452" s="5">
        <v>1</v>
      </c>
      <c r="H452" s="5">
        <v>1</v>
      </c>
      <c r="I452" s="5"/>
    </row>
    <row r="453" spans="1:9">
      <c r="A453" s="5">
        <v>90723</v>
      </c>
      <c r="B453" s="5">
        <v>5</v>
      </c>
      <c r="C453" s="5">
        <v>1</v>
      </c>
      <c r="D453" s="5" t="s">
        <v>177</v>
      </c>
      <c r="E453" s="5">
        <v>1</v>
      </c>
      <c r="F453" s="5">
        <v>3</v>
      </c>
      <c r="G453" s="5" t="s">
        <v>177</v>
      </c>
      <c r="H453" s="5" t="s">
        <v>177</v>
      </c>
      <c r="I453" s="5"/>
    </row>
    <row r="454" spans="1:9">
      <c r="A454" s="5">
        <v>90731</v>
      </c>
      <c r="B454" s="5">
        <v>2</v>
      </c>
      <c r="C454" s="5" t="s">
        <v>177</v>
      </c>
      <c r="D454" s="5">
        <v>1</v>
      </c>
      <c r="E454" s="5" t="s">
        <v>177</v>
      </c>
      <c r="F454" s="5">
        <v>1</v>
      </c>
      <c r="G454" s="5" t="s">
        <v>177</v>
      </c>
      <c r="H454" s="5" t="s">
        <v>177</v>
      </c>
      <c r="I454" s="5"/>
    </row>
    <row r="455" spans="1:9">
      <c r="A455" s="5">
        <v>90740</v>
      </c>
      <c r="B455" s="5">
        <v>35</v>
      </c>
      <c r="C455" s="5">
        <v>5</v>
      </c>
      <c r="D455" s="5">
        <v>8</v>
      </c>
      <c r="E455" s="5">
        <v>1</v>
      </c>
      <c r="F455" s="5">
        <v>7</v>
      </c>
      <c r="G455" s="5">
        <v>5</v>
      </c>
      <c r="H455" s="5">
        <v>9</v>
      </c>
      <c r="I455" s="5"/>
    </row>
    <row r="456" spans="1:9">
      <c r="A456" s="5">
        <v>90744</v>
      </c>
      <c r="B456" s="5">
        <v>3</v>
      </c>
      <c r="C456" s="5" t="s">
        <v>177</v>
      </c>
      <c r="D456" s="5">
        <v>1</v>
      </c>
      <c r="E456" s="5" t="s">
        <v>177</v>
      </c>
      <c r="F456" s="5">
        <v>1</v>
      </c>
      <c r="G456" s="5">
        <v>1</v>
      </c>
      <c r="H456" s="5" t="s">
        <v>177</v>
      </c>
      <c r="I456" s="5"/>
    </row>
    <row r="457" spans="1:9">
      <c r="A457" s="5">
        <v>90745</v>
      </c>
      <c r="B457" s="5">
        <v>3</v>
      </c>
      <c r="C457" s="5">
        <v>2</v>
      </c>
      <c r="D457" s="5" t="s">
        <v>177</v>
      </c>
      <c r="E457" s="5" t="s">
        <v>177</v>
      </c>
      <c r="F457" s="5">
        <v>1</v>
      </c>
      <c r="G457" s="5" t="s">
        <v>177</v>
      </c>
      <c r="H457" s="5" t="s">
        <v>177</v>
      </c>
      <c r="I457" s="5"/>
    </row>
    <row r="458" spans="1:9">
      <c r="A458" s="5">
        <v>90802</v>
      </c>
      <c r="B458" s="5">
        <v>13</v>
      </c>
      <c r="C458" s="5">
        <v>1</v>
      </c>
      <c r="D458" s="5">
        <v>1</v>
      </c>
      <c r="E458" s="5">
        <v>5</v>
      </c>
      <c r="F458" s="5">
        <v>2</v>
      </c>
      <c r="G458" s="5">
        <v>3</v>
      </c>
      <c r="H458" s="5">
        <v>1</v>
      </c>
      <c r="I458" s="5"/>
    </row>
    <row r="459" spans="1:9">
      <c r="A459" s="5">
        <v>90803</v>
      </c>
      <c r="B459" s="5">
        <v>3</v>
      </c>
      <c r="C459" s="5" t="s">
        <v>177</v>
      </c>
      <c r="D459" s="5">
        <v>1</v>
      </c>
      <c r="E459" s="5">
        <v>1</v>
      </c>
      <c r="F459" s="5" t="s">
        <v>177</v>
      </c>
      <c r="G459" s="5" t="s">
        <v>177</v>
      </c>
      <c r="H459" s="5">
        <v>1</v>
      </c>
      <c r="I459" s="5"/>
    </row>
    <row r="460" spans="1:9">
      <c r="A460" s="5">
        <v>90804</v>
      </c>
      <c r="B460" s="5">
        <v>2</v>
      </c>
      <c r="C460" s="5" t="s">
        <v>177</v>
      </c>
      <c r="D460" s="5">
        <v>1</v>
      </c>
      <c r="E460" s="5" t="s">
        <v>177</v>
      </c>
      <c r="F460" s="5">
        <v>1</v>
      </c>
      <c r="G460" s="5" t="s">
        <v>177</v>
      </c>
      <c r="H460" s="5" t="s">
        <v>177</v>
      </c>
      <c r="I460" s="5"/>
    </row>
    <row r="461" spans="1:9">
      <c r="A461" s="5">
        <v>90805</v>
      </c>
      <c r="B461" s="5">
        <v>4</v>
      </c>
      <c r="C461" s="5">
        <v>1</v>
      </c>
      <c r="D461" s="5" t="s">
        <v>177</v>
      </c>
      <c r="E461" s="5" t="s">
        <v>177</v>
      </c>
      <c r="F461" s="5">
        <v>2</v>
      </c>
      <c r="G461" s="5">
        <v>1</v>
      </c>
      <c r="H461" s="5" t="s">
        <v>177</v>
      </c>
      <c r="I461" s="5"/>
    </row>
    <row r="462" spans="1:9">
      <c r="A462" s="5">
        <v>90806</v>
      </c>
      <c r="B462" s="5">
        <v>1</v>
      </c>
      <c r="C462" s="5" t="s">
        <v>177</v>
      </c>
      <c r="D462" s="5">
        <v>1</v>
      </c>
      <c r="E462" s="5" t="s">
        <v>177</v>
      </c>
      <c r="F462" s="5" t="s">
        <v>177</v>
      </c>
      <c r="G462" s="5" t="s">
        <v>177</v>
      </c>
      <c r="H462" s="5" t="s">
        <v>177</v>
      </c>
      <c r="I462" s="5"/>
    </row>
    <row r="463" spans="1:9">
      <c r="A463" s="5">
        <v>90807</v>
      </c>
      <c r="B463" s="5">
        <v>2</v>
      </c>
      <c r="C463" s="5">
        <v>1</v>
      </c>
      <c r="D463" s="5" t="s">
        <v>177</v>
      </c>
      <c r="E463" s="5">
        <v>1</v>
      </c>
      <c r="F463" s="5" t="s">
        <v>177</v>
      </c>
      <c r="G463" s="5" t="s">
        <v>177</v>
      </c>
      <c r="H463" s="5" t="s">
        <v>177</v>
      </c>
      <c r="I463" s="5"/>
    </row>
    <row r="464" spans="1:9">
      <c r="A464" s="5">
        <v>90808</v>
      </c>
      <c r="B464" s="5">
        <v>65</v>
      </c>
      <c r="C464" s="5">
        <v>11</v>
      </c>
      <c r="D464" s="5">
        <v>7</v>
      </c>
      <c r="E464" s="5">
        <v>8</v>
      </c>
      <c r="F464" s="5">
        <v>14</v>
      </c>
      <c r="G464" s="5">
        <v>10</v>
      </c>
      <c r="H464" s="5">
        <v>15</v>
      </c>
      <c r="I464" s="5"/>
    </row>
    <row r="465" spans="1:9">
      <c r="A465" s="5">
        <v>90813</v>
      </c>
      <c r="B465" s="5">
        <v>93</v>
      </c>
      <c r="C465" s="5">
        <v>13</v>
      </c>
      <c r="D465" s="5">
        <v>18</v>
      </c>
      <c r="E465" s="5">
        <v>13</v>
      </c>
      <c r="F465" s="5">
        <v>15</v>
      </c>
      <c r="G465" s="5">
        <v>14</v>
      </c>
      <c r="H465" s="5">
        <v>20</v>
      </c>
      <c r="I465" s="5"/>
    </row>
    <row r="466" spans="1:9">
      <c r="A466" s="5">
        <v>90814</v>
      </c>
      <c r="B466" s="5">
        <v>30</v>
      </c>
      <c r="C466" s="5">
        <v>6</v>
      </c>
      <c r="D466" s="5">
        <v>3</v>
      </c>
      <c r="E466" s="5">
        <v>3</v>
      </c>
      <c r="F466" s="5">
        <v>10</v>
      </c>
      <c r="G466" s="5">
        <v>2</v>
      </c>
      <c r="H466" s="5">
        <v>6</v>
      </c>
      <c r="I466" s="5"/>
    </row>
    <row r="467" spans="1:9">
      <c r="A467" s="5">
        <v>90815</v>
      </c>
      <c r="B467" s="5">
        <v>1</v>
      </c>
      <c r="C467" s="5">
        <v>1</v>
      </c>
      <c r="D467" s="5" t="s">
        <v>177</v>
      </c>
      <c r="E467" s="5" t="s">
        <v>177</v>
      </c>
      <c r="F467" s="5" t="s">
        <v>177</v>
      </c>
      <c r="G467" s="5" t="s">
        <v>177</v>
      </c>
      <c r="H467" s="5" t="s">
        <v>177</v>
      </c>
      <c r="I467" s="5"/>
    </row>
    <row r="468" spans="1:9">
      <c r="A468" s="5">
        <v>91006</v>
      </c>
      <c r="B468" s="5">
        <v>2</v>
      </c>
      <c r="C468" s="5">
        <v>1</v>
      </c>
      <c r="D468" s="5" t="s">
        <v>177</v>
      </c>
      <c r="E468" s="5" t="s">
        <v>177</v>
      </c>
      <c r="F468" s="5" t="s">
        <v>177</v>
      </c>
      <c r="G468" s="5">
        <v>1</v>
      </c>
      <c r="H468" s="5" t="s">
        <v>177</v>
      </c>
      <c r="I468" s="5"/>
    </row>
    <row r="469" spans="1:9">
      <c r="A469" s="5">
        <v>91007</v>
      </c>
      <c r="B469" s="5">
        <v>3</v>
      </c>
      <c r="C469" s="5">
        <v>2</v>
      </c>
      <c r="D469" s="5" t="s">
        <v>177</v>
      </c>
      <c r="E469" s="5" t="s">
        <v>177</v>
      </c>
      <c r="F469" s="5" t="s">
        <v>177</v>
      </c>
      <c r="G469" s="5" t="s">
        <v>177</v>
      </c>
      <c r="H469" s="5">
        <v>1</v>
      </c>
      <c r="I469" s="5"/>
    </row>
    <row r="470" spans="1:9">
      <c r="A470" s="5">
        <v>91008</v>
      </c>
      <c r="B470" s="5">
        <v>1</v>
      </c>
      <c r="C470" s="5" t="s">
        <v>177</v>
      </c>
      <c r="D470" s="5">
        <v>1</v>
      </c>
      <c r="E470" s="5" t="s">
        <v>177</v>
      </c>
      <c r="F470" s="5" t="s">
        <v>177</v>
      </c>
      <c r="G470" s="5" t="s">
        <v>177</v>
      </c>
      <c r="H470" s="5" t="s">
        <v>177</v>
      </c>
      <c r="I470" s="5"/>
    </row>
    <row r="471" spans="1:9">
      <c r="A471" s="5">
        <v>91010</v>
      </c>
      <c r="B471" s="5">
        <v>7</v>
      </c>
      <c r="C471" s="5">
        <v>2</v>
      </c>
      <c r="D471" s="5" t="s">
        <v>177</v>
      </c>
      <c r="E471" s="5">
        <v>3</v>
      </c>
      <c r="F471" s="5" t="s">
        <v>177</v>
      </c>
      <c r="G471" s="5" t="s">
        <v>177</v>
      </c>
      <c r="H471" s="5">
        <v>2</v>
      </c>
      <c r="I471" s="5"/>
    </row>
    <row r="472" spans="1:9">
      <c r="A472" s="5">
        <v>91011</v>
      </c>
      <c r="B472" s="5">
        <v>9</v>
      </c>
      <c r="C472" s="5">
        <v>1</v>
      </c>
      <c r="D472" s="5" t="s">
        <v>177</v>
      </c>
      <c r="E472" s="5">
        <v>3</v>
      </c>
      <c r="F472" s="5" t="s">
        <v>177</v>
      </c>
      <c r="G472" s="5">
        <v>2</v>
      </c>
      <c r="H472" s="5">
        <v>3</v>
      </c>
      <c r="I472" s="5"/>
    </row>
    <row r="473" spans="1:9">
      <c r="A473" s="5">
        <v>91016</v>
      </c>
      <c r="B473" s="5">
        <v>1</v>
      </c>
      <c r="C473" s="5">
        <v>1</v>
      </c>
      <c r="D473" s="5" t="s">
        <v>177</v>
      </c>
      <c r="E473" s="5" t="s">
        <v>177</v>
      </c>
      <c r="F473" s="5" t="s">
        <v>177</v>
      </c>
      <c r="G473" s="5" t="s">
        <v>177</v>
      </c>
      <c r="H473" s="5" t="s">
        <v>177</v>
      </c>
      <c r="I473" s="5"/>
    </row>
    <row r="474" spans="1:9">
      <c r="A474" s="5">
        <v>91020</v>
      </c>
      <c r="B474" s="5">
        <v>3</v>
      </c>
      <c r="C474" s="5" t="s">
        <v>177</v>
      </c>
      <c r="D474" s="5" t="s">
        <v>177</v>
      </c>
      <c r="E474" s="5">
        <v>2</v>
      </c>
      <c r="F474" s="5" t="s">
        <v>177</v>
      </c>
      <c r="G474" s="5">
        <v>1</v>
      </c>
      <c r="H474" s="5" t="s">
        <v>177</v>
      </c>
      <c r="I474" s="5"/>
    </row>
    <row r="475" spans="1:9">
      <c r="A475" s="5">
        <v>91024</v>
      </c>
      <c r="B475" s="5">
        <v>6</v>
      </c>
      <c r="C475" s="5">
        <v>3</v>
      </c>
      <c r="D475" s="5" t="s">
        <v>177</v>
      </c>
      <c r="E475" s="5">
        <v>2</v>
      </c>
      <c r="F475" s="5" t="s">
        <v>177</v>
      </c>
      <c r="G475" s="5" t="s">
        <v>177</v>
      </c>
      <c r="H475" s="5">
        <v>1</v>
      </c>
      <c r="I475" s="5"/>
    </row>
    <row r="476" spans="1:9">
      <c r="A476" s="5">
        <v>91040</v>
      </c>
      <c r="B476" s="5">
        <v>16</v>
      </c>
      <c r="C476" s="5">
        <v>2</v>
      </c>
      <c r="D476" s="5">
        <v>2</v>
      </c>
      <c r="E476" s="5">
        <v>4</v>
      </c>
      <c r="F476" s="5">
        <v>2</v>
      </c>
      <c r="G476" s="5">
        <v>2</v>
      </c>
      <c r="H476" s="5">
        <v>4</v>
      </c>
      <c r="I476" s="5"/>
    </row>
    <row r="477" spans="1:9">
      <c r="A477" s="5">
        <v>91042</v>
      </c>
      <c r="B477" s="5">
        <v>27</v>
      </c>
      <c r="C477" s="5">
        <v>2</v>
      </c>
      <c r="D477" s="5">
        <v>3</v>
      </c>
      <c r="E477" s="5">
        <v>5</v>
      </c>
      <c r="F477" s="5">
        <v>7</v>
      </c>
      <c r="G477" s="5">
        <v>8</v>
      </c>
      <c r="H477" s="5">
        <v>2</v>
      </c>
      <c r="I477" s="5"/>
    </row>
    <row r="478" spans="1:9">
      <c r="A478" s="5">
        <v>91101</v>
      </c>
      <c r="B478" s="5">
        <v>1</v>
      </c>
      <c r="C478" s="5">
        <v>1</v>
      </c>
      <c r="D478" s="5" t="s">
        <v>177</v>
      </c>
      <c r="E478" s="5" t="s">
        <v>177</v>
      </c>
      <c r="F478" s="5" t="s">
        <v>177</v>
      </c>
      <c r="G478" s="5" t="s">
        <v>177</v>
      </c>
      <c r="H478" s="5" t="s">
        <v>177</v>
      </c>
      <c r="I478" s="5"/>
    </row>
    <row r="479" spans="1:9">
      <c r="A479" s="5">
        <v>91103</v>
      </c>
      <c r="B479" s="5">
        <v>2</v>
      </c>
      <c r="C479" s="5">
        <v>1</v>
      </c>
      <c r="D479" s="5" t="s">
        <v>177</v>
      </c>
      <c r="E479" s="5" t="s">
        <v>177</v>
      </c>
      <c r="F479" s="5" t="s">
        <v>177</v>
      </c>
      <c r="G479" s="5" t="s">
        <v>177</v>
      </c>
      <c r="H479" s="5">
        <v>1</v>
      </c>
      <c r="I479" s="5"/>
    </row>
    <row r="480" spans="1:9">
      <c r="A480" s="5">
        <v>91104</v>
      </c>
      <c r="B480" s="5">
        <v>29</v>
      </c>
      <c r="C480" s="5">
        <v>5</v>
      </c>
      <c r="D480" s="5">
        <v>2</v>
      </c>
      <c r="E480" s="5">
        <v>9</v>
      </c>
      <c r="F480" s="5">
        <v>4</v>
      </c>
      <c r="G480" s="5">
        <v>7</v>
      </c>
      <c r="H480" s="5">
        <v>2</v>
      </c>
      <c r="I480" s="5"/>
    </row>
    <row r="481" spans="1:9">
      <c r="A481" s="5">
        <v>91105</v>
      </c>
      <c r="B481" s="5">
        <v>7</v>
      </c>
      <c r="C481" s="5">
        <v>2</v>
      </c>
      <c r="D481" s="5" t="s">
        <v>177</v>
      </c>
      <c r="E481" s="5">
        <v>2</v>
      </c>
      <c r="F481" s="5" t="s">
        <v>177</v>
      </c>
      <c r="G481" s="5">
        <v>1</v>
      </c>
      <c r="H481" s="5">
        <v>2</v>
      </c>
      <c r="I481" s="5"/>
    </row>
    <row r="482" spans="1:9">
      <c r="A482" s="5">
        <v>91106</v>
      </c>
      <c r="B482" s="5">
        <v>1</v>
      </c>
      <c r="C482" s="5" t="s">
        <v>177</v>
      </c>
      <c r="D482" s="5" t="s">
        <v>177</v>
      </c>
      <c r="E482" s="5" t="s">
        <v>177</v>
      </c>
      <c r="F482" s="5">
        <v>1</v>
      </c>
      <c r="G482" s="5" t="s">
        <v>177</v>
      </c>
      <c r="H482" s="5" t="s">
        <v>177</v>
      </c>
      <c r="I482" s="5"/>
    </row>
    <row r="483" spans="1:9">
      <c r="A483" s="5">
        <v>91107</v>
      </c>
      <c r="B483" s="5">
        <v>1</v>
      </c>
      <c r="C483" s="5" t="s">
        <v>177</v>
      </c>
      <c r="D483" s="5">
        <v>1</v>
      </c>
      <c r="E483" s="5" t="s">
        <v>177</v>
      </c>
      <c r="F483" s="5" t="s">
        <v>177</v>
      </c>
      <c r="G483" s="5" t="s">
        <v>177</v>
      </c>
      <c r="H483" s="5" t="s">
        <v>177</v>
      </c>
      <c r="I483" s="5"/>
    </row>
    <row r="484" spans="1:9">
      <c r="A484" s="5">
        <v>91108</v>
      </c>
      <c r="B484" s="5">
        <v>1</v>
      </c>
      <c r="C484" s="5">
        <v>1</v>
      </c>
      <c r="D484" s="5" t="s">
        <v>177</v>
      </c>
      <c r="E484" s="5" t="s">
        <v>177</v>
      </c>
      <c r="F484" s="5" t="s">
        <v>177</v>
      </c>
      <c r="G484" s="5" t="s">
        <v>177</v>
      </c>
      <c r="H484" s="5" t="s">
        <v>177</v>
      </c>
      <c r="I484" s="5"/>
    </row>
    <row r="485" spans="1:9">
      <c r="A485" s="5">
        <v>91201</v>
      </c>
      <c r="B485" s="5">
        <v>1</v>
      </c>
      <c r="C485" s="5">
        <v>1</v>
      </c>
      <c r="D485" s="5" t="s">
        <v>177</v>
      </c>
      <c r="E485" s="5" t="s">
        <v>177</v>
      </c>
      <c r="F485" s="5" t="s">
        <v>177</v>
      </c>
      <c r="G485" s="5" t="s">
        <v>177</v>
      </c>
      <c r="H485" s="5" t="s">
        <v>177</v>
      </c>
      <c r="I485" s="5"/>
    </row>
    <row r="486" spans="1:9">
      <c r="A486" s="5">
        <v>91202</v>
      </c>
      <c r="B486" s="5">
        <v>1</v>
      </c>
      <c r="C486" s="5">
        <v>1</v>
      </c>
      <c r="D486" s="5" t="s">
        <v>177</v>
      </c>
      <c r="E486" s="5" t="s">
        <v>177</v>
      </c>
      <c r="F486" s="5" t="s">
        <v>177</v>
      </c>
      <c r="G486" s="5" t="s">
        <v>177</v>
      </c>
      <c r="H486" s="5" t="s">
        <v>177</v>
      </c>
      <c r="I486" s="5"/>
    </row>
    <row r="487" spans="1:9">
      <c r="A487" s="5">
        <v>91207</v>
      </c>
      <c r="B487" s="5">
        <v>2</v>
      </c>
      <c r="C487" s="5" t="s">
        <v>177</v>
      </c>
      <c r="D487" s="5" t="s">
        <v>177</v>
      </c>
      <c r="E487" s="5" t="s">
        <v>177</v>
      </c>
      <c r="F487" s="5" t="s">
        <v>177</v>
      </c>
      <c r="G487" s="5">
        <v>1</v>
      </c>
      <c r="H487" s="5">
        <v>1</v>
      </c>
      <c r="I487" s="5"/>
    </row>
    <row r="488" spans="1:9">
      <c r="A488" s="5">
        <v>91208</v>
      </c>
      <c r="B488" s="5">
        <v>4</v>
      </c>
      <c r="C488" s="5">
        <v>3</v>
      </c>
      <c r="D488" s="5" t="s">
        <v>177</v>
      </c>
      <c r="E488" s="5" t="s">
        <v>177</v>
      </c>
      <c r="F488" s="5">
        <v>1</v>
      </c>
      <c r="G488" s="5" t="s">
        <v>177</v>
      </c>
      <c r="H488" s="5" t="s">
        <v>177</v>
      </c>
      <c r="I488" s="5"/>
    </row>
    <row r="489" spans="1:9">
      <c r="A489" s="5">
        <v>91210</v>
      </c>
      <c r="B489" s="5">
        <v>1</v>
      </c>
      <c r="C489" s="5" t="s">
        <v>177</v>
      </c>
      <c r="D489" s="5" t="s">
        <v>177</v>
      </c>
      <c r="E489" s="5" t="s">
        <v>177</v>
      </c>
      <c r="F489" s="5" t="s">
        <v>177</v>
      </c>
      <c r="G489" s="5" t="s">
        <v>177</v>
      </c>
      <c r="H489" s="5">
        <v>1</v>
      </c>
      <c r="I489" s="5"/>
    </row>
    <row r="490" spans="1:9">
      <c r="A490" s="5">
        <v>91214</v>
      </c>
      <c r="B490" s="5">
        <v>14</v>
      </c>
      <c r="C490" s="5">
        <v>4</v>
      </c>
      <c r="D490" s="5">
        <v>1</v>
      </c>
      <c r="E490" s="5">
        <v>2</v>
      </c>
      <c r="F490" s="5">
        <v>2</v>
      </c>
      <c r="G490" s="5">
        <v>5</v>
      </c>
      <c r="H490" s="5" t="s">
        <v>177</v>
      </c>
      <c r="I490" s="5"/>
    </row>
    <row r="491" spans="1:9">
      <c r="A491" s="5">
        <v>91301</v>
      </c>
      <c r="B491" s="5">
        <v>49</v>
      </c>
      <c r="C491" s="5">
        <v>5</v>
      </c>
      <c r="D491" s="5">
        <v>4</v>
      </c>
      <c r="E491" s="5">
        <v>2</v>
      </c>
      <c r="F491" s="5">
        <v>12</v>
      </c>
      <c r="G491" s="5">
        <v>10</v>
      </c>
      <c r="H491" s="5">
        <v>16</v>
      </c>
      <c r="I491" s="5"/>
    </row>
    <row r="492" spans="1:9">
      <c r="A492" s="5">
        <v>91302</v>
      </c>
      <c r="B492" s="5">
        <v>1</v>
      </c>
      <c r="C492" s="5">
        <v>1</v>
      </c>
      <c r="D492" s="5" t="s">
        <v>177</v>
      </c>
      <c r="E492" s="5" t="s">
        <v>177</v>
      </c>
      <c r="F492" s="5" t="s">
        <v>177</v>
      </c>
      <c r="G492" s="5" t="s">
        <v>177</v>
      </c>
      <c r="H492" s="5" t="s">
        <v>177</v>
      </c>
      <c r="I492" s="5"/>
    </row>
    <row r="493" spans="1:9">
      <c r="A493" s="5">
        <v>91304</v>
      </c>
      <c r="B493" s="5">
        <v>3</v>
      </c>
      <c r="C493" s="5" t="s">
        <v>177</v>
      </c>
      <c r="D493" s="5" t="s">
        <v>177</v>
      </c>
      <c r="E493" s="5">
        <v>1</v>
      </c>
      <c r="F493" s="5">
        <v>1</v>
      </c>
      <c r="G493" s="5" t="s">
        <v>177</v>
      </c>
      <c r="H493" s="5">
        <v>1</v>
      </c>
      <c r="I493" s="5"/>
    </row>
    <row r="494" spans="1:9">
      <c r="A494" s="5">
        <v>91306</v>
      </c>
      <c r="B494" s="5">
        <v>3</v>
      </c>
      <c r="C494" s="5">
        <v>1</v>
      </c>
      <c r="D494" s="5" t="s">
        <v>177</v>
      </c>
      <c r="E494" s="5" t="s">
        <v>177</v>
      </c>
      <c r="F494" s="5">
        <v>2</v>
      </c>
      <c r="G494" s="5" t="s">
        <v>177</v>
      </c>
      <c r="H494" s="5" t="s">
        <v>177</v>
      </c>
      <c r="I494" s="5"/>
    </row>
    <row r="495" spans="1:9">
      <c r="A495" s="5">
        <v>91307</v>
      </c>
      <c r="B495" s="5">
        <v>1</v>
      </c>
      <c r="C495" s="5">
        <v>1</v>
      </c>
      <c r="D495" s="5" t="s">
        <v>177</v>
      </c>
      <c r="E495" s="5" t="s">
        <v>177</v>
      </c>
      <c r="F495" s="5" t="s">
        <v>177</v>
      </c>
      <c r="G495" s="5" t="s">
        <v>177</v>
      </c>
      <c r="H495" s="5" t="s">
        <v>177</v>
      </c>
      <c r="I495" s="5"/>
    </row>
    <row r="496" spans="1:9">
      <c r="A496" s="5">
        <v>91311</v>
      </c>
      <c r="B496" s="5">
        <v>3</v>
      </c>
      <c r="C496" s="5">
        <v>1</v>
      </c>
      <c r="D496" s="5">
        <v>1</v>
      </c>
      <c r="E496" s="5" t="s">
        <v>177</v>
      </c>
      <c r="F496" s="5">
        <v>1</v>
      </c>
      <c r="G496" s="5" t="s">
        <v>177</v>
      </c>
      <c r="H496" s="5" t="s">
        <v>177</v>
      </c>
      <c r="I496" s="5"/>
    </row>
    <row r="497" spans="1:9">
      <c r="A497" s="5">
        <v>91316</v>
      </c>
      <c r="B497" s="5">
        <v>63</v>
      </c>
      <c r="C497" s="5">
        <v>13</v>
      </c>
      <c r="D497" s="5">
        <v>9</v>
      </c>
      <c r="E497" s="5">
        <v>5</v>
      </c>
      <c r="F497" s="5">
        <v>18</v>
      </c>
      <c r="G497" s="5">
        <v>8</v>
      </c>
      <c r="H497" s="5">
        <v>10</v>
      </c>
      <c r="I497" s="5"/>
    </row>
    <row r="498" spans="1:9">
      <c r="A498" s="5">
        <v>91320</v>
      </c>
      <c r="B498" s="5">
        <v>1</v>
      </c>
      <c r="C498" s="5" t="s">
        <v>177</v>
      </c>
      <c r="D498" s="5">
        <v>1</v>
      </c>
      <c r="E498" s="5" t="s">
        <v>177</v>
      </c>
      <c r="F498" s="5" t="s">
        <v>177</v>
      </c>
      <c r="G498" s="5" t="s">
        <v>177</v>
      </c>
      <c r="H498" s="5" t="s">
        <v>177</v>
      </c>
      <c r="I498" s="5"/>
    </row>
    <row r="499" spans="1:9">
      <c r="A499" s="5">
        <v>91321</v>
      </c>
      <c r="B499" s="5">
        <v>24</v>
      </c>
      <c r="C499" s="5">
        <v>4</v>
      </c>
      <c r="D499" s="5" t="s">
        <v>177</v>
      </c>
      <c r="E499" s="5">
        <v>9</v>
      </c>
      <c r="F499" s="5">
        <v>3</v>
      </c>
      <c r="G499" s="5">
        <v>6</v>
      </c>
      <c r="H499" s="5">
        <v>2</v>
      </c>
      <c r="I499" s="5"/>
    </row>
    <row r="500" spans="1:9">
      <c r="A500" s="5">
        <v>91324</v>
      </c>
      <c r="B500" s="5">
        <v>1</v>
      </c>
      <c r="C500" s="5">
        <v>1</v>
      </c>
      <c r="D500" s="5" t="s">
        <v>177</v>
      </c>
      <c r="E500" s="5" t="s">
        <v>177</v>
      </c>
      <c r="F500" s="5" t="s">
        <v>177</v>
      </c>
      <c r="G500" s="5" t="s">
        <v>177</v>
      </c>
      <c r="H500" s="5" t="s">
        <v>177</v>
      </c>
      <c r="I500" s="5"/>
    </row>
    <row r="501" spans="1:9">
      <c r="A501" s="5">
        <v>91325</v>
      </c>
      <c r="B501" s="5">
        <v>1</v>
      </c>
      <c r="C501" s="5" t="s">
        <v>177</v>
      </c>
      <c r="D501" s="5" t="s">
        <v>177</v>
      </c>
      <c r="E501" s="5" t="s">
        <v>177</v>
      </c>
      <c r="F501" s="5" t="s">
        <v>177</v>
      </c>
      <c r="G501" s="5" t="s">
        <v>177</v>
      </c>
      <c r="H501" s="5">
        <v>1</v>
      </c>
      <c r="I501" s="5"/>
    </row>
    <row r="502" spans="1:9">
      <c r="A502" s="5">
        <v>91330</v>
      </c>
      <c r="B502" s="5">
        <v>1</v>
      </c>
      <c r="C502" s="5" t="s">
        <v>177</v>
      </c>
      <c r="D502" s="5" t="s">
        <v>177</v>
      </c>
      <c r="E502" s="5" t="s">
        <v>177</v>
      </c>
      <c r="F502" s="5" t="s">
        <v>177</v>
      </c>
      <c r="G502" s="5">
        <v>1</v>
      </c>
      <c r="H502" s="5" t="s">
        <v>177</v>
      </c>
      <c r="I502" s="5"/>
    </row>
    <row r="503" spans="1:9">
      <c r="A503" s="5">
        <v>91331</v>
      </c>
      <c r="B503" s="5">
        <v>1</v>
      </c>
      <c r="C503" s="5" t="s">
        <v>177</v>
      </c>
      <c r="D503" s="5" t="s">
        <v>177</v>
      </c>
      <c r="E503" s="5">
        <v>1</v>
      </c>
      <c r="F503" s="5" t="s">
        <v>177</v>
      </c>
      <c r="G503" s="5" t="s">
        <v>177</v>
      </c>
      <c r="H503" s="5" t="s">
        <v>177</v>
      </c>
      <c r="I503" s="5"/>
    </row>
    <row r="504" spans="1:9">
      <c r="A504" s="5">
        <v>91335</v>
      </c>
      <c r="B504" s="5">
        <v>4</v>
      </c>
      <c r="C504" s="5" t="s">
        <v>177</v>
      </c>
      <c r="D504" s="5">
        <v>2</v>
      </c>
      <c r="E504" s="5">
        <v>1</v>
      </c>
      <c r="F504" s="5">
        <v>1</v>
      </c>
      <c r="G504" s="5" t="s">
        <v>177</v>
      </c>
      <c r="H504" s="5" t="s">
        <v>177</v>
      </c>
      <c r="I504" s="5"/>
    </row>
    <row r="505" spans="1:9">
      <c r="A505" s="5">
        <v>91340</v>
      </c>
      <c r="B505" s="5">
        <v>48</v>
      </c>
      <c r="C505" s="5">
        <v>4</v>
      </c>
      <c r="D505" s="5">
        <v>7</v>
      </c>
      <c r="E505" s="5">
        <v>6</v>
      </c>
      <c r="F505" s="5">
        <v>8</v>
      </c>
      <c r="G505" s="5">
        <v>9</v>
      </c>
      <c r="H505" s="5">
        <v>14</v>
      </c>
      <c r="I505" s="5"/>
    </row>
    <row r="506" spans="1:9">
      <c r="A506" s="5">
        <v>91342</v>
      </c>
      <c r="B506" s="5">
        <v>139</v>
      </c>
      <c r="C506" s="5">
        <v>18</v>
      </c>
      <c r="D506" s="5">
        <v>12</v>
      </c>
      <c r="E506" s="5">
        <v>43</v>
      </c>
      <c r="F506" s="5">
        <v>10</v>
      </c>
      <c r="G506" s="5">
        <v>31</v>
      </c>
      <c r="H506" s="5">
        <v>25</v>
      </c>
      <c r="I506" s="5"/>
    </row>
    <row r="507" spans="1:9">
      <c r="A507" s="5">
        <v>91343</v>
      </c>
      <c r="B507" s="5">
        <v>1</v>
      </c>
      <c r="C507" s="5" t="s">
        <v>177</v>
      </c>
      <c r="D507" s="5" t="s">
        <v>177</v>
      </c>
      <c r="E507" s="5">
        <v>1</v>
      </c>
      <c r="F507" s="5" t="s">
        <v>177</v>
      </c>
      <c r="G507" s="5" t="s">
        <v>177</v>
      </c>
      <c r="H507" s="5" t="s">
        <v>177</v>
      </c>
      <c r="I507" s="5"/>
    </row>
    <row r="508" spans="1:9">
      <c r="A508" s="5">
        <v>91345</v>
      </c>
      <c r="B508" s="5">
        <v>1</v>
      </c>
      <c r="C508" s="5">
        <v>1</v>
      </c>
      <c r="D508" s="5" t="s">
        <v>177</v>
      </c>
      <c r="E508" s="5" t="s">
        <v>177</v>
      </c>
      <c r="F508" s="5" t="s">
        <v>177</v>
      </c>
      <c r="G508" s="5" t="s">
        <v>177</v>
      </c>
      <c r="H508" s="5" t="s">
        <v>177</v>
      </c>
      <c r="I508" s="5"/>
    </row>
    <row r="509" spans="1:9">
      <c r="A509" s="5">
        <v>91350</v>
      </c>
      <c r="B509" s="5">
        <v>44</v>
      </c>
      <c r="C509" s="5">
        <v>11</v>
      </c>
      <c r="D509" s="5">
        <v>2</v>
      </c>
      <c r="E509" s="5">
        <v>7</v>
      </c>
      <c r="F509" s="5">
        <v>6</v>
      </c>
      <c r="G509" s="5">
        <v>11</v>
      </c>
      <c r="H509" s="5">
        <v>7</v>
      </c>
      <c r="I509" s="5"/>
    </row>
    <row r="510" spans="1:9">
      <c r="A510" s="5">
        <v>91351</v>
      </c>
      <c r="B510" s="5">
        <v>41</v>
      </c>
      <c r="C510" s="5">
        <v>12</v>
      </c>
      <c r="D510" s="5">
        <v>1</v>
      </c>
      <c r="E510" s="5">
        <v>12</v>
      </c>
      <c r="F510" s="5">
        <v>5</v>
      </c>
      <c r="G510" s="5">
        <v>4</v>
      </c>
      <c r="H510" s="5">
        <v>7</v>
      </c>
      <c r="I510" s="5"/>
    </row>
    <row r="511" spans="1:9">
      <c r="A511" s="5">
        <v>91352</v>
      </c>
      <c r="B511" s="5">
        <v>1</v>
      </c>
      <c r="C511" s="5">
        <v>1</v>
      </c>
      <c r="D511" s="5" t="s">
        <v>177</v>
      </c>
      <c r="E511" s="5" t="s">
        <v>177</v>
      </c>
      <c r="F511" s="5" t="s">
        <v>177</v>
      </c>
      <c r="G511" s="5" t="s">
        <v>177</v>
      </c>
      <c r="H511" s="5" t="s">
        <v>177</v>
      </c>
      <c r="I511" s="5"/>
    </row>
    <row r="512" spans="1:9">
      <c r="A512" s="5">
        <v>91354</v>
      </c>
      <c r="B512" s="5">
        <v>49</v>
      </c>
      <c r="C512" s="5">
        <v>12</v>
      </c>
      <c r="D512" s="5">
        <v>2</v>
      </c>
      <c r="E512" s="5">
        <v>12</v>
      </c>
      <c r="F512" s="5">
        <v>9</v>
      </c>
      <c r="G512" s="5">
        <v>8</v>
      </c>
      <c r="H512" s="5">
        <v>6</v>
      </c>
      <c r="I512" s="5"/>
    </row>
    <row r="513" spans="1:9">
      <c r="A513" s="5">
        <v>91355</v>
      </c>
      <c r="B513" s="5">
        <v>21</v>
      </c>
      <c r="C513" s="5">
        <v>5</v>
      </c>
      <c r="D513" s="5" t="s">
        <v>177</v>
      </c>
      <c r="E513" s="5">
        <v>6</v>
      </c>
      <c r="F513" s="5">
        <v>3</v>
      </c>
      <c r="G513" s="5">
        <v>4</v>
      </c>
      <c r="H513" s="5">
        <v>3</v>
      </c>
      <c r="I513" s="5"/>
    </row>
    <row r="514" spans="1:9">
      <c r="A514" s="5">
        <v>91356</v>
      </c>
      <c r="B514" s="5">
        <v>1</v>
      </c>
      <c r="C514" s="5">
        <v>1</v>
      </c>
      <c r="D514" s="5" t="s">
        <v>177</v>
      </c>
      <c r="E514" s="5" t="s">
        <v>177</v>
      </c>
      <c r="F514" s="5" t="s">
        <v>177</v>
      </c>
      <c r="G514" s="5" t="s">
        <v>177</v>
      </c>
      <c r="H514" s="5" t="s">
        <v>177</v>
      </c>
      <c r="I514" s="5"/>
    </row>
    <row r="515" spans="1:9">
      <c r="A515" s="5">
        <v>91360</v>
      </c>
      <c r="B515" s="5">
        <v>5</v>
      </c>
      <c r="C515" s="5">
        <v>3</v>
      </c>
      <c r="D515" s="5">
        <v>2</v>
      </c>
      <c r="E515" s="5" t="s">
        <v>177</v>
      </c>
      <c r="F515" s="5" t="s">
        <v>177</v>
      </c>
      <c r="G515" s="5" t="s">
        <v>177</v>
      </c>
      <c r="H515" s="5" t="s">
        <v>177</v>
      </c>
      <c r="I515" s="5"/>
    </row>
    <row r="516" spans="1:9">
      <c r="A516" s="5">
        <v>91361</v>
      </c>
      <c r="B516" s="5">
        <v>1</v>
      </c>
      <c r="C516" s="5" t="s">
        <v>177</v>
      </c>
      <c r="D516" s="5">
        <v>1</v>
      </c>
      <c r="E516" s="5" t="s">
        <v>177</v>
      </c>
      <c r="F516" s="5" t="s">
        <v>177</v>
      </c>
      <c r="G516" s="5" t="s">
        <v>177</v>
      </c>
      <c r="H516" s="5" t="s">
        <v>177</v>
      </c>
      <c r="I516" s="5"/>
    </row>
    <row r="517" spans="1:9">
      <c r="A517" s="5">
        <v>91362</v>
      </c>
      <c r="B517" s="5">
        <v>1</v>
      </c>
      <c r="C517" s="5" t="s">
        <v>177</v>
      </c>
      <c r="D517" s="5">
        <v>1</v>
      </c>
      <c r="E517" s="5" t="s">
        <v>177</v>
      </c>
      <c r="F517" s="5" t="s">
        <v>177</v>
      </c>
      <c r="G517" s="5" t="s">
        <v>177</v>
      </c>
      <c r="H517" s="5" t="s">
        <v>177</v>
      </c>
      <c r="I517" s="5"/>
    </row>
    <row r="518" spans="1:9">
      <c r="A518" s="5">
        <v>91364</v>
      </c>
      <c r="B518" s="5">
        <v>3</v>
      </c>
      <c r="C518" s="5">
        <v>1</v>
      </c>
      <c r="D518" s="5">
        <v>1</v>
      </c>
      <c r="E518" s="5" t="s">
        <v>177</v>
      </c>
      <c r="F518" s="5">
        <v>1</v>
      </c>
      <c r="G518" s="5" t="s">
        <v>177</v>
      </c>
      <c r="H518" s="5" t="s">
        <v>177</v>
      </c>
      <c r="I518" s="5"/>
    </row>
    <row r="519" spans="1:9">
      <c r="A519" s="5">
        <v>91367</v>
      </c>
      <c r="B519" s="5">
        <v>3</v>
      </c>
      <c r="C519" s="5">
        <v>1</v>
      </c>
      <c r="D519" s="5" t="s">
        <v>177</v>
      </c>
      <c r="E519" s="5" t="s">
        <v>177</v>
      </c>
      <c r="F519" s="5" t="s">
        <v>177</v>
      </c>
      <c r="G519" s="5">
        <v>1</v>
      </c>
      <c r="H519" s="5">
        <v>1</v>
      </c>
      <c r="I519" s="5"/>
    </row>
    <row r="520" spans="1:9">
      <c r="A520" s="5">
        <v>91377</v>
      </c>
      <c r="B520" s="5">
        <v>29</v>
      </c>
      <c r="C520" s="5">
        <v>7</v>
      </c>
      <c r="D520" s="5">
        <v>10</v>
      </c>
      <c r="E520" s="5">
        <v>3</v>
      </c>
      <c r="F520" s="5">
        <v>4</v>
      </c>
      <c r="G520" s="5">
        <v>2</v>
      </c>
      <c r="H520" s="5">
        <v>3</v>
      </c>
      <c r="I520" s="5"/>
    </row>
    <row r="521" spans="1:9">
      <c r="A521" s="5">
        <v>91381</v>
      </c>
      <c r="B521" s="5">
        <v>22</v>
      </c>
      <c r="C521" s="5">
        <v>2</v>
      </c>
      <c r="D521" s="5">
        <v>3</v>
      </c>
      <c r="E521" s="5">
        <v>6</v>
      </c>
      <c r="F521" s="5">
        <v>3</v>
      </c>
      <c r="G521" s="5">
        <v>6</v>
      </c>
      <c r="H521" s="5">
        <v>2</v>
      </c>
      <c r="I521" s="5"/>
    </row>
    <row r="522" spans="1:9">
      <c r="A522" s="5">
        <v>91384</v>
      </c>
      <c r="B522" s="5">
        <v>3</v>
      </c>
      <c r="C522" s="5" t="s">
        <v>177</v>
      </c>
      <c r="D522" s="5" t="s">
        <v>177</v>
      </c>
      <c r="E522" s="5" t="s">
        <v>177</v>
      </c>
      <c r="F522" s="5" t="s">
        <v>177</v>
      </c>
      <c r="G522" s="5">
        <v>1</v>
      </c>
      <c r="H522" s="5">
        <v>2</v>
      </c>
      <c r="I522" s="5"/>
    </row>
    <row r="523" spans="1:9">
      <c r="A523" s="5">
        <v>91387</v>
      </c>
      <c r="B523" s="5">
        <v>10</v>
      </c>
      <c r="C523" s="5" t="s">
        <v>177</v>
      </c>
      <c r="D523" s="5">
        <v>2</v>
      </c>
      <c r="E523" s="5">
        <v>2</v>
      </c>
      <c r="F523" s="5">
        <v>3</v>
      </c>
      <c r="G523" s="5">
        <v>2</v>
      </c>
      <c r="H523" s="5">
        <v>1</v>
      </c>
      <c r="I523" s="5"/>
    </row>
    <row r="524" spans="1:9">
      <c r="A524" s="5">
        <v>91390</v>
      </c>
      <c r="B524" s="5">
        <v>97</v>
      </c>
      <c r="C524" s="5">
        <v>17</v>
      </c>
      <c r="D524" s="5">
        <v>9</v>
      </c>
      <c r="E524" s="5">
        <v>16</v>
      </c>
      <c r="F524" s="5">
        <v>5</v>
      </c>
      <c r="G524" s="5">
        <v>11</v>
      </c>
      <c r="H524" s="5">
        <v>39</v>
      </c>
      <c r="I524" s="5"/>
    </row>
    <row r="525" spans="1:9">
      <c r="A525" s="5">
        <v>91401</v>
      </c>
      <c r="B525" s="5">
        <v>1</v>
      </c>
      <c r="C525" s="5">
        <v>1</v>
      </c>
      <c r="D525" s="5" t="s">
        <v>177</v>
      </c>
      <c r="E525" s="5" t="s">
        <v>177</v>
      </c>
      <c r="F525" s="5" t="s">
        <v>177</v>
      </c>
      <c r="G525" s="5" t="s">
        <v>177</v>
      </c>
      <c r="H525" s="5" t="s">
        <v>177</v>
      </c>
      <c r="I525" s="5"/>
    </row>
    <row r="526" spans="1:9">
      <c r="A526" s="5">
        <v>91402</v>
      </c>
      <c r="B526" s="5">
        <v>2</v>
      </c>
      <c r="C526" s="5">
        <v>1</v>
      </c>
      <c r="D526" s="5">
        <v>1</v>
      </c>
      <c r="E526" s="5" t="s">
        <v>177</v>
      </c>
      <c r="F526" s="5" t="s">
        <v>177</v>
      </c>
      <c r="G526" s="5" t="s">
        <v>177</v>
      </c>
      <c r="H526" s="5" t="s">
        <v>177</v>
      </c>
      <c r="I526" s="5"/>
    </row>
    <row r="527" spans="1:9">
      <c r="A527" s="5">
        <v>91403</v>
      </c>
      <c r="B527" s="5">
        <v>1</v>
      </c>
      <c r="C527" s="5" t="s">
        <v>177</v>
      </c>
      <c r="D527" s="5" t="s">
        <v>177</v>
      </c>
      <c r="E527" s="5" t="s">
        <v>177</v>
      </c>
      <c r="F527" s="5">
        <v>1</v>
      </c>
      <c r="G527" s="5" t="s">
        <v>177</v>
      </c>
      <c r="H527" s="5" t="s">
        <v>177</v>
      </c>
      <c r="I527" s="5"/>
    </row>
    <row r="528" spans="1:9">
      <c r="A528" s="5">
        <v>91405</v>
      </c>
      <c r="B528" s="5">
        <v>4</v>
      </c>
      <c r="C528" s="5">
        <v>1</v>
      </c>
      <c r="D528" s="5">
        <v>1</v>
      </c>
      <c r="E528" s="5" t="s">
        <v>177</v>
      </c>
      <c r="F528" s="5">
        <v>1</v>
      </c>
      <c r="G528" s="5">
        <v>1</v>
      </c>
      <c r="H528" s="5" t="s">
        <v>177</v>
      </c>
      <c r="I528" s="5"/>
    </row>
    <row r="529" spans="1:9">
      <c r="A529" s="5">
        <v>91406</v>
      </c>
      <c r="B529" s="5">
        <v>2</v>
      </c>
      <c r="C529" s="5" t="s">
        <v>177</v>
      </c>
      <c r="D529" s="5">
        <v>1</v>
      </c>
      <c r="E529" s="5">
        <v>1</v>
      </c>
      <c r="F529" s="5" t="s">
        <v>177</v>
      </c>
      <c r="G529" s="5" t="s">
        <v>177</v>
      </c>
      <c r="H529" s="5" t="s">
        <v>177</v>
      </c>
      <c r="I529" s="5"/>
    </row>
    <row r="530" spans="1:9">
      <c r="A530" s="5">
        <v>91411</v>
      </c>
      <c r="B530" s="5">
        <v>1</v>
      </c>
      <c r="C530" s="5" t="s">
        <v>177</v>
      </c>
      <c r="D530" s="5">
        <v>1</v>
      </c>
      <c r="E530" s="5" t="s">
        <v>177</v>
      </c>
      <c r="F530" s="5" t="s">
        <v>177</v>
      </c>
      <c r="G530" s="5" t="s">
        <v>177</v>
      </c>
      <c r="H530" s="5" t="s">
        <v>177</v>
      </c>
      <c r="I530" s="5"/>
    </row>
    <row r="531" spans="1:9">
      <c r="A531" s="5">
        <v>91423</v>
      </c>
      <c r="B531" s="5">
        <v>1</v>
      </c>
      <c r="C531" s="5" t="s">
        <v>177</v>
      </c>
      <c r="D531" s="5" t="s">
        <v>177</v>
      </c>
      <c r="E531" s="5" t="s">
        <v>177</v>
      </c>
      <c r="F531" s="5" t="s">
        <v>177</v>
      </c>
      <c r="G531" s="5" t="s">
        <v>177</v>
      </c>
      <c r="H531" s="5">
        <v>1</v>
      </c>
      <c r="I531" s="5"/>
    </row>
    <row r="532" spans="1:9">
      <c r="A532" s="5">
        <v>91436</v>
      </c>
      <c r="B532" s="5">
        <v>1</v>
      </c>
      <c r="C532" s="5" t="s">
        <v>177</v>
      </c>
      <c r="D532" s="5" t="s">
        <v>177</v>
      </c>
      <c r="E532" s="5" t="s">
        <v>177</v>
      </c>
      <c r="F532" s="5">
        <v>1</v>
      </c>
      <c r="G532" s="5" t="s">
        <v>177</v>
      </c>
      <c r="H532" s="5" t="s">
        <v>177</v>
      </c>
      <c r="I532" s="5"/>
    </row>
    <row r="533" spans="1:9">
      <c r="A533" s="5">
        <v>91501</v>
      </c>
      <c r="B533" s="5">
        <v>7</v>
      </c>
      <c r="C533" s="5">
        <v>1</v>
      </c>
      <c r="D533" s="5" t="s">
        <v>177</v>
      </c>
      <c r="E533" s="5">
        <v>3</v>
      </c>
      <c r="F533" s="5">
        <v>2</v>
      </c>
      <c r="G533" s="5">
        <v>1</v>
      </c>
      <c r="H533" s="5" t="s">
        <v>177</v>
      </c>
      <c r="I533" s="5"/>
    </row>
    <row r="534" spans="1:9">
      <c r="A534" s="5">
        <v>91502</v>
      </c>
      <c r="B534" s="5">
        <v>1</v>
      </c>
      <c r="C534" s="5" t="s">
        <v>177</v>
      </c>
      <c r="D534" s="5" t="s">
        <v>177</v>
      </c>
      <c r="E534" s="5">
        <v>1</v>
      </c>
      <c r="F534" s="5" t="s">
        <v>177</v>
      </c>
      <c r="G534" s="5" t="s">
        <v>177</v>
      </c>
      <c r="H534" s="5" t="s">
        <v>177</v>
      </c>
      <c r="I534" s="5"/>
    </row>
    <row r="535" spans="1:9">
      <c r="A535" s="5">
        <v>91504</v>
      </c>
      <c r="B535" s="5">
        <v>1</v>
      </c>
      <c r="C535" s="5">
        <v>1</v>
      </c>
      <c r="D535" s="5" t="s">
        <v>177</v>
      </c>
      <c r="E535" s="5" t="s">
        <v>177</v>
      </c>
      <c r="F535" s="5" t="s">
        <v>177</v>
      </c>
      <c r="G535" s="5" t="s">
        <v>177</v>
      </c>
      <c r="H535" s="5" t="s">
        <v>177</v>
      </c>
      <c r="I535" s="5"/>
    </row>
    <row r="536" spans="1:9">
      <c r="A536" s="5">
        <v>91601</v>
      </c>
      <c r="B536" s="5">
        <v>23</v>
      </c>
      <c r="C536" s="5">
        <v>4</v>
      </c>
      <c r="D536" s="5">
        <v>3</v>
      </c>
      <c r="E536" s="5">
        <v>6</v>
      </c>
      <c r="F536" s="5">
        <v>1</v>
      </c>
      <c r="G536" s="5">
        <v>5</v>
      </c>
      <c r="H536" s="5">
        <v>4</v>
      </c>
      <c r="I536" s="5"/>
    </row>
    <row r="537" spans="1:9">
      <c r="A537" s="5">
        <v>91602</v>
      </c>
      <c r="B537" s="5">
        <v>1</v>
      </c>
      <c r="C537" s="5" t="s">
        <v>177</v>
      </c>
      <c r="D537" s="5" t="s">
        <v>177</v>
      </c>
      <c r="E537" s="5" t="s">
        <v>177</v>
      </c>
      <c r="F537" s="5">
        <v>1</v>
      </c>
      <c r="G537" s="5" t="s">
        <v>177</v>
      </c>
      <c r="H537" s="5" t="s">
        <v>177</v>
      </c>
      <c r="I537" s="5"/>
    </row>
    <row r="538" spans="1:9">
      <c r="A538" s="5">
        <v>91604</v>
      </c>
      <c r="B538" s="5">
        <v>2</v>
      </c>
      <c r="C538" s="5">
        <v>1</v>
      </c>
      <c r="D538" s="5" t="s">
        <v>177</v>
      </c>
      <c r="E538" s="5">
        <v>1</v>
      </c>
      <c r="F538" s="5" t="s">
        <v>177</v>
      </c>
      <c r="G538" s="5" t="s">
        <v>177</v>
      </c>
      <c r="H538" s="5" t="s">
        <v>177</v>
      </c>
      <c r="I538" s="5"/>
    </row>
    <row r="539" spans="1:9">
      <c r="A539" s="5">
        <v>91605</v>
      </c>
      <c r="B539" s="5">
        <v>2</v>
      </c>
      <c r="C539" s="5">
        <v>1</v>
      </c>
      <c r="D539" s="5">
        <v>1</v>
      </c>
      <c r="E539" s="5" t="s">
        <v>177</v>
      </c>
      <c r="F539" s="5" t="s">
        <v>177</v>
      </c>
      <c r="G539" s="5" t="s">
        <v>177</v>
      </c>
      <c r="H539" s="5" t="s">
        <v>177</v>
      </c>
      <c r="I539" s="5"/>
    </row>
    <row r="540" spans="1:9">
      <c r="A540" s="5">
        <v>91606</v>
      </c>
      <c r="B540" s="5">
        <v>24</v>
      </c>
      <c r="C540" s="5">
        <v>7</v>
      </c>
      <c r="D540" s="5">
        <v>3</v>
      </c>
      <c r="E540" s="5">
        <v>3</v>
      </c>
      <c r="F540" s="5">
        <v>3</v>
      </c>
      <c r="G540" s="5">
        <v>4</v>
      </c>
      <c r="H540" s="5">
        <v>4</v>
      </c>
      <c r="I540" s="5"/>
    </row>
    <row r="541" spans="1:9">
      <c r="A541" s="5">
        <v>91607</v>
      </c>
      <c r="B541" s="5">
        <v>2</v>
      </c>
      <c r="C541" s="5">
        <v>1</v>
      </c>
      <c r="D541" s="5" t="s">
        <v>177</v>
      </c>
      <c r="E541" s="5" t="s">
        <v>177</v>
      </c>
      <c r="F541" s="5">
        <v>1</v>
      </c>
      <c r="G541" s="5" t="s">
        <v>177</v>
      </c>
      <c r="H541" s="5" t="s">
        <v>177</v>
      </c>
      <c r="I541" s="5"/>
    </row>
    <row r="542" spans="1:9">
      <c r="A542" s="5">
        <v>91608</v>
      </c>
      <c r="B542" s="5">
        <v>3</v>
      </c>
      <c r="C542" s="5">
        <v>2</v>
      </c>
      <c r="D542" s="5">
        <v>1</v>
      </c>
      <c r="E542" s="5" t="s">
        <v>177</v>
      </c>
      <c r="F542" s="5" t="s">
        <v>177</v>
      </c>
      <c r="G542" s="5" t="s">
        <v>177</v>
      </c>
      <c r="H542" s="5" t="s">
        <v>177</v>
      </c>
      <c r="I542" s="5"/>
    </row>
    <row r="543" spans="1:9">
      <c r="A543" s="5">
        <v>91701</v>
      </c>
      <c r="B543" s="5">
        <v>4</v>
      </c>
      <c r="C543" s="5">
        <v>1</v>
      </c>
      <c r="D543" s="5">
        <v>1</v>
      </c>
      <c r="E543" s="5">
        <v>2</v>
      </c>
      <c r="F543" s="5" t="s">
        <v>177</v>
      </c>
      <c r="G543" s="5" t="s">
        <v>177</v>
      </c>
      <c r="H543" s="5" t="s">
        <v>177</v>
      </c>
      <c r="I543" s="5"/>
    </row>
    <row r="544" spans="1:9">
      <c r="A544" s="5">
        <v>91702</v>
      </c>
      <c r="B544" s="5">
        <v>64</v>
      </c>
      <c r="C544" s="5">
        <v>9</v>
      </c>
      <c r="D544" s="5">
        <v>4</v>
      </c>
      <c r="E544" s="5">
        <v>16</v>
      </c>
      <c r="F544" s="5">
        <v>10</v>
      </c>
      <c r="G544" s="5">
        <v>14</v>
      </c>
      <c r="H544" s="5">
        <v>11</v>
      </c>
      <c r="I544" s="5"/>
    </row>
    <row r="545" spans="1:9">
      <c r="A545" s="5">
        <v>91706</v>
      </c>
      <c r="B545" s="5">
        <v>8</v>
      </c>
      <c r="C545" s="5">
        <v>1</v>
      </c>
      <c r="D545" s="5">
        <v>3</v>
      </c>
      <c r="E545" s="5">
        <v>4</v>
      </c>
      <c r="F545" s="5" t="s">
        <v>177</v>
      </c>
      <c r="G545" s="5" t="s">
        <v>177</v>
      </c>
      <c r="H545" s="5" t="s">
        <v>177</v>
      </c>
      <c r="I545" s="5"/>
    </row>
    <row r="546" spans="1:9">
      <c r="A546" s="5">
        <v>91708</v>
      </c>
      <c r="B546" s="5">
        <v>1</v>
      </c>
      <c r="C546" s="5" t="s">
        <v>177</v>
      </c>
      <c r="D546" s="5" t="s">
        <v>177</v>
      </c>
      <c r="E546" s="5">
        <v>1</v>
      </c>
      <c r="F546" s="5" t="s">
        <v>177</v>
      </c>
      <c r="G546" s="5" t="s">
        <v>177</v>
      </c>
      <c r="H546" s="5" t="s">
        <v>177</v>
      </c>
      <c r="I546" s="5"/>
    </row>
    <row r="547" spans="1:9">
      <c r="A547" s="5">
        <v>91709</v>
      </c>
      <c r="B547" s="5">
        <v>7</v>
      </c>
      <c r="C547" s="5">
        <v>1</v>
      </c>
      <c r="D547" s="5">
        <v>3</v>
      </c>
      <c r="E547" s="5">
        <v>2</v>
      </c>
      <c r="F547" s="5">
        <v>1</v>
      </c>
      <c r="G547" s="5" t="s">
        <v>177</v>
      </c>
      <c r="H547" s="5" t="s">
        <v>177</v>
      </c>
      <c r="I547" s="5"/>
    </row>
    <row r="548" spans="1:9">
      <c r="A548" s="5">
        <v>91710</v>
      </c>
      <c r="B548" s="5">
        <v>3</v>
      </c>
      <c r="C548" s="5">
        <v>1</v>
      </c>
      <c r="D548" s="5" t="s">
        <v>177</v>
      </c>
      <c r="E548" s="5" t="s">
        <v>177</v>
      </c>
      <c r="F548" s="5">
        <v>1</v>
      </c>
      <c r="G548" s="5" t="s">
        <v>177</v>
      </c>
      <c r="H548" s="5">
        <v>1</v>
      </c>
      <c r="I548" s="5"/>
    </row>
    <row r="549" spans="1:9">
      <c r="A549" s="5">
        <v>91711</v>
      </c>
      <c r="B549" s="5">
        <v>9</v>
      </c>
      <c r="C549" s="5">
        <v>3</v>
      </c>
      <c r="D549" s="5">
        <v>2</v>
      </c>
      <c r="E549" s="5">
        <v>1</v>
      </c>
      <c r="F549" s="5">
        <v>2</v>
      </c>
      <c r="G549" s="5" t="s">
        <v>177</v>
      </c>
      <c r="H549" s="5">
        <v>1</v>
      </c>
      <c r="I549" s="5"/>
    </row>
    <row r="550" spans="1:9">
      <c r="A550" s="5">
        <v>91722</v>
      </c>
      <c r="B550" s="5">
        <v>6</v>
      </c>
      <c r="C550" s="5">
        <v>3</v>
      </c>
      <c r="D550" s="5" t="s">
        <v>177</v>
      </c>
      <c r="E550" s="5">
        <v>1</v>
      </c>
      <c r="F550" s="5">
        <v>1</v>
      </c>
      <c r="G550" s="5" t="s">
        <v>177</v>
      </c>
      <c r="H550" s="5">
        <v>1</v>
      </c>
      <c r="I550" s="5"/>
    </row>
    <row r="551" spans="1:9">
      <c r="A551" s="5">
        <v>91723</v>
      </c>
      <c r="B551" s="5">
        <v>2</v>
      </c>
      <c r="C551" s="5" t="s">
        <v>177</v>
      </c>
      <c r="D551" s="5">
        <v>2</v>
      </c>
      <c r="E551" s="5" t="s">
        <v>177</v>
      </c>
      <c r="F551" s="5" t="s">
        <v>177</v>
      </c>
      <c r="G551" s="5" t="s">
        <v>177</v>
      </c>
      <c r="H551" s="5" t="s">
        <v>177</v>
      </c>
      <c r="I551" s="5"/>
    </row>
    <row r="552" spans="1:9">
      <c r="A552" s="5">
        <v>91724</v>
      </c>
      <c r="B552" s="5">
        <v>2</v>
      </c>
      <c r="C552" s="5">
        <v>1</v>
      </c>
      <c r="D552" s="5" t="s">
        <v>177</v>
      </c>
      <c r="E552" s="5" t="s">
        <v>177</v>
      </c>
      <c r="F552" s="5">
        <v>1</v>
      </c>
      <c r="G552" s="5" t="s">
        <v>177</v>
      </c>
      <c r="H552" s="5" t="s">
        <v>177</v>
      </c>
      <c r="I552" s="5"/>
    </row>
    <row r="553" spans="1:9">
      <c r="A553" s="5">
        <v>91730</v>
      </c>
      <c r="B553" s="5">
        <v>10</v>
      </c>
      <c r="C553" s="5">
        <v>2</v>
      </c>
      <c r="D553" s="5">
        <v>1</v>
      </c>
      <c r="E553" s="5">
        <v>2</v>
      </c>
      <c r="F553" s="5">
        <v>2</v>
      </c>
      <c r="G553" s="5">
        <v>1</v>
      </c>
      <c r="H553" s="5">
        <v>2</v>
      </c>
      <c r="I553" s="5"/>
    </row>
    <row r="554" spans="1:9">
      <c r="A554" s="5">
        <v>91731</v>
      </c>
      <c r="B554" s="5">
        <v>2</v>
      </c>
      <c r="C554" s="5">
        <v>1</v>
      </c>
      <c r="D554" s="5">
        <v>1</v>
      </c>
      <c r="E554" s="5" t="s">
        <v>177</v>
      </c>
      <c r="F554" s="5" t="s">
        <v>177</v>
      </c>
      <c r="G554" s="5" t="s">
        <v>177</v>
      </c>
      <c r="H554" s="5" t="s">
        <v>177</v>
      </c>
      <c r="I554" s="5"/>
    </row>
    <row r="555" spans="1:9">
      <c r="A555" s="5">
        <v>91732</v>
      </c>
      <c r="B555" s="5">
        <v>5</v>
      </c>
      <c r="C555" s="5">
        <v>1</v>
      </c>
      <c r="D555" s="5" t="s">
        <v>177</v>
      </c>
      <c r="E555" s="5">
        <v>2</v>
      </c>
      <c r="F555" s="5" t="s">
        <v>177</v>
      </c>
      <c r="G555" s="5" t="s">
        <v>177</v>
      </c>
      <c r="H555" s="5">
        <v>2</v>
      </c>
      <c r="I555" s="5"/>
    </row>
    <row r="556" spans="1:9">
      <c r="A556" s="5">
        <v>91733</v>
      </c>
      <c r="B556" s="5">
        <v>4</v>
      </c>
      <c r="C556" s="5">
        <v>1</v>
      </c>
      <c r="D556" s="5">
        <v>1</v>
      </c>
      <c r="E556" s="5">
        <v>1</v>
      </c>
      <c r="F556" s="5" t="s">
        <v>177</v>
      </c>
      <c r="G556" s="5">
        <v>1</v>
      </c>
      <c r="H556" s="5" t="s">
        <v>177</v>
      </c>
      <c r="I556" s="5"/>
    </row>
    <row r="557" spans="1:9">
      <c r="A557" s="5">
        <v>91737</v>
      </c>
      <c r="B557" s="5">
        <v>5</v>
      </c>
      <c r="C557" s="5">
        <v>1</v>
      </c>
      <c r="D557" s="5">
        <v>2</v>
      </c>
      <c r="E557" s="5">
        <v>1</v>
      </c>
      <c r="F557" s="5">
        <v>1</v>
      </c>
      <c r="G557" s="5" t="s">
        <v>177</v>
      </c>
      <c r="H557" s="5" t="s">
        <v>177</v>
      </c>
      <c r="I557" s="5"/>
    </row>
    <row r="558" spans="1:9">
      <c r="A558" s="5">
        <v>91739</v>
      </c>
      <c r="B558" s="5">
        <v>2</v>
      </c>
      <c r="C558" s="5" t="s">
        <v>177</v>
      </c>
      <c r="D558" s="5" t="s">
        <v>177</v>
      </c>
      <c r="E558" s="5" t="s">
        <v>177</v>
      </c>
      <c r="F558" s="5">
        <v>1</v>
      </c>
      <c r="G558" s="5">
        <v>1</v>
      </c>
      <c r="H558" s="5" t="s">
        <v>177</v>
      </c>
      <c r="I558" s="5"/>
    </row>
    <row r="559" spans="1:9">
      <c r="A559" s="5">
        <v>91740</v>
      </c>
      <c r="B559" s="5">
        <v>6</v>
      </c>
      <c r="C559" s="5" t="s">
        <v>177</v>
      </c>
      <c r="D559" s="5">
        <v>3</v>
      </c>
      <c r="E559" s="5">
        <v>2</v>
      </c>
      <c r="F559" s="5" t="s">
        <v>177</v>
      </c>
      <c r="G559" s="5" t="s">
        <v>177</v>
      </c>
      <c r="H559" s="5">
        <v>1</v>
      </c>
      <c r="I559" s="5"/>
    </row>
    <row r="560" spans="1:9">
      <c r="A560" s="5">
        <v>91741</v>
      </c>
      <c r="B560" s="5">
        <v>6</v>
      </c>
      <c r="C560" s="5">
        <v>1</v>
      </c>
      <c r="D560" s="5">
        <v>4</v>
      </c>
      <c r="E560" s="5">
        <v>1</v>
      </c>
      <c r="F560" s="5" t="s">
        <v>177</v>
      </c>
      <c r="G560" s="5" t="s">
        <v>177</v>
      </c>
      <c r="H560" s="5" t="s">
        <v>177</v>
      </c>
      <c r="I560" s="5"/>
    </row>
    <row r="561" spans="1:9">
      <c r="A561" s="5">
        <v>91744</v>
      </c>
      <c r="B561" s="5">
        <v>13</v>
      </c>
      <c r="C561" s="5">
        <v>4</v>
      </c>
      <c r="D561" s="5">
        <v>2</v>
      </c>
      <c r="E561" s="5">
        <v>4</v>
      </c>
      <c r="F561" s="5">
        <v>3</v>
      </c>
      <c r="G561" s="5" t="s">
        <v>177</v>
      </c>
      <c r="H561" s="5" t="s">
        <v>177</v>
      </c>
      <c r="I561" s="5"/>
    </row>
    <row r="562" spans="1:9">
      <c r="A562" s="5">
        <v>91745</v>
      </c>
      <c r="B562" s="5">
        <v>6</v>
      </c>
      <c r="C562" s="5" t="s">
        <v>177</v>
      </c>
      <c r="D562" s="5">
        <v>2</v>
      </c>
      <c r="E562" s="5">
        <v>3</v>
      </c>
      <c r="F562" s="5" t="s">
        <v>177</v>
      </c>
      <c r="G562" s="5">
        <v>1</v>
      </c>
      <c r="H562" s="5" t="s">
        <v>177</v>
      </c>
      <c r="I562" s="5"/>
    </row>
    <row r="563" spans="1:9">
      <c r="A563" s="5">
        <v>91746</v>
      </c>
      <c r="B563" s="5">
        <v>1</v>
      </c>
      <c r="C563" s="5" t="s">
        <v>177</v>
      </c>
      <c r="D563" s="5">
        <v>1</v>
      </c>
      <c r="E563" s="5" t="s">
        <v>177</v>
      </c>
      <c r="F563" s="5" t="s">
        <v>177</v>
      </c>
      <c r="G563" s="5" t="s">
        <v>177</v>
      </c>
      <c r="H563" s="5" t="s">
        <v>177</v>
      </c>
      <c r="I563" s="5"/>
    </row>
    <row r="564" spans="1:9">
      <c r="A564" s="5">
        <v>91748</v>
      </c>
      <c r="B564" s="5">
        <v>168</v>
      </c>
      <c r="C564" s="5">
        <v>33</v>
      </c>
      <c r="D564" s="5">
        <v>31</v>
      </c>
      <c r="E564" s="5">
        <v>14</v>
      </c>
      <c r="F564" s="5">
        <v>25</v>
      </c>
      <c r="G564" s="5">
        <v>21</v>
      </c>
      <c r="H564" s="5">
        <v>44</v>
      </c>
      <c r="I564" s="5"/>
    </row>
    <row r="565" spans="1:9">
      <c r="A565" s="5">
        <v>91750</v>
      </c>
      <c r="B565" s="5">
        <v>16</v>
      </c>
      <c r="C565" s="5">
        <v>4</v>
      </c>
      <c r="D565" s="5">
        <v>3</v>
      </c>
      <c r="E565" s="5">
        <v>2</v>
      </c>
      <c r="F565" s="5">
        <v>3</v>
      </c>
      <c r="G565" s="5">
        <v>1</v>
      </c>
      <c r="H565" s="5">
        <v>3</v>
      </c>
      <c r="I565" s="5"/>
    </row>
    <row r="566" spans="1:9">
      <c r="A566" s="5">
        <v>91754</v>
      </c>
      <c r="B566" s="5">
        <v>1</v>
      </c>
      <c r="C566" s="5" t="s">
        <v>177</v>
      </c>
      <c r="D566" s="5" t="s">
        <v>177</v>
      </c>
      <c r="E566" s="5" t="s">
        <v>177</v>
      </c>
      <c r="F566" s="5" t="s">
        <v>177</v>
      </c>
      <c r="G566" s="5">
        <v>1</v>
      </c>
      <c r="H566" s="5" t="s">
        <v>177</v>
      </c>
      <c r="I566" s="5"/>
    </row>
    <row r="567" spans="1:9">
      <c r="A567" s="5">
        <v>91761</v>
      </c>
      <c r="B567" s="5">
        <v>6</v>
      </c>
      <c r="C567" s="5" t="s">
        <v>177</v>
      </c>
      <c r="D567" s="5">
        <v>2</v>
      </c>
      <c r="E567" s="5">
        <v>3</v>
      </c>
      <c r="F567" s="5" t="s">
        <v>177</v>
      </c>
      <c r="G567" s="5" t="s">
        <v>177</v>
      </c>
      <c r="H567" s="5">
        <v>1</v>
      </c>
      <c r="I567" s="5"/>
    </row>
    <row r="568" spans="1:9">
      <c r="A568" s="5">
        <v>91762</v>
      </c>
      <c r="B568" s="5">
        <v>5</v>
      </c>
      <c r="C568" s="5">
        <v>2</v>
      </c>
      <c r="D568" s="5">
        <v>3</v>
      </c>
      <c r="E568" s="5" t="s">
        <v>177</v>
      </c>
      <c r="F568" s="5" t="s">
        <v>177</v>
      </c>
      <c r="G568" s="5" t="s">
        <v>177</v>
      </c>
      <c r="H568" s="5" t="s">
        <v>177</v>
      </c>
      <c r="I568" s="5"/>
    </row>
    <row r="569" spans="1:9">
      <c r="A569" s="5">
        <v>91763</v>
      </c>
      <c r="B569" s="5">
        <v>2</v>
      </c>
      <c r="C569" s="5">
        <v>1</v>
      </c>
      <c r="D569" s="5">
        <v>1</v>
      </c>
      <c r="E569" s="5" t="s">
        <v>177</v>
      </c>
      <c r="F569" s="5" t="s">
        <v>177</v>
      </c>
      <c r="G569" s="5" t="s">
        <v>177</v>
      </c>
      <c r="H569" s="5" t="s">
        <v>177</v>
      </c>
      <c r="I569" s="5"/>
    </row>
    <row r="570" spans="1:9">
      <c r="A570" s="5">
        <v>91764</v>
      </c>
      <c r="B570" s="5">
        <v>3</v>
      </c>
      <c r="C570" s="5">
        <v>1</v>
      </c>
      <c r="D570" s="5">
        <v>2</v>
      </c>
      <c r="E570" s="5" t="s">
        <v>177</v>
      </c>
      <c r="F570" s="5" t="s">
        <v>177</v>
      </c>
      <c r="G570" s="5" t="s">
        <v>177</v>
      </c>
      <c r="H570" s="5" t="s">
        <v>177</v>
      </c>
      <c r="I570" s="5"/>
    </row>
    <row r="571" spans="1:9">
      <c r="A571" s="5">
        <v>91765</v>
      </c>
      <c r="B571" s="5">
        <v>6</v>
      </c>
      <c r="C571" s="5">
        <v>1</v>
      </c>
      <c r="D571" s="5" t="s">
        <v>177</v>
      </c>
      <c r="E571" s="5">
        <v>3</v>
      </c>
      <c r="F571" s="5" t="s">
        <v>177</v>
      </c>
      <c r="G571" s="5" t="s">
        <v>177</v>
      </c>
      <c r="H571" s="5">
        <v>2</v>
      </c>
      <c r="I571" s="5"/>
    </row>
    <row r="572" spans="1:9">
      <c r="A572" s="5">
        <v>91766</v>
      </c>
      <c r="B572" s="5">
        <v>5</v>
      </c>
      <c r="C572" s="5">
        <v>2</v>
      </c>
      <c r="D572" s="5">
        <v>1</v>
      </c>
      <c r="E572" s="5">
        <v>1</v>
      </c>
      <c r="F572" s="5">
        <v>1</v>
      </c>
      <c r="G572" s="5" t="s">
        <v>177</v>
      </c>
      <c r="H572" s="5" t="s">
        <v>177</v>
      </c>
      <c r="I572" s="5"/>
    </row>
    <row r="573" spans="1:9">
      <c r="A573" s="5">
        <v>91767</v>
      </c>
      <c r="B573" s="5">
        <v>3</v>
      </c>
      <c r="C573" s="5">
        <v>1</v>
      </c>
      <c r="D573" s="5">
        <v>1</v>
      </c>
      <c r="E573" s="5">
        <v>1</v>
      </c>
      <c r="F573" s="5" t="s">
        <v>177</v>
      </c>
      <c r="G573" s="5" t="s">
        <v>177</v>
      </c>
      <c r="H573" s="5" t="s">
        <v>177</v>
      </c>
      <c r="I573" s="5"/>
    </row>
    <row r="574" spans="1:9">
      <c r="A574" s="5">
        <v>91768</v>
      </c>
      <c r="B574" s="5">
        <v>5</v>
      </c>
      <c r="C574" s="5">
        <v>1</v>
      </c>
      <c r="D574" s="5">
        <v>1</v>
      </c>
      <c r="E574" s="5">
        <v>3</v>
      </c>
      <c r="F574" s="5" t="s">
        <v>177</v>
      </c>
      <c r="G574" s="5" t="s">
        <v>177</v>
      </c>
      <c r="H574" s="5" t="s">
        <v>177</v>
      </c>
      <c r="I574" s="5"/>
    </row>
    <row r="575" spans="1:9">
      <c r="A575" s="5">
        <v>91770</v>
      </c>
      <c r="B575" s="5">
        <v>11</v>
      </c>
      <c r="C575" s="5">
        <v>1</v>
      </c>
      <c r="D575" s="5">
        <v>4</v>
      </c>
      <c r="E575" s="5">
        <v>2</v>
      </c>
      <c r="F575" s="5">
        <v>4</v>
      </c>
      <c r="G575" s="5" t="s">
        <v>177</v>
      </c>
      <c r="H575" s="5" t="s">
        <v>177</v>
      </c>
      <c r="I575" s="5"/>
    </row>
    <row r="576" spans="1:9">
      <c r="A576" s="5">
        <v>91773</v>
      </c>
      <c r="B576" s="5">
        <v>5</v>
      </c>
      <c r="C576" s="5" t="s">
        <v>177</v>
      </c>
      <c r="D576" s="5">
        <v>3</v>
      </c>
      <c r="E576" s="5">
        <v>1</v>
      </c>
      <c r="F576" s="5">
        <v>1</v>
      </c>
      <c r="G576" s="5" t="s">
        <v>177</v>
      </c>
      <c r="H576" s="5" t="s">
        <v>177</v>
      </c>
      <c r="I576" s="5"/>
    </row>
    <row r="577" spans="1:9">
      <c r="A577" s="5">
        <v>91775</v>
      </c>
      <c r="B577" s="5">
        <v>75</v>
      </c>
      <c r="C577" s="5">
        <v>9</v>
      </c>
      <c r="D577" s="5">
        <v>10</v>
      </c>
      <c r="E577" s="5">
        <v>8</v>
      </c>
      <c r="F577" s="5">
        <v>13</v>
      </c>
      <c r="G577" s="5">
        <v>17</v>
      </c>
      <c r="H577" s="5">
        <v>18</v>
      </c>
      <c r="I577" s="5"/>
    </row>
    <row r="578" spans="1:9">
      <c r="A578" s="5">
        <v>91776</v>
      </c>
      <c r="B578" s="5">
        <v>2</v>
      </c>
      <c r="C578" s="5" t="s">
        <v>177</v>
      </c>
      <c r="D578" s="5" t="s">
        <v>177</v>
      </c>
      <c r="E578" s="5">
        <v>2</v>
      </c>
      <c r="F578" s="5" t="s">
        <v>177</v>
      </c>
      <c r="G578" s="5" t="s">
        <v>177</v>
      </c>
      <c r="H578" s="5" t="s">
        <v>177</v>
      </c>
      <c r="I578" s="5"/>
    </row>
    <row r="579" spans="1:9">
      <c r="A579" s="5">
        <v>91780</v>
      </c>
      <c r="B579" s="5">
        <v>5</v>
      </c>
      <c r="C579" s="5">
        <v>2</v>
      </c>
      <c r="D579" s="5">
        <v>2</v>
      </c>
      <c r="E579" s="5" t="s">
        <v>177</v>
      </c>
      <c r="F579" s="5">
        <v>1</v>
      </c>
      <c r="G579" s="5" t="s">
        <v>177</v>
      </c>
      <c r="H579" s="5" t="s">
        <v>177</v>
      </c>
      <c r="I579" s="5"/>
    </row>
    <row r="580" spans="1:9">
      <c r="A580" s="5">
        <v>91784</v>
      </c>
      <c r="B580" s="5">
        <v>2</v>
      </c>
      <c r="C580" s="5" t="s">
        <v>177</v>
      </c>
      <c r="D580" s="5" t="s">
        <v>177</v>
      </c>
      <c r="E580" s="5">
        <v>1</v>
      </c>
      <c r="F580" s="5" t="s">
        <v>177</v>
      </c>
      <c r="G580" s="5">
        <v>1</v>
      </c>
      <c r="H580" s="5" t="s">
        <v>177</v>
      </c>
      <c r="I580" s="5"/>
    </row>
    <row r="581" spans="1:9">
      <c r="A581" s="5">
        <v>91786</v>
      </c>
      <c r="B581" s="5">
        <v>3</v>
      </c>
      <c r="C581" s="5" t="s">
        <v>177</v>
      </c>
      <c r="D581" s="5">
        <v>1</v>
      </c>
      <c r="E581" s="5">
        <v>2</v>
      </c>
      <c r="F581" s="5" t="s">
        <v>177</v>
      </c>
      <c r="G581" s="5" t="s">
        <v>177</v>
      </c>
      <c r="H581" s="5" t="s">
        <v>177</v>
      </c>
      <c r="I581" s="5"/>
    </row>
    <row r="582" spans="1:9">
      <c r="A582" s="5">
        <v>91789</v>
      </c>
      <c r="B582" s="5">
        <v>7</v>
      </c>
      <c r="C582" s="5">
        <v>1</v>
      </c>
      <c r="D582" s="5">
        <v>3</v>
      </c>
      <c r="E582" s="5">
        <v>2</v>
      </c>
      <c r="F582" s="5">
        <v>1</v>
      </c>
      <c r="G582" s="5" t="s">
        <v>177</v>
      </c>
      <c r="H582" s="5" t="s">
        <v>177</v>
      </c>
      <c r="I582" s="5"/>
    </row>
    <row r="583" spans="1:9">
      <c r="A583" s="5">
        <v>91790</v>
      </c>
      <c r="B583" s="5">
        <v>12</v>
      </c>
      <c r="C583" s="5">
        <v>2</v>
      </c>
      <c r="D583" s="5">
        <v>2</v>
      </c>
      <c r="E583" s="5">
        <v>5</v>
      </c>
      <c r="F583" s="5">
        <v>1</v>
      </c>
      <c r="G583" s="5">
        <v>2</v>
      </c>
      <c r="H583" s="5" t="s">
        <v>177</v>
      </c>
      <c r="I583" s="5"/>
    </row>
    <row r="584" spans="1:9">
      <c r="A584" s="5">
        <v>91791</v>
      </c>
      <c r="B584" s="5">
        <v>1</v>
      </c>
      <c r="C584" s="5" t="s">
        <v>177</v>
      </c>
      <c r="D584" s="5" t="s">
        <v>177</v>
      </c>
      <c r="E584" s="5" t="s">
        <v>177</v>
      </c>
      <c r="F584" s="5">
        <v>1</v>
      </c>
      <c r="G584" s="5" t="s">
        <v>177</v>
      </c>
      <c r="H584" s="5" t="s">
        <v>177</v>
      </c>
      <c r="I584" s="5"/>
    </row>
    <row r="585" spans="1:9">
      <c r="A585" s="5">
        <v>91792</v>
      </c>
      <c r="B585" s="5">
        <v>1</v>
      </c>
      <c r="C585" s="5" t="s">
        <v>177</v>
      </c>
      <c r="D585" s="5">
        <v>1</v>
      </c>
      <c r="E585" s="5" t="s">
        <v>177</v>
      </c>
      <c r="F585" s="5" t="s">
        <v>177</v>
      </c>
      <c r="G585" s="5" t="s">
        <v>177</v>
      </c>
      <c r="H585" s="5" t="s">
        <v>177</v>
      </c>
      <c r="I585" s="5"/>
    </row>
    <row r="586" spans="1:9">
      <c r="A586" s="5">
        <v>91801</v>
      </c>
      <c r="B586" s="5">
        <v>1</v>
      </c>
      <c r="C586" s="5" t="s">
        <v>177</v>
      </c>
      <c r="D586" s="5" t="s">
        <v>177</v>
      </c>
      <c r="E586" s="5" t="s">
        <v>177</v>
      </c>
      <c r="F586" s="5">
        <v>1</v>
      </c>
      <c r="G586" s="5" t="s">
        <v>177</v>
      </c>
      <c r="H586" s="5" t="s">
        <v>177</v>
      </c>
      <c r="I586" s="5"/>
    </row>
    <row r="587" spans="1:9">
      <c r="A587" s="5">
        <v>91803</v>
      </c>
      <c r="B587" s="5">
        <v>3</v>
      </c>
      <c r="C587" s="5" t="s">
        <v>177</v>
      </c>
      <c r="D587" s="5">
        <v>1</v>
      </c>
      <c r="E587" s="5">
        <v>2</v>
      </c>
      <c r="F587" s="5" t="s">
        <v>177</v>
      </c>
      <c r="G587" s="5" t="s">
        <v>177</v>
      </c>
      <c r="H587" s="5" t="s">
        <v>177</v>
      </c>
      <c r="I587" s="5"/>
    </row>
    <row r="588" spans="1:9">
      <c r="A588" s="5">
        <v>91902</v>
      </c>
      <c r="B588" s="5">
        <v>2</v>
      </c>
      <c r="C588" s="5" t="s">
        <v>177</v>
      </c>
      <c r="D588" s="5" t="s">
        <v>177</v>
      </c>
      <c r="E588" s="5">
        <v>2</v>
      </c>
      <c r="F588" s="5" t="s">
        <v>177</v>
      </c>
      <c r="G588" s="5" t="s">
        <v>177</v>
      </c>
      <c r="H588" s="5" t="s">
        <v>177</v>
      </c>
      <c r="I588" s="5"/>
    </row>
    <row r="589" spans="1:9">
      <c r="A589" s="5">
        <v>91910</v>
      </c>
      <c r="B589" s="5">
        <v>4</v>
      </c>
      <c r="C589" s="5">
        <v>2</v>
      </c>
      <c r="D589" s="5">
        <v>1</v>
      </c>
      <c r="E589" s="5">
        <v>1</v>
      </c>
      <c r="F589" s="5" t="s">
        <v>177</v>
      </c>
      <c r="G589" s="5" t="s">
        <v>177</v>
      </c>
      <c r="H589" s="5" t="s">
        <v>177</v>
      </c>
      <c r="I589" s="5"/>
    </row>
    <row r="590" spans="1:9">
      <c r="A590" s="5">
        <v>91911</v>
      </c>
      <c r="B590" s="5">
        <v>5</v>
      </c>
      <c r="C590" s="5">
        <v>1</v>
      </c>
      <c r="D590" s="5" t="s">
        <v>177</v>
      </c>
      <c r="E590" s="5">
        <v>3</v>
      </c>
      <c r="F590" s="5">
        <v>1</v>
      </c>
      <c r="G590" s="5" t="s">
        <v>177</v>
      </c>
      <c r="H590" s="5" t="s">
        <v>177</v>
      </c>
      <c r="I590" s="5"/>
    </row>
    <row r="591" spans="1:9">
      <c r="A591" s="5">
        <v>91913</v>
      </c>
      <c r="B591" s="5">
        <v>5</v>
      </c>
      <c r="C591" s="5">
        <v>2</v>
      </c>
      <c r="D591" s="5">
        <v>1</v>
      </c>
      <c r="E591" s="5">
        <v>1</v>
      </c>
      <c r="F591" s="5">
        <v>1</v>
      </c>
      <c r="G591" s="5" t="s">
        <v>177</v>
      </c>
      <c r="H591" s="5" t="s">
        <v>177</v>
      </c>
      <c r="I591" s="5"/>
    </row>
    <row r="592" spans="1:9">
      <c r="A592" s="5">
        <v>91914</v>
      </c>
      <c r="B592" s="5">
        <v>3</v>
      </c>
      <c r="C592" s="5">
        <v>2</v>
      </c>
      <c r="D592" s="5" t="s">
        <v>177</v>
      </c>
      <c r="E592" s="5">
        <v>1</v>
      </c>
      <c r="F592" s="5" t="s">
        <v>177</v>
      </c>
      <c r="G592" s="5" t="s">
        <v>177</v>
      </c>
      <c r="H592" s="5" t="s">
        <v>177</v>
      </c>
      <c r="I592" s="5"/>
    </row>
    <row r="593" spans="1:9">
      <c r="A593" s="5">
        <v>91915</v>
      </c>
      <c r="B593" s="5">
        <v>2</v>
      </c>
      <c r="C593" s="5">
        <v>1</v>
      </c>
      <c r="D593" s="5" t="s">
        <v>177</v>
      </c>
      <c r="E593" s="5" t="s">
        <v>177</v>
      </c>
      <c r="F593" s="5" t="s">
        <v>177</v>
      </c>
      <c r="G593" s="5">
        <v>1</v>
      </c>
      <c r="H593" s="5" t="s">
        <v>177</v>
      </c>
      <c r="I593" s="5"/>
    </row>
    <row r="594" spans="1:9">
      <c r="A594" s="5">
        <v>91932</v>
      </c>
      <c r="B594" s="5">
        <v>2</v>
      </c>
      <c r="C594" s="5" t="s">
        <v>177</v>
      </c>
      <c r="D594" s="5" t="s">
        <v>177</v>
      </c>
      <c r="E594" s="5">
        <v>1</v>
      </c>
      <c r="F594" s="5" t="s">
        <v>177</v>
      </c>
      <c r="G594" s="5" t="s">
        <v>177</v>
      </c>
      <c r="H594" s="5">
        <v>1</v>
      </c>
      <c r="I594" s="5"/>
    </row>
    <row r="595" spans="1:9">
      <c r="A595" s="5">
        <v>91941</v>
      </c>
      <c r="B595" s="5">
        <v>3</v>
      </c>
      <c r="C595" s="5">
        <v>1</v>
      </c>
      <c r="D595" s="5" t="s">
        <v>177</v>
      </c>
      <c r="E595" s="5" t="s">
        <v>177</v>
      </c>
      <c r="F595" s="5" t="s">
        <v>177</v>
      </c>
      <c r="G595" s="5">
        <v>2</v>
      </c>
      <c r="H595" s="5" t="s">
        <v>177</v>
      </c>
      <c r="I595" s="5"/>
    </row>
    <row r="596" spans="1:9">
      <c r="A596" s="5">
        <v>91942</v>
      </c>
      <c r="B596" s="5">
        <v>4</v>
      </c>
      <c r="C596" s="5">
        <v>2</v>
      </c>
      <c r="D596" s="5" t="s">
        <v>177</v>
      </c>
      <c r="E596" s="5">
        <v>1</v>
      </c>
      <c r="F596" s="5" t="s">
        <v>177</v>
      </c>
      <c r="G596" s="5">
        <v>1</v>
      </c>
      <c r="H596" s="5" t="s">
        <v>177</v>
      </c>
      <c r="I596" s="5"/>
    </row>
    <row r="597" spans="1:9">
      <c r="A597" s="5">
        <v>91945</v>
      </c>
      <c r="B597" s="5">
        <v>55</v>
      </c>
      <c r="C597" s="5">
        <v>14</v>
      </c>
      <c r="D597" s="5">
        <v>5</v>
      </c>
      <c r="E597" s="5">
        <v>6</v>
      </c>
      <c r="F597" s="5">
        <v>9</v>
      </c>
      <c r="G597" s="5">
        <v>9</v>
      </c>
      <c r="H597" s="5">
        <v>12</v>
      </c>
      <c r="I597" s="5"/>
    </row>
    <row r="598" spans="1:9">
      <c r="A598" s="5">
        <v>91951</v>
      </c>
      <c r="B598" s="5">
        <v>2</v>
      </c>
      <c r="C598" s="5" t="s">
        <v>177</v>
      </c>
      <c r="D598" s="5" t="s">
        <v>177</v>
      </c>
      <c r="E598" s="5" t="s">
        <v>177</v>
      </c>
      <c r="F598" s="5" t="s">
        <v>177</v>
      </c>
      <c r="G598" s="5">
        <v>1</v>
      </c>
      <c r="H598" s="5">
        <v>1</v>
      </c>
      <c r="I598" s="5"/>
    </row>
    <row r="599" spans="1:9">
      <c r="A599" s="5">
        <v>91977</v>
      </c>
      <c r="B599" s="5">
        <v>5</v>
      </c>
      <c r="C599" s="5">
        <v>1</v>
      </c>
      <c r="D599" s="5">
        <v>2</v>
      </c>
      <c r="E599" s="5">
        <v>1</v>
      </c>
      <c r="F599" s="5" t="s">
        <v>177</v>
      </c>
      <c r="G599" s="5" t="s">
        <v>177</v>
      </c>
      <c r="H599" s="5">
        <v>1</v>
      </c>
      <c r="I599" s="5"/>
    </row>
    <row r="600" spans="1:9">
      <c r="A600" s="5">
        <v>91978</v>
      </c>
      <c r="B600" s="5">
        <v>1</v>
      </c>
      <c r="C600" s="5" t="s">
        <v>177</v>
      </c>
      <c r="D600" s="5" t="s">
        <v>177</v>
      </c>
      <c r="E600" s="5" t="s">
        <v>177</v>
      </c>
      <c r="F600" s="5">
        <v>1</v>
      </c>
      <c r="G600" s="5" t="s">
        <v>177</v>
      </c>
      <c r="H600" s="5" t="s">
        <v>177</v>
      </c>
      <c r="I600" s="5"/>
    </row>
    <row r="601" spans="1:9">
      <c r="A601" s="5">
        <v>92008</v>
      </c>
      <c r="B601" s="5">
        <v>1</v>
      </c>
      <c r="C601" s="5" t="s">
        <v>177</v>
      </c>
      <c r="D601" s="5" t="s">
        <v>177</v>
      </c>
      <c r="E601" s="5">
        <v>1</v>
      </c>
      <c r="F601" s="5" t="s">
        <v>177</v>
      </c>
      <c r="G601" s="5" t="s">
        <v>177</v>
      </c>
      <c r="H601" s="5" t="s">
        <v>177</v>
      </c>
      <c r="I601" s="5"/>
    </row>
    <row r="602" spans="1:9">
      <c r="A602" s="5">
        <v>92009</v>
      </c>
      <c r="B602" s="5">
        <v>4</v>
      </c>
      <c r="C602" s="5">
        <v>1</v>
      </c>
      <c r="D602" s="5" t="s">
        <v>177</v>
      </c>
      <c r="E602" s="5">
        <v>3</v>
      </c>
      <c r="F602" s="5" t="s">
        <v>177</v>
      </c>
      <c r="G602" s="5" t="s">
        <v>177</v>
      </c>
      <c r="H602" s="5" t="s">
        <v>177</v>
      </c>
      <c r="I602" s="5"/>
    </row>
    <row r="603" spans="1:9">
      <c r="A603" s="5">
        <v>92010</v>
      </c>
      <c r="B603" s="5">
        <v>40</v>
      </c>
      <c r="C603" s="5">
        <v>9</v>
      </c>
      <c r="D603" s="5">
        <v>4</v>
      </c>
      <c r="E603" s="5">
        <v>6</v>
      </c>
      <c r="F603" s="5">
        <v>8</v>
      </c>
      <c r="G603" s="5">
        <v>3</v>
      </c>
      <c r="H603" s="5">
        <v>10</v>
      </c>
      <c r="I603" s="5"/>
    </row>
    <row r="604" spans="1:9">
      <c r="A604" s="5">
        <v>92011</v>
      </c>
      <c r="B604" s="5">
        <v>2</v>
      </c>
      <c r="C604" s="5">
        <v>1</v>
      </c>
      <c r="D604" s="5">
        <v>1</v>
      </c>
      <c r="E604" s="5" t="s">
        <v>177</v>
      </c>
      <c r="F604" s="5" t="s">
        <v>177</v>
      </c>
      <c r="G604" s="5" t="s">
        <v>177</v>
      </c>
      <c r="H604" s="5" t="s">
        <v>177</v>
      </c>
      <c r="I604" s="5"/>
    </row>
    <row r="605" spans="1:9">
      <c r="A605" s="5">
        <v>92014</v>
      </c>
      <c r="B605" s="5">
        <v>1</v>
      </c>
      <c r="C605" s="5">
        <v>1</v>
      </c>
      <c r="D605" s="5" t="s">
        <v>177</v>
      </c>
      <c r="E605" s="5" t="s">
        <v>177</v>
      </c>
      <c r="F605" s="5" t="s">
        <v>177</v>
      </c>
      <c r="G605" s="5" t="s">
        <v>177</v>
      </c>
      <c r="H605" s="5" t="s">
        <v>177</v>
      </c>
      <c r="I605" s="5"/>
    </row>
    <row r="606" spans="1:9">
      <c r="A606" s="5">
        <v>92019</v>
      </c>
      <c r="B606" s="5">
        <v>2</v>
      </c>
      <c r="C606" s="5">
        <v>1</v>
      </c>
      <c r="D606" s="5" t="s">
        <v>177</v>
      </c>
      <c r="E606" s="5">
        <v>1</v>
      </c>
      <c r="F606" s="5" t="s">
        <v>177</v>
      </c>
      <c r="G606" s="5" t="s">
        <v>177</v>
      </c>
      <c r="H606" s="5" t="s">
        <v>177</v>
      </c>
      <c r="I606" s="5"/>
    </row>
    <row r="607" spans="1:9">
      <c r="A607" s="5">
        <v>92020</v>
      </c>
      <c r="B607" s="5">
        <v>6</v>
      </c>
      <c r="C607" s="5" t="s">
        <v>177</v>
      </c>
      <c r="D607" s="5">
        <v>1</v>
      </c>
      <c r="E607" s="5">
        <v>1</v>
      </c>
      <c r="F607" s="5">
        <v>2</v>
      </c>
      <c r="G607" s="5">
        <v>1</v>
      </c>
      <c r="H607" s="5">
        <v>1</v>
      </c>
      <c r="I607" s="5"/>
    </row>
    <row r="608" spans="1:9">
      <c r="A608" s="5">
        <v>92021</v>
      </c>
      <c r="B608" s="5">
        <v>4</v>
      </c>
      <c r="C608" s="5">
        <v>1</v>
      </c>
      <c r="D608" s="5" t="s">
        <v>177</v>
      </c>
      <c r="E608" s="5">
        <v>1</v>
      </c>
      <c r="F608" s="5">
        <v>1</v>
      </c>
      <c r="G608" s="5">
        <v>1</v>
      </c>
      <c r="H608" s="5" t="s">
        <v>177</v>
      </c>
      <c r="I608" s="5"/>
    </row>
    <row r="609" spans="1:9">
      <c r="A609" s="5">
        <v>92022</v>
      </c>
      <c r="B609" s="5">
        <v>1</v>
      </c>
      <c r="C609" s="5" t="s">
        <v>177</v>
      </c>
      <c r="D609" s="5" t="s">
        <v>177</v>
      </c>
      <c r="E609" s="5" t="s">
        <v>177</v>
      </c>
      <c r="F609" s="5" t="s">
        <v>177</v>
      </c>
      <c r="G609" s="5">
        <v>1</v>
      </c>
      <c r="H609" s="5" t="s">
        <v>177</v>
      </c>
      <c r="I609" s="5"/>
    </row>
    <row r="610" spans="1:9">
      <c r="A610" s="5">
        <v>92024</v>
      </c>
      <c r="B610" s="5">
        <v>3</v>
      </c>
      <c r="C610" s="5">
        <v>1</v>
      </c>
      <c r="D610" s="5" t="s">
        <v>177</v>
      </c>
      <c r="E610" s="5">
        <v>1</v>
      </c>
      <c r="F610" s="5">
        <v>1</v>
      </c>
      <c r="G610" s="5" t="s">
        <v>177</v>
      </c>
      <c r="H610" s="5" t="s">
        <v>177</v>
      </c>
      <c r="I610" s="5"/>
    </row>
    <row r="611" spans="1:9">
      <c r="A611" s="5">
        <v>92025</v>
      </c>
      <c r="B611" s="5">
        <v>7</v>
      </c>
      <c r="C611" s="5">
        <v>1</v>
      </c>
      <c r="D611" s="5">
        <v>1</v>
      </c>
      <c r="E611" s="5">
        <v>2</v>
      </c>
      <c r="F611" s="5">
        <v>1</v>
      </c>
      <c r="G611" s="5">
        <v>2</v>
      </c>
      <c r="H611" s="5" t="s">
        <v>177</v>
      </c>
      <c r="I611" s="5"/>
    </row>
    <row r="612" spans="1:9">
      <c r="A612" s="5">
        <v>92026</v>
      </c>
      <c r="B612" s="5">
        <v>76</v>
      </c>
      <c r="C612" s="5">
        <v>19</v>
      </c>
      <c r="D612" s="5">
        <v>5</v>
      </c>
      <c r="E612" s="5">
        <v>16</v>
      </c>
      <c r="F612" s="5">
        <v>5</v>
      </c>
      <c r="G612" s="5">
        <v>20</v>
      </c>
      <c r="H612" s="5">
        <v>11</v>
      </c>
      <c r="I612" s="5"/>
    </row>
    <row r="613" spans="1:9">
      <c r="A613" s="5">
        <v>92027</v>
      </c>
      <c r="B613" s="5">
        <v>5</v>
      </c>
      <c r="C613" s="5" t="s">
        <v>177</v>
      </c>
      <c r="D613" s="5">
        <v>2</v>
      </c>
      <c r="E613" s="5">
        <v>2</v>
      </c>
      <c r="F613" s="5" t="s">
        <v>177</v>
      </c>
      <c r="G613" s="5" t="s">
        <v>177</v>
      </c>
      <c r="H613" s="5">
        <v>1</v>
      </c>
      <c r="I613" s="5"/>
    </row>
    <row r="614" spans="1:9">
      <c r="A614" s="5">
        <v>92029</v>
      </c>
      <c r="B614" s="5">
        <v>2</v>
      </c>
      <c r="C614" s="5">
        <v>1</v>
      </c>
      <c r="D614" s="5" t="s">
        <v>177</v>
      </c>
      <c r="E614" s="5" t="s">
        <v>177</v>
      </c>
      <c r="F614" s="5" t="s">
        <v>177</v>
      </c>
      <c r="G614" s="5" t="s">
        <v>177</v>
      </c>
      <c r="H614" s="5">
        <v>1</v>
      </c>
      <c r="I614" s="5"/>
    </row>
    <row r="615" spans="1:9">
      <c r="A615" s="5">
        <v>92037</v>
      </c>
      <c r="B615" s="5">
        <v>2</v>
      </c>
      <c r="C615" s="5">
        <v>1</v>
      </c>
      <c r="D615" s="5" t="s">
        <v>177</v>
      </c>
      <c r="E615" s="5" t="s">
        <v>177</v>
      </c>
      <c r="F615" s="5" t="s">
        <v>177</v>
      </c>
      <c r="G615" s="5" t="s">
        <v>177</v>
      </c>
      <c r="H615" s="5">
        <v>1</v>
      </c>
      <c r="I615" s="5"/>
    </row>
    <row r="616" spans="1:9">
      <c r="A616" s="5">
        <v>92040</v>
      </c>
      <c r="B616" s="5">
        <v>147</v>
      </c>
      <c r="C616" s="5">
        <v>47</v>
      </c>
      <c r="D616" s="5">
        <v>28</v>
      </c>
      <c r="E616" s="5">
        <v>35</v>
      </c>
      <c r="F616" s="5">
        <v>7</v>
      </c>
      <c r="G616" s="5">
        <v>20</v>
      </c>
      <c r="H616" s="5">
        <v>10</v>
      </c>
      <c r="I616" s="5"/>
    </row>
    <row r="617" spans="1:9">
      <c r="A617" s="5">
        <v>92054</v>
      </c>
      <c r="B617" s="5">
        <v>2</v>
      </c>
      <c r="C617" s="5" t="s">
        <v>177</v>
      </c>
      <c r="D617" s="5" t="s">
        <v>177</v>
      </c>
      <c r="E617" s="5">
        <v>1</v>
      </c>
      <c r="F617" s="5">
        <v>1</v>
      </c>
      <c r="G617" s="5" t="s">
        <v>177</v>
      </c>
      <c r="H617" s="5" t="s">
        <v>177</v>
      </c>
      <c r="I617" s="5"/>
    </row>
    <row r="618" spans="1:9">
      <c r="A618" s="5">
        <v>92056</v>
      </c>
      <c r="B618" s="5">
        <v>4</v>
      </c>
      <c r="C618" s="5">
        <v>2</v>
      </c>
      <c r="D618" s="5" t="s">
        <v>177</v>
      </c>
      <c r="E618" s="5" t="s">
        <v>177</v>
      </c>
      <c r="F618" s="5">
        <v>1</v>
      </c>
      <c r="G618" s="5" t="s">
        <v>177</v>
      </c>
      <c r="H618" s="5">
        <v>1</v>
      </c>
      <c r="I618" s="5"/>
    </row>
    <row r="619" spans="1:9">
      <c r="A619" s="5">
        <v>92057</v>
      </c>
      <c r="B619" s="5">
        <v>1</v>
      </c>
      <c r="C619" s="5" t="s">
        <v>177</v>
      </c>
      <c r="D619" s="5" t="s">
        <v>177</v>
      </c>
      <c r="E619" s="5">
        <v>1</v>
      </c>
      <c r="F619" s="5" t="s">
        <v>177</v>
      </c>
      <c r="G619" s="5" t="s">
        <v>177</v>
      </c>
      <c r="H619" s="5" t="s">
        <v>177</v>
      </c>
      <c r="I619" s="5"/>
    </row>
    <row r="620" spans="1:9">
      <c r="A620" s="5">
        <v>92064</v>
      </c>
      <c r="B620" s="5">
        <v>2</v>
      </c>
      <c r="C620" s="5" t="s">
        <v>177</v>
      </c>
      <c r="D620" s="5">
        <v>1</v>
      </c>
      <c r="E620" s="5">
        <v>1</v>
      </c>
      <c r="F620" s="5" t="s">
        <v>177</v>
      </c>
      <c r="G620" s="5" t="s">
        <v>177</v>
      </c>
      <c r="H620" s="5" t="s">
        <v>177</v>
      </c>
      <c r="I620" s="5"/>
    </row>
    <row r="621" spans="1:9">
      <c r="A621" s="5">
        <v>92069</v>
      </c>
      <c r="B621" s="5">
        <v>2</v>
      </c>
      <c r="C621" s="5">
        <v>1</v>
      </c>
      <c r="D621" s="5" t="s">
        <v>177</v>
      </c>
      <c r="E621" s="5" t="s">
        <v>177</v>
      </c>
      <c r="F621" s="5">
        <v>1</v>
      </c>
      <c r="G621" s="5" t="s">
        <v>177</v>
      </c>
      <c r="H621" s="5" t="s">
        <v>177</v>
      </c>
      <c r="I621" s="5"/>
    </row>
    <row r="622" spans="1:9">
      <c r="A622" s="5">
        <v>92071</v>
      </c>
      <c r="B622" s="5">
        <v>6</v>
      </c>
      <c r="C622" s="5">
        <v>1</v>
      </c>
      <c r="D622" s="5">
        <v>3</v>
      </c>
      <c r="E622" s="5">
        <v>1</v>
      </c>
      <c r="F622" s="5" t="s">
        <v>177</v>
      </c>
      <c r="G622" s="5">
        <v>1</v>
      </c>
      <c r="H622" s="5" t="s">
        <v>177</v>
      </c>
      <c r="I622" s="5"/>
    </row>
    <row r="623" spans="1:9">
      <c r="A623" s="5">
        <v>92075</v>
      </c>
      <c r="B623" s="5">
        <v>2</v>
      </c>
      <c r="C623" s="5" t="s">
        <v>177</v>
      </c>
      <c r="D623" s="5" t="s">
        <v>177</v>
      </c>
      <c r="E623" s="5">
        <v>2</v>
      </c>
      <c r="F623" s="5" t="s">
        <v>177</v>
      </c>
      <c r="G623" s="5" t="s">
        <v>177</v>
      </c>
      <c r="H623" s="5" t="s">
        <v>177</v>
      </c>
      <c r="I623" s="5"/>
    </row>
    <row r="624" spans="1:9">
      <c r="A624" s="5">
        <v>92078</v>
      </c>
      <c r="B624" s="5">
        <v>3</v>
      </c>
      <c r="C624" s="5" t="s">
        <v>177</v>
      </c>
      <c r="D624" s="5" t="s">
        <v>177</v>
      </c>
      <c r="E624" s="5">
        <v>1</v>
      </c>
      <c r="F624" s="5">
        <v>1</v>
      </c>
      <c r="G624" s="5" t="s">
        <v>177</v>
      </c>
      <c r="H624" s="5">
        <v>1</v>
      </c>
      <c r="I624" s="5"/>
    </row>
    <row r="625" spans="1:9">
      <c r="A625" s="5">
        <v>92081</v>
      </c>
      <c r="B625" s="5">
        <v>2</v>
      </c>
      <c r="C625" s="5">
        <v>1</v>
      </c>
      <c r="D625" s="5" t="s">
        <v>177</v>
      </c>
      <c r="E625" s="5" t="s">
        <v>177</v>
      </c>
      <c r="F625" s="5" t="s">
        <v>177</v>
      </c>
      <c r="G625" s="5" t="s">
        <v>177</v>
      </c>
      <c r="H625" s="5">
        <v>1</v>
      </c>
      <c r="I625" s="5"/>
    </row>
    <row r="626" spans="1:9">
      <c r="A626" s="5">
        <v>92084</v>
      </c>
      <c r="B626" s="5">
        <v>1</v>
      </c>
      <c r="C626" s="5" t="s">
        <v>177</v>
      </c>
      <c r="D626" s="5" t="s">
        <v>177</v>
      </c>
      <c r="E626" s="5" t="s">
        <v>177</v>
      </c>
      <c r="F626" s="5" t="s">
        <v>177</v>
      </c>
      <c r="G626" s="5" t="s">
        <v>177</v>
      </c>
      <c r="H626" s="5">
        <v>1</v>
      </c>
      <c r="I626" s="5"/>
    </row>
    <row r="627" spans="1:9">
      <c r="A627" s="5">
        <v>92092</v>
      </c>
      <c r="B627" s="5">
        <v>9</v>
      </c>
      <c r="C627" s="5">
        <v>1</v>
      </c>
      <c r="D627" s="5">
        <v>1</v>
      </c>
      <c r="E627" s="5" t="s">
        <v>177</v>
      </c>
      <c r="F627" s="5">
        <v>3</v>
      </c>
      <c r="G627" s="5">
        <v>2</v>
      </c>
      <c r="H627" s="5">
        <v>2</v>
      </c>
      <c r="I627" s="5"/>
    </row>
    <row r="628" spans="1:9">
      <c r="A628" s="5">
        <v>92093</v>
      </c>
      <c r="B628" s="5">
        <v>1</v>
      </c>
      <c r="C628" s="5" t="s">
        <v>177</v>
      </c>
      <c r="D628" s="5" t="s">
        <v>177</v>
      </c>
      <c r="E628" s="5" t="s">
        <v>177</v>
      </c>
      <c r="F628" s="5">
        <v>1</v>
      </c>
      <c r="G628" s="5" t="s">
        <v>177</v>
      </c>
      <c r="H628" s="5" t="s">
        <v>177</v>
      </c>
      <c r="I628" s="5"/>
    </row>
    <row r="629" spans="1:9">
      <c r="A629" s="5">
        <v>92101</v>
      </c>
      <c r="B629" s="5">
        <v>4</v>
      </c>
      <c r="C629" s="5">
        <v>1</v>
      </c>
      <c r="D629" s="5">
        <v>2</v>
      </c>
      <c r="E629" s="5" t="s">
        <v>177</v>
      </c>
      <c r="F629" s="5">
        <v>1</v>
      </c>
      <c r="G629" s="5" t="s">
        <v>177</v>
      </c>
      <c r="H629" s="5" t="s">
        <v>177</v>
      </c>
      <c r="I629" s="5"/>
    </row>
    <row r="630" spans="1:9">
      <c r="A630" s="5">
        <v>92102</v>
      </c>
      <c r="B630" s="5">
        <v>4</v>
      </c>
      <c r="C630" s="5" t="s">
        <v>177</v>
      </c>
      <c r="D630" s="5" t="s">
        <v>177</v>
      </c>
      <c r="E630" s="5">
        <v>1</v>
      </c>
      <c r="F630" s="5">
        <v>1</v>
      </c>
      <c r="G630" s="5">
        <v>2</v>
      </c>
      <c r="H630" s="5" t="s">
        <v>177</v>
      </c>
      <c r="I630" s="5"/>
    </row>
    <row r="631" spans="1:9">
      <c r="A631" s="5">
        <v>92103</v>
      </c>
      <c r="B631" s="5">
        <v>2</v>
      </c>
      <c r="C631" s="5">
        <v>1</v>
      </c>
      <c r="D631" s="5" t="s">
        <v>177</v>
      </c>
      <c r="E631" s="5">
        <v>1</v>
      </c>
      <c r="F631" s="5" t="s">
        <v>177</v>
      </c>
      <c r="G631" s="5" t="s">
        <v>177</v>
      </c>
      <c r="H631" s="5" t="s">
        <v>177</v>
      </c>
      <c r="I631" s="5"/>
    </row>
    <row r="632" spans="1:9">
      <c r="A632" s="5">
        <v>92104</v>
      </c>
      <c r="B632" s="5">
        <v>3</v>
      </c>
      <c r="C632" s="5">
        <v>1</v>
      </c>
      <c r="D632" s="5" t="s">
        <v>177</v>
      </c>
      <c r="E632" s="5">
        <v>2</v>
      </c>
      <c r="F632" s="5" t="s">
        <v>177</v>
      </c>
      <c r="G632" s="5" t="s">
        <v>177</v>
      </c>
      <c r="H632" s="5" t="s">
        <v>177</v>
      </c>
      <c r="I632" s="5"/>
    </row>
    <row r="633" spans="1:9">
      <c r="A633" s="5">
        <v>92105</v>
      </c>
      <c r="B633" s="5">
        <v>5</v>
      </c>
      <c r="C633" s="5">
        <v>1</v>
      </c>
      <c r="D633" s="5">
        <v>2</v>
      </c>
      <c r="E633" s="5">
        <v>1</v>
      </c>
      <c r="F633" s="5" t="s">
        <v>177</v>
      </c>
      <c r="G633" s="5" t="s">
        <v>177</v>
      </c>
      <c r="H633" s="5">
        <v>1</v>
      </c>
      <c r="I633" s="5"/>
    </row>
    <row r="634" spans="1:9">
      <c r="A634" s="5">
        <v>92106</v>
      </c>
      <c r="B634" s="5">
        <v>4</v>
      </c>
      <c r="C634" s="5">
        <v>1</v>
      </c>
      <c r="D634" s="5">
        <v>1</v>
      </c>
      <c r="E634" s="5">
        <v>1</v>
      </c>
      <c r="F634" s="5">
        <v>1</v>
      </c>
      <c r="G634" s="5" t="s">
        <v>177</v>
      </c>
      <c r="H634" s="5" t="s">
        <v>177</v>
      </c>
      <c r="I634" s="5"/>
    </row>
    <row r="635" spans="1:9">
      <c r="A635" s="5">
        <v>92108</v>
      </c>
      <c r="B635" s="5">
        <v>2</v>
      </c>
      <c r="C635" s="5" t="s">
        <v>177</v>
      </c>
      <c r="D635" s="5" t="s">
        <v>177</v>
      </c>
      <c r="E635" s="5" t="s">
        <v>177</v>
      </c>
      <c r="F635" s="5">
        <v>1</v>
      </c>
      <c r="G635" s="5" t="s">
        <v>177</v>
      </c>
      <c r="H635" s="5">
        <v>1</v>
      </c>
      <c r="I635" s="5"/>
    </row>
    <row r="636" spans="1:9">
      <c r="A636" s="5">
        <v>92109</v>
      </c>
      <c r="B636" s="5">
        <v>2</v>
      </c>
      <c r="C636" s="5">
        <v>1</v>
      </c>
      <c r="D636" s="5">
        <v>1</v>
      </c>
      <c r="E636" s="5" t="s">
        <v>177</v>
      </c>
      <c r="F636" s="5" t="s">
        <v>177</v>
      </c>
      <c r="G636" s="5" t="s">
        <v>177</v>
      </c>
      <c r="H636" s="5" t="s">
        <v>177</v>
      </c>
      <c r="I636" s="5"/>
    </row>
    <row r="637" spans="1:9">
      <c r="A637" s="5">
        <v>92110</v>
      </c>
      <c r="B637" s="5">
        <v>3</v>
      </c>
      <c r="C637" s="5" t="s">
        <v>177</v>
      </c>
      <c r="D637" s="5" t="s">
        <v>177</v>
      </c>
      <c r="E637" s="5" t="s">
        <v>177</v>
      </c>
      <c r="F637" s="5">
        <v>1</v>
      </c>
      <c r="G637" s="5">
        <v>2</v>
      </c>
      <c r="H637" s="5" t="s">
        <v>177</v>
      </c>
      <c r="I637" s="5"/>
    </row>
    <row r="638" spans="1:9">
      <c r="A638" s="5">
        <v>92111</v>
      </c>
      <c r="B638" s="5">
        <v>2</v>
      </c>
      <c r="C638" s="5">
        <v>2</v>
      </c>
      <c r="D638" s="5" t="s">
        <v>177</v>
      </c>
      <c r="E638" s="5" t="s">
        <v>177</v>
      </c>
      <c r="F638" s="5" t="s">
        <v>177</v>
      </c>
      <c r="G638" s="5" t="s">
        <v>177</v>
      </c>
      <c r="H638" s="5" t="s">
        <v>177</v>
      </c>
      <c r="I638" s="5"/>
    </row>
    <row r="639" spans="1:9">
      <c r="A639" s="5">
        <v>92112</v>
      </c>
      <c r="B639" s="5">
        <v>1</v>
      </c>
      <c r="C639" s="5" t="s">
        <v>177</v>
      </c>
      <c r="D639" s="5" t="s">
        <v>177</v>
      </c>
      <c r="E639" s="5" t="s">
        <v>177</v>
      </c>
      <c r="F639" s="5">
        <v>1</v>
      </c>
      <c r="G639" s="5" t="s">
        <v>177</v>
      </c>
      <c r="H639" s="5" t="s">
        <v>177</v>
      </c>
      <c r="I639" s="5"/>
    </row>
    <row r="640" spans="1:9">
      <c r="A640" s="5">
        <v>92113</v>
      </c>
      <c r="B640" s="5">
        <v>5</v>
      </c>
      <c r="C640" s="5" t="s">
        <v>177</v>
      </c>
      <c r="D640" s="5" t="s">
        <v>177</v>
      </c>
      <c r="E640" s="5">
        <v>2</v>
      </c>
      <c r="F640" s="5">
        <v>1</v>
      </c>
      <c r="G640" s="5">
        <v>2</v>
      </c>
      <c r="H640" s="5" t="s">
        <v>177</v>
      </c>
      <c r="I640" s="5"/>
    </row>
    <row r="641" spans="1:9">
      <c r="A641" s="5">
        <v>92114</v>
      </c>
      <c r="B641" s="5">
        <v>3</v>
      </c>
      <c r="C641" s="5" t="s">
        <v>177</v>
      </c>
      <c r="D641" s="5">
        <v>1</v>
      </c>
      <c r="E641" s="5">
        <v>2</v>
      </c>
      <c r="F641" s="5" t="s">
        <v>177</v>
      </c>
      <c r="G641" s="5" t="s">
        <v>177</v>
      </c>
      <c r="H641" s="5" t="s">
        <v>177</v>
      </c>
      <c r="I641" s="5"/>
    </row>
    <row r="642" spans="1:9">
      <c r="A642" s="5">
        <v>92115</v>
      </c>
      <c r="B642" s="5">
        <v>6</v>
      </c>
      <c r="C642" s="5">
        <v>1</v>
      </c>
      <c r="D642" s="5">
        <v>3</v>
      </c>
      <c r="E642" s="5" t="s">
        <v>177</v>
      </c>
      <c r="F642" s="5">
        <v>1</v>
      </c>
      <c r="G642" s="5">
        <v>1</v>
      </c>
      <c r="H642" s="5" t="s">
        <v>177</v>
      </c>
      <c r="I642" s="5"/>
    </row>
    <row r="643" spans="1:9">
      <c r="A643" s="5">
        <v>92116</v>
      </c>
      <c r="B643" s="5">
        <v>2</v>
      </c>
      <c r="C643" s="5" t="s">
        <v>177</v>
      </c>
      <c r="D643" s="5" t="s">
        <v>177</v>
      </c>
      <c r="E643" s="5" t="s">
        <v>177</v>
      </c>
      <c r="F643" s="5" t="s">
        <v>177</v>
      </c>
      <c r="G643" s="5">
        <v>1</v>
      </c>
      <c r="H643" s="5">
        <v>1</v>
      </c>
      <c r="I643" s="5"/>
    </row>
    <row r="644" spans="1:9">
      <c r="A644" s="5">
        <v>92117</v>
      </c>
      <c r="B644" s="5">
        <v>3</v>
      </c>
      <c r="C644" s="5">
        <v>1</v>
      </c>
      <c r="D644" s="5" t="s">
        <v>177</v>
      </c>
      <c r="E644" s="5">
        <v>1</v>
      </c>
      <c r="F644" s="5" t="s">
        <v>177</v>
      </c>
      <c r="G644" s="5" t="s">
        <v>177</v>
      </c>
      <c r="H644" s="5">
        <v>1</v>
      </c>
      <c r="I644" s="5"/>
    </row>
    <row r="645" spans="1:9">
      <c r="A645" s="5">
        <v>92118</v>
      </c>
      <c r="B645" s="5">
        <v>202</v>
      </c>
      <c r="C645" s="5">
        <v>40</v>
      </c>
      <c r="D645" s="5">
        <v>19</v>
      </c>
      <c r="E645" s="5">
        <v>39</v>
      </c>
      <c r="F645" s="5">
        <v>24</v>
      </c>
      <c r="G645" s="5">
        <v>10</v>
      </c>
      <c r="H645" s="5">
        <v>70</v>
      </c>
      <c r="I645" s="5"/>
    </row>
    <row r="646" spans="1:9">
      <c r="A646" s="5">
        <v>92119</v>
      </c>
      <c r="B646" s="5">
        <v>41</v>
      </c>
      <c r="C646" s="5">
        <v>7</v>
      </c>
      <c r="D646" s="5">
        <v>9</v>
      </c>
      <c r="E646" s="5">
        <v>6</v>
      </c>
      <c r="F646" s="5">
        <v>3</v>
      </c>
      <c r="G646" s="5">
        <v>9</v>
      </c>
      <c r="H646" s="5">
        <v>7</v>
      </c>
      <c r="I646" s="5"/>
    </row>
    <row r="647" spans="1:9">
      <c r="A647" s="5">
        <v>92120</v>
      </c>
      <c r="B647" s="5">
        <v>1</v>
      </c>
      <c r="C647" s="5" t="s">
        <v>177</v>
      </c>
      <c r="D647" s="5" t="s">
        <v>177</v>
      </c>
      <c r="E647" s="5">
        <v>1</v>
      </c>
      <c r="F647" s="5" t="s">
        <v>177</v>
      </c>
      <c r="G647" s="5" t="s">
        <v>177</v>
      </c>
      <c r="H647" s="5" t="s">
        <v>177</v>
      </c>
      <c r="I647" s="5"/>
    </row>
    <row r="648" spans="1:9">
      <c r="A648" s="5">
        <v>92121</v>
      </c>
      <c r="B648" s="5">
        <v>3</v>
      </c>
      <c r="C648" s="5">
        <v>2</v>
      </c>
      <c r="D648" s="5" t="s">
        <v>177</v>
      </c>
      <c r="E648" s="5" t="s">
        <v>177</v>
      </c>
      <c r="F648" s="5">
        <v>1</v>
      </c>
      <c r="G648" s="5" t="s">
        <v>177</v>
      </c>
      <c r="H648" s="5" t="s">
        <v>177</v>
      </c>
      <c r="I648" s="5"/>
    </row>
    <row r="649" spans="1:9">
      <c r="A649" s="5">
        <v>92122</v>
      </c>
      <c r="B649" s="5">
        <v>1</v>
      </c>
      <c r="C649" s="5" t="s">
        <v>177</v>
      </c>
      <c r="D649" s="5" t="s">
        <v>177</v>
      </c>
      <c r="E649" s="5" t="s">
        <v>177</v>
      </c>
      <c r="F649" s="5" t="s">
        <v>177</v>
      </c>
      <c r="G649" s="5" t="s">
        <v>177</v>
      </c>
      <c r="H649" s="5">
        <v>1</v>
      </c>
      <c r="I649" s="5"/>
    </row>
    <row r="650" spans="1:9">
      <c r="A650" s="5">
        <v>92123</v>
      </c>
      <c r="B650" s="5">
        <v>3</v>
      </c>
      <c r="C650" s="5" t="s">
        <v>177</v>
      </c>
      <c r="D650" s="5">
        <v>1</v>
      </c>
      <c r="E650" s="5">
        <v>1</v>
      </c>
      <c r="F650" s="5" t="s">
        <v>177</v>
      </c>
      <c r="G650" s="5">
        <v>1</v>
      </c>
      <c r="H650" s="5" t="s">
        <v>177</v>
      </c>
      <c r="I650" s="5"/>
    </row>
    <row r="651" spans="1:9">
      <c r="A651" s="5">
        <v>92124</v>
      </c>
      <c r="B651" s="5">
        <v>3</v>
      </c>
      <c r="C651" s="5" t="s">
        <v>177</v>
      </c>
      <c r="D651" s="5" t="s">
        <v>177</v>
      </c>
      <c r="E651" s="5">
        <v>2</v>
      </c>
      <c r="F651" s="5">
        <v>1</v>
      </c>
      <c r="G651" s="5" t="s">
        <v>177</v>
      </c>
      <c r="H651" s="5" t="s">
        <v>177</v>
      </c>
      <c r="I651" s="5"/>
    </row>
    <row r="652" spans="1:9">
      <c r="A652" s="5">
        <v>92126</v>
      </c>
      <c r="B652" s="5">
        <v>6</v>
      </c>
      <c r="C652" s="5">
        <v>1</v>
      </c>
      <c r="D652" s="5">
        <v>1</v>
      </c>
      <c r="E652" s="5" t="s">
        <v>177</v>
      </c>
      <c r="F652" s="5">
        <v>1</v>
      </c>
      <c r="G652" s="5" t="s">
        <v>177</v>
      </c>
      <c r="H652" s="5">
        <v>3</v>
      </c>
      <c r="I652" s="5"/>
    </row>
    <row r="653" spans="1:9">
      <c r="A653" s="5">
        <v>92127</v>
      </c>
      <c r="B653" s="5">
        <v>3</v>
      </c>
      <c r="C653" s="5" t="s">
        <v>177</v>
      </c>
      <c r="D653" s="5" t="s">
        <v>177</v>
      </c>
      <c r="E653" s="5" t="s">
        <v>177</v>
      </c>
      <c r="F653" s="5">
        <v>1</v>
      </c>
      <c r="G653" s="5" t="s">
        <v>177</v>
      </c>
      <c r="H653" s="5">
        <v>2</v>
      </c>
      <c r="I653" s="5"/>
    </row>
    <row r="654" spans="1:9">
      <c r="A654" s="5">
        <v>92128</v>
      </c>
      <c r="B654" s="5">
        <v>2</v>
      </c>
      <c r="C654" s="5" t="s">
        <v>177</v>
      </c>
      <c r="D654" s="5" t="s">
        <v>177</v>
      </c>
      <c r="E654" s="5" t="s">
        <v>177</v>
      </c>
      <c r="F654" s="5" t="s">
        <v>177</v>
      </c>
      <c r="G654" s="5">
        <v>1</v>
      </c>
      <c r="H654" s="5">
        <v>1</v>
      </c>
      <c r="I654" s="5"/>
    </row>
    <row r="655" spans="1:9">
      <c r="A655" s="5">
        <v>92129</v>
      </c>
      <c r="B655" s="5">
        <v>3</v>
      </c>
      <c r="C655" s="5">
        <v>1</v>
      </c>
      <c r="D655" s="5">
        <v>1</v>
      </c>
      <c r="E655" s="5" t="s">
        <v>177</v>
      </c>
      <c r="F655" s="5" t="s">
        <v>177</v>
      </c>
      <c r="G655" s="5">
        <v>1</v>
      </c>
      <c r="H655" s="5" t="s">
        <v>177</v>
      </c>
      <c r="I655" s="5"/>
    </row>
    <row r="656" spans="1:9">
      <c r="A656" s="5">
        <v>92130</v>
      </c>
      <c r="B656" s="5">
        <v>9</v>
      </c>
      <c r="C656" s="5">
        <v>6</v>
      </c>
      <c r="D656" s="5">
        <v>2</v>
      </c>
      <c r="E656" s="5" t="s">
        <v>177</v>
      </c>
      <c r="F656" s="5" t="s">
        <v>177</v>
      </c>
      <c r="G656" s="5" t="s">
        <v>177</v>
      </c>
      <c r="H656" s="5">
        <v>1</v>
      </c>
      <c r="I656" s="5"/>
    </row>
    <row r="657" spans="1:9">
      <c r="A657" s="5">
        <v>92137</v>
      </c>
      <c r="B657" s="5">
        <v>1</v>
      </c>
      <c r="C657" s="5" t="s">
        <v>177</v>
      </c>
      <c r="D657" s="5" t="s">
        <v>177</v>
      </c>
      <c r="E657" s="5" t="s">
        <v>177</v>
      </c>
      <c r="F657" s="5" t="s">
        <v>177</v>
      </c>
      <c r="G657" s="5" t="s">
        <v>177</v>
      </c>
      <c r="H657" s="5">
        <v>1</v>
      </c>
      <c r="I657" s="5"/>
    </row>
    <row r="658" spans="1:9">
      <c r="A658" s="5">
        <v>92139</v>
      </c>
      <c r="B658" s="5">
        <v>1</v>
      </c>
      <c r="C658" s="5" t="s">
        <v>177</v>
      </c>
      <c r="D658" s="5" t="s">
        <v>177</v>
      </c>
      <c r="E658" s="5">
        <v>1</v>
      </c>
      <c r="F658" s="5" t="s">
        <v>177</v>
      </c>
      <c r="G658" s="5" t="s">
        <v>177</v>
      </c>
      <c r="H658" s="5" t="s">
        <v>177</v>
      </c>
      <c r="I658" s="5"/>
    </row>
    <row r="659" spans="1:9">
      <c r="A659" s="5">
        <v>92153</v>
      </c>
      <c r="B659" s="5">
        <v>2</v>
      </c>
      <c r="C659" s="5" t="s">
        <v>177</v>
      </c>
      <c r="D659" s="5" t="s">
        <v>177</v>
      </c>
      <c r="E659" s="5">
        <v>1</v>
      </c>
      <c r="F659" s="5" t="s">
        <v>177</v>
      </c>
      <c r="G659" s="5">
        <v>1</v>
      </c>
      <c r="H659" s="5" t="s">
        <v>177</v>
      </c>
      <c r="I659" s="5"/>
    </row>
    <row r="660" spans="1:9">
      <c r="A660" s="5">
        <v>92154</v>
      </c>
      <c r="B660" s="5">
        <v>9</v>
      </c>
      <c r="C660" s="5">
        <v>2</v>
      </c>
      <c r="D660" s="5">
        <v>2</v>
      </c>
      <c r="E660" s="5">
        <v>1</v>
      </c>
      <c r="F660" s="5">
        <v>2</v>
      </c>
      <c r="G660" s="5">
        <v>2</v>
      </c>
      <c r="H660" s="5" t="s">
        <v>177</v>
      </c>
      <c r="I660" s="5"/>
    </row>
    <row r="661" spans="1:9">
      <c r="A661" s="5">
        <v>92173</v>
      </c>
      <c r="B661" s="5">
        <v>4</v>
      </c>
      <c r="C661" s="5">
        <v>3</v>
      </c>
      <c r="D661" s="5" t="s">
        <v>177</v>
      </c>
      <c r="E661" s="5" t="s">
        <v>177</v>
      </c>
      <c r="F661" s="5">
        <v>1</v>
      </c>
      <c r="G661" s="5" t="s">
        <v>177</v>
      </c>
      <c r="H661" s="5" t="s">
        <v>177</v>
      </c>
      <c r="I661" s="5"/>
    </row>
    <row r="662" spans="1:9">
      <c r="A662" s="5">
        <v>92201</v>
      </c>
      <c r="B662" s="5">
        <v>84</v>
      </c>
      <c r="C662" s="5">
        <v>9</v>
      </c>
      <c r="D662" s="5">
        <v>12</v>
      </c>
      <c r="E662" s="5">
        <v>9</v>
      </c>
      <c r="F662" s="5">
        <v>18</v>
      </c>
      <c r="G662" s="5">
        <v>11</v>
      </c>
      <c r="H662" s="5">
        <v>25</v>
      </c>
      <c r="I662" s="5"/>
    </row>
    <row r="663" spans="1:9">
      <c r="A663" s="5">
        <v>92203</v>
      </c>
      <c r="B663" s="5">
        <v>51</v>
      </c>
      <c r="C663" s="5">
        <v>4</v>
      </c>
      <c r="D663" s="5">
        <v>5</v>
      </c>
      <c r="E663" s="5">
        <v>6</v>
      </c>
      <c r="F663" s="5">
        <v>16</v>
      </c>
      <c r="G663" s="5">
        <v>4</v>
      </c>
      <c r="H663" s="5">
        <v>16</v>
      </c>
      <c r="I663" s="5"/>
    </row>
    <row r="664" spans="1:9">
      <c r="A664" s="5">
        <v>92210</v>
      </c>
      <c r="B664" s="5">
        <v>6</v>
      </c>
      <c r="C664" s="5" t="s">
        <v>177</v>
      </c>
      <c r="D664" s="5">
        <v>2</v>
      </c>
      <c r="E664" s="5">
        <v>1</v>
      </c>
      <c r="F664" s="5">
        <v>1</v>
      </c>
      <c r="G664" s="5">
        <v>1</v>
      </c>
      <c r="H664" s="5">
        <v>1</v>
      </c>
      <c r="I664" s="5"/>
    </row>
    <row r="665" spans="1:9">
      <c r="A665" s="5">
        <v>92211</v>
      </c>
      <c r="B665" s="5">
        <v>44</v>
      </c>
      <c r="C665" s="5">
        <v>6</v>
      </c>
      <c r="D665" s="5">
        <v>6</v>
      </c>
      <c r="E665" s="5">
        <v>7</v>
      </c>
      <c r="F665" s="5">
        <v>8</v>
      </c>
      <c r="G665" s="5">
        <v>8</v>
      </c>
      <c r="H665" s="5">
        <v>9</v>
      </c>
      <c r="I665" s="5"/>
    </row>
    <row r="666" spans="1:9">
      <c r="A666" s="5">
        <v>92220</v>
      </c>
      <c r="B666" s="5">
        <v>161</v>
      </c>
      <c r="C666" s="5">
        <v>22</v>
      </c>
      <c r="D666" s="5">
        <v>14</v>
      </c>
      <c r="E666" s="5">
        <v>49</v>
      </c>
      <c r="F666" s="5">
        <v>14</v>
      </c>
      <c r="G666" s="5">
        <v>41</v>
      </c>
      <c r="H666" s="5">
        <v>21</v>
      </c>
      <c r="I666" s="5"/>
    </row>
    <row r="667" spans="1:9">
      <c r="A667" s="5">
        <v>92223</v>
      </c>
      <c r="B667" s="5">
        <v>314</v>
      </c>
      <c r="C667" s="5">
        <v>51</v>
      </c>
      <c r="D667" s="5">
        <v>25</v>
      </c>
      <c r="E667" s="5">
        <v>92</v>
      </c>
      <c r="F667" s="5">
        <v>39</v>
      </c>
      <c r="G667" s="5">
        <v>63</v>
      </c>
      <c r="H667" s="5">
        <v>44</v>
      </c>
      <c r="I667" s="5"/>
    </row>
    <row r="668" spans="1:9">
      <c r="A668" s="5">
        <v>92230</v>
      </c>
      <c r="B668" s="5">
        <v>19</v>
      </c>
      <c r="C668" s="5">
        <v>4</v>
      </c>
      <c r="D668" s="5">
        <v>2</v>
      </c>
      <c r="E668" s="5">
        <v>3</v>
      </c>
      <c r="F668" s="5">
        <v>7</v>
      </c>
      <c r="G668" s="5">
        <v>1</v>
      </c>
      <c r="H668" s="5">
        <v>2</v>
      </c>
      <c r="I668" s="5"/>
    </row>
    <row r="669" spans="1:9">
      <c r="A669" s="5">
        <v>92234</v>
      </c>
      <c r="B669" s="5">
        <v>85</v>
      </c>
      <c r="C669" s="5">
        <v>8</v>
      </c>
      <c r="D669" s="5">
        <v>9</v>
      </c>
      <c r="E669" s="5">
        <v>5</v>
      </c>
      <c r="F669" s="5">
        <v>20</v>
      </c>
      <c r="G669" s="5">
        <v>21</v>
      </c>
      <c r="H669" s="5">
        <v>22</v>
      </c>
      <c r="I669" s="5"/>
    </row>
    <row r="670" spans="1:9">
      <c r="A670" s="5">
        <v>92236</v>
      </c>
      <c r="B670" s="5">
        <v>62</v>
      </c>
      <c r="C670" s="5">
        <v>5</v>
      </c>
      <c r="D670" s="5">
        <v>16</v>
      </c>
      <c r="E670" s="5">
        <v>5</v>
      </c>
      <c r="F670" s="5">
        <v>21</v>
      </c>
      <c r="G670" s="5">
        <v>4</v>
      </c>
      <c r="H670" s="5">
        <v>11</v>
      </c>
      <c r="I670" s="5"/>
    </row>
    <row r="671" spans="1:9">
      <c r="A671" s="5">
        <v>92240</v>
      </c>
      <c r="B671" s="5">
        <v>70</v>
      </c>
      <c r="C671" s="5">
        <v>13</v>
      </c>
      <c r="D671" s="5">
        <v>6</v>
      </c>
      <c r="E671" s="5">
        <v>14</v>
      </c>
      <c r="F671" s="5">
        <v>8</v>
      </c>
      <c r="G671" s="5">
        <v>14</v>
      </c>
      <c r="H671" s="5">
        <v>15</v>
      </c>
      <c r="I671" s="5"/>
    </row>
    <row r="672" spans="1:9">
      <c r="A672" s="5">
        <v>92241</v>
      </c>
      <c r="B672" s="5">
        <v>19</v>
      </c>
      <c r="C672" s="5">
        <v>3</v>
      </c>
      <c r="D672" s="5">
        <v>4</v>
      </c>
      <c r="E672" s="5">
        <v>3</v>
      </c>
      <c r="F672" s="5">
        <v>3</v>
      </c>
      <c r="G672" s="5">
        <v>3</v>
      </c>
      <c r="H672" s="5">
        <v>3</v>
      </c>
      <c r="I672" s="5"/>
    </row>
    <row r="673" spans="1:9">
      <c r="A673" s="5">
        <v>92253</v>
      </c>
      <c r="B673" s="5">
        <v>66</v>
      </c>
      <c r="C673" s="5">
        <v>9</v>
      </c>
      <c r="D673" s="5">
        <v>4</v>
      </c>
      <c r="E673" s="5">
        <v>7</v>
      </c>
      <c r="F673" s="5">
        <v>16</v>
      </c>
      <c r="G673" s="5">
        <v>7</v>
      </c>
      <c r="H673" s="5">
        <v>23</v>
      </c>
      <c r="I673" s="5"/>
    </row>
    <row r="674" spans="1:9">
      <c r="A674" s="5">
        <v>92260</v>
      </c>
      <c r="B674" s="5">
        <v>46</v>
      </c>
      <c r="C674" s="5">
        <v>6</v>
      </c>
      <c r="D674" s="5">
        <v>7</v>
      </c>
      <c r="E674" s="5">
        <v>7</v>
      </c>
      <c r="F674" s="5">
        <v>3</v>
      </c>
      <c r="G674" s="5">
        <v>11</v>
      </c>
      <c r="H674" s="5">
        <v>12</v>
      </c>
      <c r="I674" s="5"/>
    </row>
    <row r="675" spans="1:9">
      <c r="A675" s="5">
        <v>92262</v>
      </c>
      <c r="B675" s="5">
        <v>55</v>
      </c>
      <c r="C675" s="5">
        <v>6</v>
      </c>
      <c r="D675" s="5">
        <v>7</v>
      </c>
      <c r="E675" s="5">
        <v>6</v>
      </c>
      <c r="F675" s="5">
        <v>10</v>
      </c>
      <c r="G675" s="5">
        <v>7</v>
      </c>
      <c r="H675" s="5">
        <v>19</v>
      </c>
      <c r="I675" s="5"/>
    </row>
    <row r="676" spans="1:9">
      <c r="A676" s="5">
        <v>92264</v>
      </c>
      <c r="B676" s="5">
        <v>23</v>
      </c>
      <c r="C676" s="5">
        <v>5</v>
      </c>
      <c r="D676" s="5">
        <v>1</v>
      </c>
      <c r="E676" s="5">
        <v>3</v>
      </c>
      <c r="F676" s="5">
        <v>5</v>
      </c>
      <c r="G676" s="5">
        <v>2</v>
      </c>
      <c r="H676" s="5">
        <v>7</v>
      </c>
      <c r="I676" s="5"/>
    </row>
    <row r="677" spans="1:9">
      <c r="A677" s="5">
        <v>92270</v>
      </c>
      <c r="B677" s="5">
        <v>26</v>
      </c>
      <c r="C677" s="5">
        <v>1</v>
      </c>
      <c r="D677" s="5">
        <v>4</v>
      </c>
      <c r="E677" s="5">
        <v>3</v>
      </c>
      <c r="F677" s="5">
        <v>10</v>
      </c>
      <c r="G677" s="5">
        <v>4</v>
      </c>
      <c r="H677" s="5">
        <v>4</v>
      </c>
      <c r="I677" s="5"/>
    </row>
    <row r="678" spans="1:9">
      <c r="A678" s="5">
        <v>92276</v>
      </c>
      <c r="B678" s="5">
        <v>16</v>
      </c>
      <c r="C678" s="5">
        <v>6</v>
      </c>
      <c r="D678" s="5">
        <v>1</v>
      </c>
      <c r="E678" s="5">
        <v>2</v>
      </c>
      <c r="F678" s="5">
        <v>1</v>
      </c>
      <c r="G678" s="5">
        <v>1</v>
      </c>
      <c r="H678" s="5">
        <v>5</v>
      </c>
      <c r="I678" s="5"/>
    </row>
    <row r="679" spans="1:9">
      <c r="A679" s="5">
        <v>92316</v>
      </c>
      <c r="B679" s="5">
        <v>3</v>
      </c>
      <c r="C679" s="5" t="s">
        <v>177</v>
      </c>
      <c r="D679" s="5">
        <v>1</v>
      </c>
      <c r="E679" s="5">
        <v>2</v>
      </c>
      <c r="F679" s="5" t="s">
        <v>177</v>
      </c>
      <c r="G679" s="5" t="s">
        <v>177</v>
      </c>
      <c r="H679" s="5" t="s">
        <v>177</v>
      </c>
      <c r="I679" s="5"/>
    </row>
    <row r="680" spans="1:9">
      <c r="A680" s="5">
        <v>92320</v>
      </c>
      <c r="B680" s="5">
        <v>20</v>
      </c>
      <c r="C680" s="5">
        <v>4</v>
      </c>
      <c r="D680" s="5">
        <v>4</v>
      </c>
      <c r="E680" s="5">
        <v>2</v>
      </c>
      <c r="F680" s="5">
        <v>1</v>
      </c>
      <c r="G680" s="5">
        <v>6</v>
      </c>
      <c r="H680" s="5">
        <v>3</v>
      </c>
      <c r="I680" s="5"/>
    </row>
    <row r="681" spans="1:9">
      <c r="A681" s="5">
        <v>92324</v>
      </c>
      <c r="B681" s="5">
        <v>3</v>
      </c>
      <c r="C681" s="5" t="s">
        <v>177</v>
      </c>
      <c r="D681" s="5">
        <v>2</v>
      </c>
      <c r="E681" s="5">
        <v>1</v>
      </c>
      <c r="F681" s="5" t="s">
        <v>177</v>
      </c>
      <c r="G681" s="5" t="s">
        <v>177</v>
      </c>
      <c r="H681" s="5" t="s">
        <v>177</v>
      </c>
      <c r="I681" s="5"/>
    </row>
    <row r="682" spans="1:9">
      <c r="A682" s="5">
        <v>92335</v>
      </c>
      <c r="B682" s="5">
        <v>5</v>
      </c>
      <c r="C682" s="5">
        <v>2</v>
      </c>
      <c r="D682" s="5">
        <v>1</v>
      </c>
      <c r="E682" s="5">
        <v>1</v>
      </c>
      <c r="F682" s="5" t="s">
        <v>177</v>
      </c>
      <c r="G682" s="5">
        <v>1</v>
      </c>
      <c r="H682" s="5" t="s">
        <v>177</v>
      </c>
      <c r="I682" s="5"/>
    </row>
    <row r="683" spans="1:9">
      <c r="A683" s="5">
        <v>92336</v>
      </c>
      <c r="B683" s="5">
        <v>7</v>
      </c>
      <c r="C683" s="5">
        <v>3</v>
      </c>
      <c r="D683" s="5">
        <v>2</v>
      </c>
      <c r="E683" s="5">
        <v>1</v>
      </c>
      <c r="F683" s="5" t="s">
        <v>177</v>
      </c>
      <c r="G683" s="5">
        <v>1</v>
      </c>
      <c r="H683" s="5" t="s">
        <v>177</v>
      </c>
      <c r="I683" s="5"/>
    </row>
    <row r="684" spans="1:9">
      <c r="A684" s="5">
        <v>92337</v>
      </c>
      <c r="B684" s="5">
        <v>2</v>
      </c>
      <c r="C684" s="5">
        <v>2</v>
      </c>
      <c r="D684" s="5" t="s">
        <v>177</v>
      </c>
      <c r="E684" s="5" t="s">
        <v>177</v>
      </c>
      <c r="F684" s="5" t="s">
        <v>177</v>
      </c>
      <c r="G684" s="5" t="s">
        <v>177</v>
      </c>
      <c r="H684" s="5" t="s">
        <v>177</v>
      </c>
      <c r="I684" s="5"/>
    </row>
    <row r="685" spans="1:9">
      <c r="A685" s="5">
        <v>92345</v>
      </c>
      <c r="B685" s="5">
        <v>223</v>
      </c>
      <c r="C685" s="5">
        <v>41</v>
      </c>
      <c r="D685" s="5">
        <v>25</v>
      </c>
      <c r="E685" s="5">
        <v>52</v>
      </c>
      <c r="F685" s="5">
        <v>25</v>
      </c>
      <c r="G685" s="5">
        <v>52</v>
      </c>
      <c r="H685" s="5">
        <v>28</v>
      </c>
      <c r="I685" s="5"/>
    </row>
    <row r="686" spans="1:9">
      <c r="A686" s="5">
        <v>92346</v>
      </c>
      <c r="B686" s="5">
        <v>1</v>
      </c>
      <c r="C686" s="5" t="s">
        <v>177</v>
      </c>
      <c r="D686" s="5" t="s">
        <v>177</v>
      </c>
      <c r="E686" s="5">
        <v>1</v>
      </c>
      <c r="F686" s="5" t="s">
        <v>177</v>
      </c>
      <c r="G686" s="5" t="s">
        <v>177</v>
      </c>
      <c r="H686" s="5" t="s">
        <v>177</v>
      </c>
      <c r="I686" s="5"/>
    </row>
    <row r="687" spans="1:9">
      <c r="A687" s="5">
        <v>92350</v>
      </c>
      <c r="B687" s="5">
        <v>1</v>
      </c>
      <c r="C687" s="5" t="s">
        <v>177</v>
      </c>
      <c r="D687" s="5" t="s">
        <v>177</v>
      </c>
      <c r="E687" s="5">
        <v>1</v>
      </c>
      <c r="F687" s="5" t="s">
        <v>177</v>
      </c>
      <c r="G687" s="5" t="s">
        <v>177</v>
      </c>
      <c r="H687" s="5" t="s">
        <v>177</v>
      </c>
      <c r="I687" s="5"/>
    </row>
    <row r="688" spans="1:9">
      <c r="A688" s="5">
        <v>92354</v>
      </c>
      <c r="B688" s="5">
        <v>2</v>
      </c>
      <c r="C688" s="5" t="s">
        <v>177</v>
      </c>
      <c r="D688" s="5" t="s">
        <v>177</v>
      </c>
      <c r="E688" s="5">
        <v>2</v>
      </c>
      <c r="F688" s="5" t="s">
        <v>177</v>
      </c>
      <c r="G688" s="5" t="s">
        <v>177</v>
      </c>
      <c r="H688" s="5" t="s">
        <v>177</v>
      </c>
      <c r="I688" s="5"/>
    </row>
    <row r="689" spans="1:9">
      <c r="A689" s="5">
        <v>92359</v>
      </c>
      <c r="B689" s="5">
        <v>10</v>
      </c>
      <c r="C689" s="5">
        <v>1</v>
      </c>
      <c r="D689" s="5">
        <v>3</v>
      </c>
      <c r="E689" s="5">
        <v>4</v>
      </c>
      <c r="F689" s="5">
        <v>1</v>
      </c>
      <c r="G689" s="5">
        <v>1</v>
      </c>
      <c r="H689" s="5" t="s">
        <v>177</v>
      </c>
      <c r="I689" s="5"/>
    </row>
    <row r="690" spans="1:9">
      <c r="A690" s="5">
        <v>92373</v>
      </c>
      <c r="B690" s="5">
        <v>26</v>
      </c>
      <c r="C690" s="5">
        <v>4</v>
      </c>
      <c r="D690" s="5">
        <v>1</v>
      </c>
      <c r="E690" s="5">
        <v>5</v>
      </c>
      <c r="F690" s="5">
        <v>2</v>
      </c>
      <c r="G690" s="5">
        <v>10</v>
      </c>
      <c r="H690" s="5">
        <v>4</v>
      </c>
      <c r="I690" s="5"/>
    </row>
    <row r="691" spans="1:9">
      <c r="A691" s="5">
        <v>92374</v>
      </c>
      <c r="B691" s="5">
        <v>3</v>
      </c>
      <c r="C691" s="5">
        <v>1</v>
      </c>
      <c r="D691" s="5">
        <v>1</v>
      </c>
      <c r="E691" s="5" t="s">
        <v>177</v>
      </c>
      <c r="F691" s="5" t="s">
        <v>177</v>
      </c>
      <c r="G691" s="5" t="s">
        <v>177</v>
      </c>
      <c r="H691" s="5">
        <v>1</v>
      </c>
      <c r="I691" s="5"/>
    </row>
    <row r="692" spans="1:9">
      <c r="A692" s="5">
        <v>92376</v>
      </c>
      <c r="B692" s="5">
        <v>6</v>
      </c>
      <c r="C692" s="5" t="s">
        <v>177</v>
      </c>
      <c r="D692" s="5" t="s">
        <v>177</v>
      </c>
      <c r="E692" s="5">
        <v>4</v>
      </c>
      <c r="F692" s="5">
        <v>1</v>
      </c>
      <c r="G692" s="5">
        <v>1</v>
      </c>
      <c r="H692" s="5" t="s">
        <v>177</v>
      </c>
      <c r="I692" s="5"/>
    </row>
    <row r="693" spans="1:9">
      <c r="A693" s="5">
        <v>92392</v>
      </c>
      <c r="B693" s="5">
        <v>117</v>
      </c>
      <c r="C693" s="5">
        <v>17</v>
      </c>
      <c r="D693" s="5">
        <v>11</v>
      </c>
      <c r="E693" s="5">
        <v>30</v>
      </c>
      <c r="F693" s="5">
        <v>11</v>
      </c>
      <c r="G693" s="5">
        <v>31</v>
      </c>
      <c r="H693" s="5">
        <v>17</v>
      </c>
      <c r="I693" s="5"/>
    </row>
    <row r="694" spans="1:9">
      <c r="A694" s="5">
        <v>92399</v>
      </c>
      <c r="B694" s="5">
        <v>75</v>
      </c>
      <c r="C694" s="5">
        <v>11</v>
      </c>
      <c r="D694" s="5">
        <v>4</v>
      </c>
      <c r="E694" s="5">
        <v>27</v>
      </c>
      <c r="F694" s="5">
        <v>7</v>
      </c>
      <c r="G694" s="5">
        <v>14</v>
      </c>
      <c r="H694" s="5">
        <v>12</v>
      </c>
      <c r="I694" s="5"/>
    </row>
    <row r="695" spans="1:9">
      <c r="A695" s="5">
        <v>92401</v>
      </c>
      <c r="B695" s="5">
        <v>3</v>
      </c>
      <c r="C695" s="5" t="s">
        <v>177</v>
      </c>
      <c r="D695" s="5" t="s">
        <v>177</v>
      </c>
      <c r="E695" s="5" t="s">
        <v>177</v>
      </c>
      <c r="F695" s="5">
        <v>1</v>
      </c>
      <c r="G695" s="5">
        <v>1</v>
      </c>
      <c r="H695" s="5">
        <v>1</v>
      </c>
      <c r="I695" s="5"/>
    </row>
    <row r="696" spans="1:9">
      <c r="A696" s="5">
        <v>92404</v>
      </c>
      <c r="B696" s="5">
        <v>3</v>
      </c>
      <c r="C696" s="5" t="s">
        <v>177</v>
      </c>
      <c r="D696" s="5">
        <v>2</v>
      </c>
      <c r="E696" s="5" t="s">
        <v>177</v>
      </c>
      <c r="F696" s="5">
        <v>1</v>
      </c>
      <c r="G696" s="5" t="s">
        <v>177</v>
      </c>
      <c r="H696" s="5" t="s">
        <v>177</v>
      </c>
      <c r="I696" s="5"/>
    </row>
    <row r="697" spans="1:9">
      <c r="A697" s="5">
        <v>92405</v>
      </c>
      <c r="B697" s="5">
        <v>1</v>
      </c>
      <c r="C697" s="5">
        <v>1</v>
      </c>
      <c r="D697" s="5" t="s">
        <v>177</v>
      </c>
      <c r="E697" s="5" t="s">
        <v>177</v>
      </c>
      <c r="F697" s="5" t="s">
        <v>177</v>
      </c>
      <c r="G697" s="5" t="s">
        <v>177</v>
      </c>
      <c r="H697" s="5" t="s">
        <v>177</v>
      </c>
      <c r="I697" s="5"/>
    </row>
    <row r="698" spans="1:9">
      <c r="A698" s="5">
        <v>92407</v>
      </c>
      <c r="B698" s="5">
        <v>137</v>
      </c>
      <c r="C698" s="5">
        <v>23</v>
      </c>
      <c r="D698" s="5">
        <v>14</v>
      </c>
      <c r="E698" s="5">
        <v>37</v>
      </c>
      <c r="F698" s="5">
        <v>12</v>
      </c>
      <c r="G698" s="5">
        <v>32</v>
      </c>
      <c r="H698" s="5">
        <v>19</v>
      </c>
      <c r="I698" s="5"/>
    </row>
    <row r="699" spans="1:9">
      <c r="A699" s="5">
        <v>92410</v>
      </c>
      <c r="B699" s="5">
        <v>2</v>
      </c>
      <c r="C699" s="5">
        <v>1</v>
      </c>
      <c r="D699" s="5" t="s">
        <v>177</v>
      </c>
      <c r="E699" s="5">
        <v>1</v>
      </c>
      <c r="F699" s="5" t="s">
        <v>177</v>
      </c>
      <c r="G699" s="5" t="s">
        <v>177</v>
      </c>
      <c r="H699" s="5" t="s">
        <v>177</v>
      </c>
      <c r="I699" s="5"/>
    </row>
    <row r="700" spans="1:9">
      <c r="A700" s="5">
        <v>92411</v>
      </c>
      <c r="B700" s="5">
        <v>2</v>
      </c>
      <c r="C700" s="5" t="s">
        <v>177</v>
      </c>
      <c r="D700" s="5">
        <v>1</v>
      </c>
      <c r="E700" s="5">
        <v>1</v>
      </c>
      <c r="F700" s="5" t="s">
        <v>177</v>
      </c>
      <c r="G700" s="5" t="s">
        <v>177</v>
      </c>
      <c r="H700" s="5" t="s">
        <v>177</v>
      </c>
      <c r="I700" s="5"/>
    </row>
    <row r="701" spans="1:9">
      <c r="A701" s="5">
        <v>92415</v>
      </c>
      <c r="B701" s="5">
        <v>3</v>
      </c>
      <c r="C701" s="5">
        <v>1</v>
      </c>
      <c r="D701" s="5">
        <v>1</v>
      </c>
      <c r="E701" s="5" t="s">
        <v>177</v>
      </c>
      <c r="F701" s="5" t="s">
        <v>177</v>
      </c>
      <c r="G701" s="5" t="s">
        <v>177</v>
      </c>
      <c r="H701" s="5">
        <v>1</v>
      </c>
      <c r="I701" s="5"/>
    </row>
    <row r="702" spans="1:9">
      <c r="A702" s="5">
        <v>92501</v>
      </c>
      <c r="B702" s="5">
        <v>3</v>
      </c>
      <c r="C702" s="5">
        <v>1</v>
      </c>
      <c r="D702" s="5" t="s">
        <v>177</v>
      </c>
      <c r="E702" s="5" t="s">
        <v>177</v>
      </c>
      <c r="F702" s="5" t="s">
        <v>177</v>
      </c>
      <c r="G702" s="5">
        <v>2</v>
      </c>
      <c r="H702" s="5" t="s">
        <v>177</v>
      </c>
      <c r="I702" s="5"/>
    </row>
    <row r="703" spans="1:9">
      <c r="A703" s="5">
        <v>92503</v>
      </c>
      <c r="B703" s="5">
        <v>13</v>
      </c>
      <c r="C703" s="5" t="s">
        <v>177</v>
      </c>
      <c r="D703" s="5">
        <v>4</v>
      </c>
      <c r="E703" s="5">
        <v>3</v>
      </c>
      <c r="F703" s="5">
        <v>1</v>
      </c>
      <c r="G703" s="5">
        <v>3</v>
      </c>
      <c r="H703" s="5">
        <v>2</v>
      </c>
      <c r="I703" s="5"/>
    </row>
    <row r="704" spans="1:9">
      <c r="A704" s="5">
        <v>92504</v>
      </c>
      <c r="B704" s="5">
        <v>117</v>
      </c>
      <c r="C704" s="5">
        <v>19</v>
      </c>
      <c r="D704" s="5">
        <v>19</v>
      </c>
      <c r="E704" s="5">
        <v>11</v>
      </c>
      <c r="F704" s="5">
        <v>21</v>
      </c>
      <c r="G704" s="5">
        <v>17</v>
      </c>
      <c r="H704" s="5">
        <v>30</v>
      </c>
      <c r="I704" s="5"/>
    </row>
    <row r="705" spans="1:9">
      <c r="A705" s="5">
        <v>92505</v>
      </c>
      <c r="B705" s="5">
        <v>8</v>
      </c>
      <c r="C705" s="5">
        <v>3</v>
      </c>
      <c r="D705" s="5" t="s">
        <v>177</v>
      </c>
      <c r="E705" s="5">
        <v>3</v>
      </c>
      <c r="F705" s="5">
        <v>1</v>
      </c>
      <c r="G705" s="5" t="s">
        <v>177</v>
      </c>
      <c r="H705" s="5">
        <v>1</v>
      </c>
      <c r="I705" s="5"/>
    </row>
    <row r="706" spans="1:9">
      <c r="A706" s="5">
        <v>92506</v>
      </c>
      <c r="B706" s="5">
        <v>5</v>
      </c>
      <c r="C706" s="5">
        <v>2</v>
      </c>
      <c r="D706" s="5" t="s">
        <v>177</v>
      </c>
      <c r="E706" s="5">
        <v>1</v>
      </c>
      <c r="F706" s="5" t="s">
        <v>177</v>
      </c>
      <c r="G706" s="5">
        <v>2</v>
      </c>
      <c r="H706" s="5" t="s">
        <v>177</v>
      </c>
      <c r="I706" s="5"/>
    </row>
    <row r="707" spans="1:9">
      <c r="A707" s="5">
        <v>92507</v>
      </c>
      <c r="B707" s="5">
        <v>4</v>
      </c>
      <c r="C707" s="5" t="s">
        <v>177</v>
      </c>
      <c r="D707" s="5">
        <v>1</v>
      </c>
      <c r="E707" s="5">
        <v>1</v>
      </c>
      <c r="F707" s="5">
        <v>1</v>
      </c>
      <c r="G707" s="5">
        <v>1</v>
      </c>
      <c r="H707" s="5" t="s">
        <v>177</v>
      </c>
      <c r="I707" s="5"/>
    </row>
    <row r="708" spans="1:9">
      <c r="A708" s="5">
        <v>92508</v>
      </c>
      <c r="B708" s="5">
        <v>82</v>
      </c>
      <c r="C708" s="5">
        <v>20</v>
      </c>
      <c r="D708" s="5">
        <v>12</v>
      </c>
      <c r="E708" s="5">
        <v>8</v>
      </c>
      <c r="F708" s="5">
        <v>17</v>
      </c>
      <c r="G708" s="5">
        <v>6</v>
      </c>
      <c r="H708" s="5">
        <v>19</v>
      </c>
      <c r="I708" s="5"/>
    </row>
    <row r="709" spans="1:9">
      <c r="A709" s="5">
        <v>92509</v>
      </c>
      <c r="B709" s="5">
        <v>13</v>
      </c>
      <c r="C709" s="5">
        <v>5</v>
      </c>
      <c r="D709" s="5">
        <v>3</v>
      </c>
      <c r="E709" s="5">
        <v>3</v>
      </c>
      <c r="F709" s="5">
        <v>1</v>
      </c>
      <c r="G709" s="5">
        <v>1</v>
      </c>
      <c r="H709" s="5" t="s">
        <v>177</v>
      </c>
      <c r="I709" s="5"/>
    </row>
    <row r="710" spans="1:9">
      <c r="A710" s="5">
        <v>92530</v>
      </c>
      <c r="B710" s="5">
        <v>149</v>
      </c>
      <c r="C710" s="5">
        <v>28</v>
      </c>
      <c r="D710" s="5">
        <v>14</v>
      </c>
      <c r="E710" s="5">
        <v>22</v>
      </c>
      <c r="F710" s="5">
        <v>20</v>
      </c>
      <c r="G710" s="5">
        <v>23</v>
      </c>
      <c r="H710" s="5">
        <v>42</v>
      </c>
      <c r="I710" s="5"/>
    </row>
    <row r="711" spans="1:9">
      <c r="A711" s="5">
        <v>92532</v>
      </c>
      <c r="B711" s="5">
        <v>4</v>
      </c>
      <c r="C711" s="5">
        <v>1</v>
      </c>
      <c r="D711" s="5" t="s">
        <v>177</v>
      </c>
      <c r="E711" s="5">
        <v>1</v>
      </c>
      <c r="F711" s="5" t="s">
        <v>177</v>
      </c>
      <c r="G711" s="5">
        <v>2</v>
      </c>
      <c r="H711" s="5" t="s">
        <v>177</v>
      </c>
      <c r="I711" s="5"/>
    </row>
    <row r="712" spans="1:9">
      <c r="A712" s="5">
        <v>92543</v>
      </c>
      <c r="B712" s="5">
        <v>6</v>
      </c>
      <c r="C712" s="5">
        <v>1</v>
      </c>
      <c r="D712" s="5">
        <v>2</v>
      </c>
      <c r="E712" s="5">
        <v>1</v>
      </c>
      <c r="F712" s="5">
        <v>1</v>
      </c>
      <c r="G712" s="5">
        <v>1</v>
      </c>
      <c r="H712" s="5" t="s">
        <v>177</v>
      </c>
      <c r="I712" s="5"/>
    </row>
    <row r="713" spans="1:9">
      <c r="A713" s="5">
        <v>92544</v>
      </c>
      <c r="B713" s="5">
        <v>133</v>
      </c>
      <c r="C713" s="5">
        <v>20</v>
      </c>
      <c r="D713" s="5">
        <v>14</v>
      </c>
      <c r="E713" s="5">
        <v>36</v>
      </c>
      <c r="F713" s="5">
        <v>18</v>
      </c>
      <c r="G713" s="5">
        <v>29</v>
      </c>
      <c r="H713" s="5">
        <v>16</v>
      </c>
      <c r="I713" s="5"/>
    </row>
    <row r="714" spans="1:9">
      <c r="A714" s="5">
        <v>92545</v>
      </c>
      <c r="B714" s="5">
        <v>8</v>
      </c>
      <c r="C714" s="5">
        <v>1</v>
      </c>
      <c r="D714" s="5">
        <v>1</v>
      </c>
      <c r="E714" s="5">
        <v>2</v>
      </c>
      <c r="F714" s="5" t="s">
        <v>177</v>
      </c>
      <c r="G714" s="5">
        <v>4</v>
      </c>
      <c r="H714" s="5" t="s">
        <v>177</v>
      </c>
      <c r="I714" s="5"/>
    </row>
    <row r="715" spans="1:9">
      <c r="A715" s="5">
        <v>92548</v>
      </c>
      <c r="B715" s="5">
        <v>19</v>
      </c>
      <c r="C715" s="5">
        <v>2</v>
      </c>
      <c r="D715" s="5">
        <v>8</v>
      </c>
      <c r="E715" s="5">
        <v>1</v>
      </c>
      <c r="F715" s="5">
        <v>2</v>
      </c>
      <c r="G715" s="5">
        <v>2</v>
      </c>
      <c r="H715" s="5">
        <v>4</v>
      </c>
      <c r="I715" s="5"/>
    </row>
    <row r="716" spans="1:9">
      <c r="A716" s="5">
        <v>92551</v>
      </c>
      <c r="B716" s="5">
        <v>5</v>
      </c>
      <c r="C716" s="5">
        <v>1</v>
      </c>
      <c r="D716" s="5">
        <v>1</v>
      </c>
      <c r="E716" s="5">
        <v>1</v>
      </c>
      <c r="F716" s="5">
        <v>1</v>
      </c>
      <c r="G716" s="5">
        <v>1</v>
      </c>
      <c r="H716" s="5" t="s">
        <v>177</v>
      </c>
      <c r="I716" s="5"/>
    </row>
    <row r="717" spans="1:9">
      <c r="A717" s="5">
        <v>92553</v>
      </c>
      <c r="B717" s="5">
        <v>13</v>
      </c>
      <c r="C717" s="5">
        <v>3</v>
      </c>
      <c r="D717" s="5">
        <v>5</v>
      </c>
      <c r="E717" s="5">
        <v>1</v>
      </c>
      <c r="F717" s="5">
        <v>1</v>
      </c>
      <c r="G717" s="5">
        <v>2</v>
      </c>
      <c r="H717" s="5">
        <v>1</v>
      </c>
      <c r="I717" s="5"/>
    </row>
    <row r="718" spans="1:9">
      <c r="A718" s="5">
        <v>92555</v>
      </c>
      <c r="B718" s="5">
        <v>262</v>
      </c>
      <c r="C718" s="5">
        <v>45</v>
      </c>
      <c r="D718" s="5">
        <v>22</v>
      </c>
      <c r="E718" s="5">
        <v>76</v>
      </c>
      <c r="F718" s="5">
        <v>28</v>
      </c>
      <c r="G718" s="5">
        <v>59</v>
      </c>
      <c r="H718" s="5">
        <v>32</v>
      </c>
      <c r="I718" s="5"/>
    </row>
    <row r="719" spans="1:9">
      <c r="A719" s="5">
        <v>92557</v>
      </c>
      <c r="B719" s="5">
        <v>8</v>
      </c>
      <c r="C719" s="5">
        <v>3</v>
      </c>
      <c r="D719" s="5" t="s">
        <v>177</v>
      </c>
      <c r="E719" s="5">
        <v>2</v>
      </c>
      <c r="F719" s="5">
        <v>1</v>
      </c>
      <c r="G719" s="5">
        <v>2</v>
      </c>
      <c r="H719" s="5" t="s">
        <v>177</v>
      </c>
      <c r="I719" s="5"/>
    </row>
    <row r="720" spans="1:9">
      <c r="A720" s="5">
        <v>92562</v>
      </c>
      <c r="B720" s="5">
        <v>4</v>
      </c>
      <c r="C720" s="5" t="s">
        <v>177</v>
      </c>
      <c r="D720" s="5" t="s">
        <v>177</v>
      </c>
      <c r="E720" s="5" t="s">
        <v>177</v>
      </c>
      <c r="F720" s="5">
        <v>2</v>
      </c>
      <c r="G720" s="5">
        <v>1</v>
      </c>
      <c r="H720" s="5">
        <v>1</v>
      </c>
      <c r="I720" s="5"/>
    </row>
    <row r="721" spans="1:9">
      <c r="A721" s="5">
        <v>92563</v>
      </c>
      <c r="B721" s="5">
        <v>9</v>
      </c>
      <c r="C721" s="5">
        <v>2</v>
      </c>
      <c r="D721" s="5">
        <v>1</v>
      </c>
      <c r="E721" s="5">
        <v>3</v>
      </c>
      <c r="F721" s="5">
        <v>1</v>
      </c>
      <c r="G721" s="5">
        <v>1</v>
      </c>
      <c r="H721" s="5">
        <v>1</v>
      </c>
      <c r="I721" s="5"/>
    </row>
    <row r="722" spans="1:9">
      <c r="A722" s="5">
        <v>92567</v>
      </c>
      <c r="B722" s="5">
        <v>68</v>
      </c>
      <c r="C722" s="5">
        <v>9</v>
      </c>
      <c r="D722" s="5">
        <v>5</v>
      </c>
      <c r="E722" s="5">
        <v>19</v>
      </c>
      <c r="F722" s="5">
        <v>6</v>
      </c>
      <c r="G722" s="5">
        <v>14</v>
      </c>
      <c r="H722" s="5">
        <v>15</v>
      </c>
      <c r="I722" s="5"/>
    </row>
    <row r="723" spans="1:9">
      <c r="A723" s="5">
        <v>92570</v>
      </c>
      <c r="B723" s="5">
        <v>13</v>
      </c>
      <c r="C723" s="5">
        <v>2</v>
      </c>
      <c r="D723" s="5">
        <v>2</v>
      </c>
      <c r="E723" s="5">
        <v>5</v>
      </c>
      <c r="F723" s="5">
        <v>1</v>
      </c>
      <c r="G723" s="5">
        <v>1</v>
      </c>
      <c r="H723" s="5">
        <v>2</v>
      </c>
      <c r="I723" s="5"/>
    </row>
    <row r="724" spans="1:9">
      <c r="A724" s="5">
        <v>92571</v>
      </c>
      <c r="B724" s="5">
        <v>9</v>
      </c>
      <c r="C724" s="5">
        <v>2</v>
      </c>
      <c r="D724" s="5">
        <v>1</v>
      </c>
      <c r="E724" s="5">
        <v>1</v>
      </c>
      <c r="F724" s="5">
        <v>1</v>
      </c>
      <c r="G724" s="5">
        <v>4</v>
      </c>
      <c r="H724" s="5" t="s">
        <v>177</v>
      </c>
      <c r="I724" s="5"/>
    </row>
    <row r="725" spans="1:9">
      <c r="A725" s="5">
        <v>92582</v>
      </c>
      <c r="B725" s="5">
        <v>140</v>
      </c>
      <c r="C725" s="5">
        <v>25</v>
      </c>
      <c r="D725" s="5">
        <v>12</v>
      </c>
      <c r="E725" s="5">
        <v>34</v>
      </c>
      <c r="F725" s="5">
        <v>17</v>
      </c>
      <c r="G725" s="5">
        <v>37</v>
      </c>
      <c r="H725" s="5">
        <v>15</v>
      </c>
      <c r="I725" s="5"/>
    </row>
    <row r="726" spans="1:9">
      <c r="A726" s="5">
        <v>92583</v>
      </c>
      <c r="B726" s="5">
        <v>178</v>
      </c>
      <c r="C726" s="5">
        <v>27</v>
      </c>
      <c r="D726" s="5">
        <v>25</v>
      </c>
      <c r="E726" s="5">
        <v>36</v>
      </c>
      <c r="F726" s="5">
        <v>27</v>
      </c>
      <c r="G726" s="5">
        <v>39</v>
      </c>
      <c r="H726" s="5">
        <v>24</v>
      </c>
      <c r="I726" s="5"/>
    </row>
    <row r="727" spans="1:9">
      <c r="A727" s="5">
        <v>92584</v>
      </c>
      <c r="B727" s="5">
        <v>10</v>
      </c>
      <c r="C727" s="5">
        <v>3</v>
      </c>
      <c r="D727" s="5">
        <v>3</v>
      </c>
      <c r="E727" s="5" t="s">
        <v>177</v>
      </c>
      <c r="F727" s="5">
        <v>2</v>
      </c>
      <c r="G727" s="5">
        <v>1</v>
      </c>
      <c r="H727" s="5">
        <v>1</v>
      </c>
      <c r="I727" s="5"/>
    </row>
    <row r="728" spans="1:9">
      <c r="A728" s="5">
        <v>92585</v>
      </c>
      <c r="B728" s="5">
        <v>72</v>
      </c>
      <c r="C728" s="5">
        <v>9</v>
      </c>
      <c r="D728" s="5">
        <v>22</v>
      </c>
      <c r="E728" s="5">
        <v>6</v>
      </c>
      <c r="F728" s="5">
        <v>15</v>
      </c>
      <c r="G728" s="5">
        <v>8</v>
      </c>
      <c r="H728" s="5">
        <v>12</v>
      </c>
      <c r="I728" s="5"/>
    </row>
    <row r="729" spans="1:9">
      <c r="A729" s="5">
        <v>92586</v>
      </c>
      <c r="B729" s="5">
        <v>24</v>
      </c>
      <c r="C729" s="5">
        <v>4</v>
      </c>
      <c r="D729" s="5">
        <v>4</v>
      </c>
      <c r="E729" s="5">
        <v>3</v>
      </c>
      <c r="F729" s="5">
        <v>5</v>
      </c>
      <c r="G729" s="5">
        <v>6</v>
      </c>
      <c r="H729" s="5">
        <v>2</v>
      </c>
      <c r="I729" s="5"/>
    </row>
    <row r="730" spans="1:9">
      <c r="A730" s="5">
        <v>92587</v>
      </c>
      <c r="B730" s="5">
        <v>3</v>
      </c>
      <c r="C730" s="5" t="s">
        <v>177</v>
      </c>
      <c r="D730" s="5" t="s">
        <v>177</v>
      </c>
      <c r="E730" s="5">
        <v>2</v>
      </c>
      <c r="F730" s="5">
        <v>1</v>
      </c>
      <c r="G730" s="5" t="s">
        <v>177</v>
      </c>
      <c r="H730" s="5" t="s">
        <v>177</v>
      </c>
      <c r="I730" s="5"/>
    </row>
    <row r="731" spans="1:9">
      <c r="A731" s="5">
        <v>92591</v>
      </c>
      <c r="B731" s="5">
        <v>5</v>
      </c>
      <c r="C731" s="5">
        <v>2</v>
      </c>
      <c r="D731" s="5">
        <v>1</v>
      </c>
      <c r="E731" s="5">
        <v>1</v>
      </c>
      <c r="F731" s="5">
        <v>1</v>
      </c>
      <c r="G731" s="5" t="s">
        <v>177</v>
      </c>
      <c r="H731" s="5" t="s">
        <v>177</v>
      </c>
      <c r="I731" s="5"/>
    </row>
    <row r="732" spans="1:9">
      <c r="A732" s="5">
        <v>92592</v>
      </c>
      <c r="B732" s="5">
        <v>12</v>
      </c>
      <c r="C732" s="5">
        <v>4</v>
      </c>
      <c r="D732" s="5" t="s">
        <v>177</v>
      </c>
      <c r="E732" s="5">
        <v>2</v>
      </c>
      <c r="F732" s="5" t="s">
        <v>177</v>
      </c>
      <c r="G732" s="5">
        <v>2</v>
      </c>
      <c r="H732" s="5">
        <v>4</v>
      </c>
      <c r="I732" s="5"/>
    </row>
    <row r="733" spans="1:9">
      <c r="A733" s="5">
        <v>92595</v>
      </c>
      <c r="B733" s="5">
        <v>2</v>
      </c>
      <c r="C733" s="5">
        <v>1</v>
      </c>
      <c r="D733" s="5" t="s">
        <v>177</v>
      </c>
      <c r="E733" s="5">
        <v>1</v>
      </c>
      <c r="F733" s="5" t="s">
        <v>177</v>
      </c>
      <c r="G733" s="5" t="s">
        <v>177</v>
      </c>
      <c r="H733" s="5" t="s">
        <v>177</v>
      </c>
      <c r="I733" s="5"/>
    </row>
    <row r="734" spans="1:9">
      <c r="A734" s="5">
        <v>92596</v>
      </c>
      <c r="B734" s="5">
        <v>12</v>
      </c>
      <c r="C734" s="5">
        <v>1</v>
      </c>
      <c r="D734" s="5">
        <v>2</v>
      </c>
      <c r="E734" s="5">
        <v>3</v>
      </c>
      <c r="F734" s="5">
        <v>2</v>
      </c>
      <c r="G734" s="5">
        <v>4</v>
      </c>
      <c r="H734" s="5" t="s">
        <v>177</v>
      </c>
      <c r="I734" s="5"/>
    </row>
    <row r="735" spans="1:9">
      <c r="A735" s="5">
        <v>92602</v>
      </c>
      <c r="B735" s="5">
        <v>5</v>
      </c>
      <c r="C735" s="5">
        <v>2</v>
      </c>
      <c r="D735" s="5">
        <v>1</v>
      </c>
      <c r="E735" s="5" t="s">
        <v>177</v>
      </c>
      <c r="F735" s="5">
        <v>1</v>
      </c>
      <c r="G735" s="5" t="s">
        <v>177</v>
      </c>
      <c r="H735" s="5">
        <v>1</v>
      </c>
      <c r="I735" s="5"/>
    </row>
    <row r="736" spans="1:9">
      <c r="A736" s="5">
        <v>92603</v>
      </c>
      <c r="B736" s="5">
        <v>5</v>
      </c>
      <c r="C736" s="5" t="s">
        <v>177</v>
      </c>
      <c r="D736" s="5" t="s">
        <v>177</v>
      </c>
      <c r="E736" s="5">
        <v>2</v>
      </c>
      <c r="F736" s="5">
        <v>2</v>
      </c>
      <c r="G736" s="5">
        <v>1</v>
      </c>
      <c r="H736" s="5" t="s">
        <v>177</v>
      </c>
      <c r="I736" s="5"/>
    </row>
    <row r="737" spans="1:9">
      <c r="A737" s="5">
        <v>92604</v>
      </c>
      <c r="B737" s="5">
        <v>1</v>
      </c>
      <c r="C737" s="5" t="s">
        <v>177</v>
      </c>
      <c r="D737" s="5" t="s">
        <v>177</v>
      </c>
      <c r="E737" s="5" t="s">
        <v>177</v>
      </c>
      <c r="F737" s="5" t="s">
        <v>177</v>
      </c>
      <c r="G737" s="5" t="s">
        <v>177</v>
      </c>
      <c r="H737" s="5">
        <v>1</v>
      </c>
      <c r="I737" s="5"/>
    </row>
    <row r="738" spans="1:9">
      <c r="A738" s="5">
        <v>92606</v>
      </c>
      <c r="B738" s="5">
        <v>2</v>
      </c>
      <c r="C738" s="5" t="s">
        <v>177</v>
      </c>
      <c r="D738" s="5" t="s">
        <v>177</v>
      </c>
      <c r="E738" s="5">
        <v>1</v>
      </c>
      <c r="F738" s="5">
        <v>1</v>
      </c>
      <c r="G738" s="5" t="s">
        <v>177</v>
      </c>
      <c r="H738" s="5" t="s">
        <v>177</v>
      </c>
      <c r="I738" s="5"/>
    </row>
    <row r="739" spans="1:9">
      <c r="A739" s="5">
        <v>92610</v>
      </c>
      <c r="B739" s="5">
        <v>3</v>
      </c>
      <c r="C739" s="5" t="s">
        <v>177</v>
      </c>
      <c r="D739" s="5" t="s">
        <v>177</v>
      </c>
      <c r="E739" s="5">
        <v>1</v>
      </c>
      <c r="F739" s="5" t="s">
        <v>177</v>
      </c>
      <c r="G739" s="5">
        <v>1</v>
      </c>
      <c r="H739" s="5">
        <v>1</v>
      </c>
      <c r="I739" s="5"/>
    </row>
    <row r="740" spans="1:9">
      <c r="A740" s="5">
        <v>92612</v>
      </c>
      <c r="B740" s="5">
        <v>1</v>
      </c>
      <c r="C740" s="5">
        <v>1</v>
      </c>
      <c r="D740" s="5" t="s">
        <v>177</v>
      </c>
      <c r="E740" s="5" t="s">
        <v>177</v>
      </c>
      <c r="F740" s="5" t="s">
        <v>177</v>
      </c>
      <c r="G740" s="5" t="s">
        <v>177</v>
      </c>
      <c r="H740" s="5" t="s">
        <v>177</v>
      </c>
      <c r="I740" s="5"/>
    </row>
    <row r="741" spans="1:9">
      <c r="A741" s="5">
        <v>92614</v>
      </c>
      <c r="B741" s="5">
        <v>18</v>
      </c>
      <c r="C741" s="5">
        <v>4</v>
      </c>
      <c r="D741" s="5" t="s">
        <v>177</v>
      </c>
      <c r="E741" s="5">
        <v>3</v>
      </c>
      <c r="F741" s="5">
        <v>2</v>
      </c>
      <c r="G741" s="5">
        <v>5</v>
      </c>
      <c r="H741" s="5">
        <v>4</v>
      </c>
      <c r="I741" s="5"/>
    </row>
    <row r="742" spans="1:9">
      <c r="A742" s="5">
        <v>92617</v>
      </c>
      <c r="B742" s="5">
        <v>1</v>
      </c>
      <c r="C742" s="5" t="s">
        <v>177</v>
      </c>
      <c r="D742" s="5" t="s">
        <v>177</v>
      </c>
      <c r="E742" s="5" t="s">
        <v>177</v>
      </c>
      <c r="F742" s="5" t="s">
        <v>177</v>
      </c>
      <c r="G742" s="5" t="s">
        <v>177</v>
      </c>
      <c r="H742" s="5">
        <v>1</v>
      </c>
      <c r="I742" s="5"/>
    </row>
    <row r="743" spans="1:9">
      <c r="A743" s="5">
        <v>92618</v>
      </c>
      <c r="B743" s="5">
        <v>1</v>
      </c>
      <c r="C743" s="5" t="s">
        <v>177</v>
      </c>
      <c r="D743" s="5">
        <v>1</v>
      </c>
      <c r="E743" s="5" t="s">
        <v>177</v>
      </c>
      <c r="F743" s="5" t="s">
        <v>177</v>
      </c>
      <c r="G743" s="5" t="s">
        <v>177</v>
      </c>
      <c r="H743" s="5" t="s">
        <v>177</v>
      </c>
      <c r="I743" s="5"/>
    </row>
    <row r="744" spans="1:9">
      <c r="A744" s="5">
        <v>92625</v>
      </c>
      <c r="B744" s="5">
        <v>6</v>
      </c>
      <c r="C744" s="5">
        <v>1</v>
      </c>
      <c r="D744" s="5">
        <v>1</v>
      </c>
      <c r="E744" s="5">
        <v>3</v>
      </c>
      <c r="F744" s="5" t="s">
        <v>177</v>
      </c>
      <c r="G744" s="5" t="s">
        <v>177</v>
      </c>
      <c r="H744" s="5">
        <v>1</v>
      </c>
      <c r="I744" s="5"/>
    </row>
    <row r="745" spans="1:9">
      <c r="A745" s="5">
        <v>92629</v>
      </c>
      <c r="B745" s="5">
        <v>8</v>
      </c>
      <c r="C745" s="5" t="s">
        <v>177</v>
      </c>
      <c r="D745" s="5">
        <v>1</v>
      </c>
      <c r="E745" s="5">
        <v>3</v>
      </c>
      <c r="F745" s="5">
        <v>1</v>
      </c>
      <c r="G745" s="5">
        <v>1</v>
      </c>
      <c r="H745" s="5">
        <v>2</v>
      </c>
      <c r="I745" s="5"/>
    </row>
    <row r="746" spans="1:9">
      <c r="A746" s="5">
        <v>92630</v>
      </c>
      <c r="B746" s="5">
        <v>1</v>
      </c>
      <c r="C746" s="5" t="s">
        <v>177</v>
      </c>
      <c r="D746" s="5" t="s">
        <v>177</v>
      </c>
      <c r="E746" s="5" t="s">
        <v>177</v>
      </c>
      <c r="F746" s="5">
        <v>1</v>
      </c>
      <c r="G746" s="5" t="s">
        <v>177</v>
      </c>
      <c r="H746" s="5" t="s">
        <v>177</v>
      </c>
      <c r="I746" s="5"/>
    </row>
    <row r="747" spans="1:9">
      <c r="A747" s="5">
        <v>92646</v>
      </c>
      <c r="B747" s="5">
        <v>2</v>
      </c>
      <c r="C747" s="5" t="s">
        <v>177</v>
      </c>
      <c r="D747" s="5">
        <v>1</v>
      </c>
      <c r="E747" s="5">
        <v>1</v>
      </c>
      <c r="F747" s="5" t="s">
        <v>177</v>
      </c>
      <c r="G747" s="5" t="s">
        <v>177</v>
      </c>
      <c r="H747" s="5" t="s">
        <v>177</v>
      </c>
      <c r="I747" s="5"/>
    </row>
    <row r="748" spans="1:9">
      <c r="A748" s="5">
        <v>92647</v>
      </c>
      <c r="B748" s="5">
        <v>2</v>
      </c>
      <c r="C748" s="5">
        <v>1</v>
      </c>
      <c r="D748" s="5" t="s">
        <v>177</v>
      </c>
      <c r="E748" s="5">
        <v>1</v>
      </c>
      <c r="F748" s="5" t="s">
        <v>177</v>
      </c>
      <c r="G748" s="5" t="s">
        <v>177</v>
      </c>
      <c r="H748" s="5" t="s">
        <v>177</v>
      </c>
      <c r="I748" s="5"/>
    </row>
    <row r="749" spans="1:9">
      <c r="A749" s="5">
        <v>92648</v>
      </c>
      <c r="B749" s="5">
        <v>3</v>
      </c>
      <c r="C749" s="5">
        <v>1</v>
      </c>
      <c r="D749" s="5">
        <v>1</v>
      </c>
      <c r="E749" s="5" t="s">
        <v>177</v>
      </c>
      <c r="F749" s="5">
        <v>1</v>
      </c>
      <c r="G749" s="5" t="s">
        <v>177</v>
      </c>
      <c r="H749" s="5" t="s">
        <v>177</v>
      </c>
      <c r="I749" s="5"/>
    </row>
    <row r="750" spans="1:9">
      <c r="A750" s="5">
        <v>92649</v>
      </c>
      <c r="B750" s="5">
        <v>3</v>
      </c>
      <c r="C750" s="5">
        <v>1</v>
      </c>
      <c r="D750" s="5">
        <v>1</v>
      </c>
      <c r="E750" s="5" t="s">
        <v>177</v>
      </c>
      <c r="F750" s="5" t="s">
        <v>177</v>
      </c>
      <c r="G750" s="5" t="s">
        <v>177</v>
      </c>
      <c r="H750" s="5">
        <v>1</v>
      </c>
      <c r="I750" s="5"/>
    </row>
    <row r="751" spans="1:9">
      <c r="A751" s="5">
        <v>92651</v>
      </c>
      <c r="B751" s="5">
        <v>10</v>
      </c>
      <c r="C751" s="5" t="s">
        <v>177</v>
      </c>
      <c r="D751" s="5">
        <v>1</v>
      </c>
      <c r="E751" s="5">
        <v>3</v>
      </c>
      <c r="F751" s="5">
        <v>1</v>
      </c>
      <c r="G751" s="5">
        <v>3</v>
      </c>
      <c r="H751" s="5">
        <v>2</v>
      </c>
      <c r="I751" s="5"/>
    </row>
    <row r="752" spans="1:9">
      <c r="A752" s="5">
        <v>92653</v>
      </c>
      <c r="B752" s="5">
        <v>1</v>
      </c>
      <c r="C752" s="5" t="s">
        <v>177</v>
      </c>
      <c r="D752" s="5">
        <v>1</v>
      </c>
      <c r="E752" s="5" t="s">
        <v>177</v>
      </c>
      <c r="F752" s="5" t="s">
        <v>177</v>
      </c>
      <c r="G752" s="5" t="s">
        <v>177</v>
      </c>
      <c r="H752" s="5" t="s">
        <v>177</v>
      </c>
      <c r="I752" s="5"/>
    </row>
    <row r="753" spans="1:9">
      <c r="A753" s="5">
        <v>92655</v>
      </c>
      <c r="B753" s="5">
        <v>39</v>
      </c>
      <c r="C753" s="5">
        <v>7</v>
      </c>
      <c r="D753" s="5">
        <v>6</v>
      </c>
      <c r="E753" s="5">
        <v>3</v>
      </c>
      <c r="F753" s="5">
        <v>4</v>
      </c>
      <c r="G753" s="5">
        <v>5</v>
      </c>
      <c r="H753" s="5">
        <v>14</v>
      </c>
      <c r="I753" s="5"/>
    </row>
    <row r="754" spans="1:9">
      <c r="A754" s="5">
        <v>92656</v>
      </c>
      <c r="B754" s="5">
        <v>2</v>
      </c>
      <c r="C754" s="5">
        <v>2</v>
      </c>
      <c r="D754" s="5" t="s">
        <v>177</v>
      </c>
      <c r="E754" s="5" t="s">
        <v>177</v>
      </c>
      <c r="F754" s="5" t="s">
        <v>177</v>
      </c>
      <c r="G754" s="5" t="s">
        <v>177</v>
      </c>
      <c r="H754" s="5" t="s">
        <v>177</v>
      </c>
      <c r="I754" s="5"/>
    </row>
    <row r="755" spans="1:9">
      <c r="A755" s="5">
        <v>92657</v>
      </c>
      <c r="B755" s="5">
        <v>10</v>
      </c>
      <c r="C755" s="5">
        <v>1</v>
      </c>
      <c r="D755" s="5">
        <v>2</v>
      </c>
      <c r="E755" s="5">
        <v>2</v>
      </c>
      <c r="F755" s="5" t="s">
        <v>177</v>
      </c>
      <c r="G755" s="5">
        <v>1</v>
      </c>
      <c r="H755" s="5">
        <v>4</v>
      </c>
      <c r="I755" s="5"/>
    </row>
    <row r="756" spans="1:9">
      <c r="A756" s="5">
        <v>92660</v>
      </c>
      <c r="B756" s="5">
        <v>1</v>
      </c>
      <c r="C756" s="5" t="s">
        <v>177</v>
      </c>
      <c r="D756" s="5" t="s">
        <v>177</v>
      </c>
      <c r="E756" s="5" t="s">
        <v>177</v>
      </c>
      <c r="F756" s="5">
        <v>1</v>
      </c>
      <c r="G756" s="5" t="s">
        <v>177</v>
      </c>
      <c r="H756" s="5" t="s">
        <v>177</v>
      </c>
      <c r="I756" s="5"/>
    </row>
    <row r="757" spans="1:9">
      <c r="A757" s="5">
        <v>92672</v>
      </c>
      <c r="B757" s="5">
        <v>75</v>
      </c>
      <c r="C757" s="5">
        <v>19</v>
      </c>
      <c r="D757" s="5">
        <v>3</v>
      </c>
      <c r="E757" s="5">
        <v>12</v>
      </c>
      <c r="F757" s="5">
        <v>10</v>
      </c>
      <c r="G757" s="5">
        <v>8</v>
      </c>
      <c r="H757" s="5">
        <v>23</v>
      </c>
      <c r="I757" s="5"/>
    </row>
    <row r="758" spans="1:9">
      <c r="A758" s="5">
        <v>92673</v>
      </c>
      <c r="B758" s="5">
        <v>12</v>
      </c>
      <c r="C758" s="5">
        <v>2</v>
      </c>
      <c r="D758" s="5">
        <v>1</v>
      </c>
      <c r="E758" s="5">
        <v>3</v>
      </c>
      <c r="F758" s="5">
        <v>1</v>
      </c>
      <c r="G758" s="5">
        <v>2</v>
      </c>
      <c r="H758" s="5">
        <v>3</v>
      </c>
      <c r="I758" s="5"/>
    </row>
    <row r="759" spans="1:9">
      <c r="A759" s="5">
        <v>92675</v>
      </c>
      <c r="B759" s="5">
        <v>29</v>
      </c>
      <c r="C759" s="5">
        <v>6</v>
      </c>
      <c r="D759" s="5">
        <v>1</v>
      </c>
      <c r="E759" s="5">
        <v>5</v>
      </c>
      <c r="F759" s="5">
        <v>5</v>
      </c>
      <c r="G759" s="5">
        <v>9</v>
      </c>
      <c r="H759" s="5">
        <v>3</v>
      </c>
      <c r="I759" s="5"/>
    </row>
    <row r="760" spans="1:9">
      <c r="A760" s="5">
        <v>92676</v>
      </c>
      <c r="B760" s="5">
        <v>7</v>
      </c>
      <c r="C760" s="5">
        <v>5</v>
      </c>
      <c r="D760" s="5" t="s">
        <v>177</v>
      </c>
      <c r="E760" s="5" t="s">
        <v>177</v>
      </c>
      <c r="F760" s="5">
        <v>2</v>
      </c>
      <c r="G760" s="5" t="s">
        <v>177</v>
      </c>
      <c r="H760" s="5" t="s">
        <v>177</v>
      </c>
      <c r="I760" s="5"/>
    </row>
    <row r="761" spans="1:9">
      <c r="A761" s="5">
        <v>92677</v>
      </c>
      <c r="B761" s="5">
        <v>6</v>
      </c>
      <c r="C761" s="5" t="s">
        <v>177</v>
      </c>
      <c r="D761" s="5">
        <v>3</v>
      </c>
      <c r="E761" s="5">
        <v>1</v>
      </c>
      <c r="F761" s="5">
        <v>1</v>
      </c>
      <c r="G761" s="5">
        <v>1</v>
      </c>
      <c r="H761" s="5" t="s">
        <v>177</v>
      </c>
      <c r="I761" s="5"/>
    </row>
    <row r="762" spans="1:9">
      <c r="A762" s="5">
        <v>92679</v>
      </c>
      <c r="B762" s="5">
        <v>4</v>
      </c>
      <c r="C762" s="5" t="s">
        <v>177</v>
      </c>
      <c r="D762" s="5" t="s">
        <v>177</v>
      </c>
      <c r="E762" s="5" t="s">
        <v>177</v>
      </c>
      <c r="F762" s="5" t="s">
        <v>177</v>
      </c>
      <c r="G762" s="5">
        <v>2</v>
      </c>
      <c r="H762" s="5">
        <v>2</v>
      </c>
      <c r="I762" s="5"/>
    </row>
    <row r="763" spans="1:9">
      <c r="A763" s="5">
        <v>92683</v>
      </c>
      <c r="B763" s="5">
        <v>2</v>
      </c>
      <c r="C763" s="5" t="s">
        <v>177</v>
      </c>
      <c r="D763" s="5" t="s">
        <v>177</v>
      </c>
      <c r="E763" s="5">
        <v>1</v>
      </c>
      <c r="F763" s="5" t="s">
        <v>177</v>
      </c>
      <c r="G763" s="5" t="s">
        <v>177</v>
      </c>
      <c r="H763" s="5">
        <v>1</v>
      </c>
      <c r="I763" s="5"/>
    </row>
    <row r="764" spans="1:9">
      <c r="A764" s="5">
        <v>92688</v>
      </c>
      <c r="B764" s="5">
        <v>1</v>
      </c>
      <c r="C764" s="5" t="s">
        <v>177</v>
      </c>
      <c r="D764" s="5" t="s">
        <v>177</v>
      </c>
      <c r="E764" s="5">
        <v>1</v>
      </c>
      <c r="F764" s="5" t="s">
        <v>177</v>
      </c>
      <c r="G764" s="5" t="s">
        <v>177</v>
      </c>
      <c r="H764" s="5" t="s">
        <v>177</v>
      </c>
      <c r="I764" s="5"/>
    </row>
    <row r="765" spans="1:9">
      <c r="A765" s="5">
        <v>92691</v>
      </c>
      <c r="B765" s="5">
        <v>84</v>
      </c>
      <c r="C765" s="5">
        <v>9</v>
      </c>
      <c r="D765" s="5">
        <v>15</v>
      </c>
      <c r="E765" s="5">
        <v>8</v>
      </c>
      <c r="F765" s="5">
        <v>21</v>
      </c>
      <c r="G765" s="5">
        <v>8</v>
      </c>
      <c r="H765" s="5">
        <v>23</v>
      </c>
      <c r="I765" s="5"/>
    </row>
    <row r="766" spans="1:9">
      <c r="A766" s="5">
        <v>92692</v>
      </c>
      <c r="B766" s="5">
        <v>2</v>
      </c>
      <c r="C766" s="5" t="s">
        <v>177</v>
      </c>
      <c r="D766" s="5" t="s">
        <v>177</v>
      </c>
      <c r="E766" s="5">
        <v>1</v>
      </c>
      <c r="F766" s="5" t="s">
        <v>177</v>
      </c>
      <c r="G766" s="5">
        <v>1</v>
      </c>
      <c r="H766" s="5" t="s">
        <v>177</v>
      </c>
      <c r="I766" s="5"/>
    </row>
    <row r="767" spans="1:9">
      <c r="A767" s="5">
        <v>92694</v>
      </c>
      <c r="B767" s="5">
        <v>15</v>
      </c>
      <c r="C767" s="5">
        <v>3</v>
      </c>
      <c r="D767" s="5">
        <v>1</v>
      </c>
      <c r="E767" s="5">
        <v>2</v>
      </c>
      <c r="F767" s="5" t="s">
        <v>177</v>
      </c>
      <c r="G767" s="5">
        <v>1</v>
      </c>
      <c r="H767" s="5">
        <v>8</v>
      </c>
      <c r="I767" s="5"/>
    </row>
    <row r="768" spans="1:9">
      <c r="A768" s="5">
        <v>92697</v>
      </c>
      <c r="B768" s="5">
        <v>1</v>
      </c>
      <c r="C768" s="5" t="s">
        <v>177</v>
      </c>
      <c r="D768" s="5" t="s">
        <v>177</v>
      </c>
      <c r="E768" s="5" t="s">
        <v>177</v>
      </c>
      <c r="F768" s="5" t="s">
        <v>177</v>
      </c>
      <c r="G768" s="5" t="s">
        <v>177</v>
      </c>
      <c r="H768" s="5">
        <v>1</v>
      </c>
      <c r="I768" s="5"/>
    </row>
    <row r="769" spans="1:9">
      <c r="A769" s="5">
        <v>92701</v>
      </c>
      <c r="B769" s="5">
        <v>3</v>
      </c>
      <c r="C769" s="5" t="s">
        <v>177</v>
      </c>
      <c r="D769" s="5">
        <v>1</v>
      </c>
      <c r="E769" s="5">
        <v>1</v>
      </c>
      <c r="F769" s="5" t="s">
        <v>177</v>
      </c>
      <c r="G769" s="5">
        <v>1</v>
      </c>
      <c r="H769" s="5" t="s">
        <v>177</v>
      </c>
      <c r="I769" s="5"/>
    </row>
    <row r="770" spans="1:9">
      <c r="A770" s="5">
        <v>92704</v>
      </c>
      <c r="B770" s="5">
        <v>2</v>
      </c>
      <c r="C770" s="5" t="s">
        <v>177</v>
      </c>
      <c r="D770" s="5">
        <v>1</v>
      </c>
      <c r="E770" s="5">
        <v>1</v>
      </c>
      <c r="F770" s="5" t="s">
        <v>177</v>
      </c>
      <c r="G770" s="5" t="s">
        <v>177</v>
      </c>
      <c r="H770" s="5" t="s">
        <v>177</v>
      </c>
      <c r="I770" s="5"/>
    </row>
    <row r="771" spans="1:9">
      <c r="A771" s="5">
        <v>92705</v>
      </c>
      <c r="B771" s="5">
        <v>1</v>
      </c>
      <c r="C771" s="5">
        <v>1</v>
      </c>
      <c r="D771" s="5" t="s">
        <v>177</v>
      </c>
      <c r="E771" s="5" t="s">
        <v>177</v>
      </c>
      <c r="F771" s="5" t="s">
        <v>177</v>
      </c>
      <c r="G771" s="5" t="s">
        <v>177</v>
      </c>
      <c r="H771" s="5" t="s">
        <v>177</v>
      </c>
      <c r="I771" s="5"/>
    </row>
    <row r="772" spans="1:9">
      <c r="A772" s="5">
        <v>92706</v>
      </c>
      <c r="B772" s="5">
        <v>1</v>
      </c>
      <c r="C772" s="5">
        <v>1</v>
      </c>
      <c r="D772" s="5" t="s">
        <v>177</v>
      </c>
      <c r="E772" s="5" t="s">
        <v>177</v>
      </c>
      <c r="F772" s="5" t="s">
        <v>177</v>
      </c>
      <c r="G772" s="5" t="s">
        <v>177</v>
      </c>
      <c r="H772" s="5" t="s">
        <v>177</v>
      </c>
      <c r="I772" s="5"/>
    </row>
    <row r="773" spans="1:9">
      <c r="A773" s="5">
        <v>92707</v>
      </c>
      <c r="B773" s="5">
        <v>2</v>
      </c>
      <c r="C773" s="5">
        <v>1</v>
      </c>
      <c r="D773" s="5" t="s">
        <v>177</v>
      </c>
      <c r="E773" s="5" t="s">
        <v>177</v>
      </c>
      <c r="F773" s="5">
        <v>1</v>
      </c>
      <c r="G773" s="5" t="s">
        <v>177</v>
      </c>
      <c r="H773" s="5" t="s">
        <v>177</v>
      </c>
      <c r="I773" s="5"/>
    </row>
    <row r="774" spans="1:9">
      <c r="A774" s="5">
        <v>92708</v>
      </c>
      <c r="B774" s="5">
        <v>3</v>
      </c>
      <c r="C774" s="5">
        <v>1</v>
      </c>
      <c r="D774" s="5">
        <v>2</v>
      </c>
      <c r="E774" s="5" t="s">
        <v>177</v>
      </c>
      <c r="F774" s="5" t="s">
        <v>177</v>
      </c>
      <c r="G774" s="5" t="s">
        <v>177</v>
      </c>
      <c r="H774" s="5" t="s">
        <v>177</v>
      </c>
      <c r="I774" s="5"/>
    </row>
    <row r="775" spans="1:9">
      <c r="A775" s="5">
        <v>92780</v>
      </c>
      <c r="B775" s="5">
        <v>1</v>
      </c>
      <c r="C775" s="5">
        <v>1</v>
      </c>
      <c r="D775" s="5" t="s">
        <v>177</v>
      </c>
      <c r="E775" s="5" t="s">
        <v>177</v>
      </c>
      <c r="F775" s="5" t="s">
        <v>177</v>
      </c>
      <c r="G775" s="5" t="s">
        <v>177</v>
      </c>
      <c r="H775" s="5" t="s">
        <v>177</v>
      </c>
      <c r="I775" s="5"/>
    </row>
    <row r="776" spans="1:9">
      <c r="A776" s="5">
        <v>92782</v>
      </c>
      <c r="B776" s="5">
        <v>2</v>
      </c>
      <c r="C776" s="5">
        <v>1</v>
      </c>
      <c r="D776" s="5">
        <v>1</v>
      </c>
      <c r="E776" s="5" t="s">
        <v>177</v>
      </c>
      <c r="F776" s="5" t="s">
        <v>177</v>
      </c>
      <c r="G776" s="5" t="s">
        <v>177</v>
      </c>
      <c r="H776" s="5" t="s">
        <v>177</v>
      </c>
      <c r="I776" s="5"/>
    </row>
    <row r="777" spans="1:9">
      <c r="A777" s="5">
        <v>92801</v>
      </c>
      <c r="B777" s="5">
        <v>4</v>
      </c>
      <c r="C777" s="5">
        <v>1</v>
      </c>
      <c r="D777" s="5">
        <v>1</v>
      </c>
      <c r="E777" s="5" t="s">
        <v>177</v>
      </c>
      <c r="F777" s="5" t="s">
        <v>177</v>
      </c>
      <c r="G777" s="5">
        <v>2</v>
      </c>
      <c r="H777" s="5" t="s">
        <v>177</v>
      </c>
      <c r="I777" s="5"/>
    </row>
    <row r="778" spans="1:9">
      <c r="A778" s="5">
        <v>92804</v>
      </c>
      <c r="B778" s="5">
        <v>2</v>
      </c>
      <c r="C778" s="5">
        <v>1</v>
      </c>
      <c r="D778" s="5" t="s">
        <v>177</v>
      </c>
      <c r="E778" s="5">
        <v>1</v>
      </c>
      <c r="F778" s="5" t="s">
        <v>177</v>
      </c>
      <c r="G778" s="5" t="s">
        <v>177</v>
      </c>
      <c r="H778" s="5" t="s">
        <v>177</v>
      </c>
      <c r="I778" s="5"/>
    </row>
    <row r="779" spans="1:9">
      <c r="A779" s="5">
        <v>92805</v>
      </c>
      <c r="B779" s="5">
        <v>4</v>
      </c>
      <c r="C779" s="5">
        <v>2</v>
      </c>
      <c r="D779" s="5" t="s">
        <v>177</v>
      </c>
      <c r="E779" s="5">
        <v>1</v>
      </c>
      <c r="F779" s="5" t="s">
        <v>177</v>
      </c>
      <c r="G779" s="5" t="s">
        <v>177</v>
      </c>
      <c r="H779" s="5">
        <v>1</v>
      </c>
      <c r="I779" s="5"/>
    </row>
    <row r="780" spans="1:9">
      <c r="A780" s="5">
        <v>92806</v>
      </c>
      <c r="B780" s="5">
        <v>2</v>
      </c>
      <c r="C780" s="5">
        <v>2</v>
      </c>
      <c r="D780" s="5" t="s">
        <v>177</v>
      </c>
      <c r="E780" s="5" t="s">
        <v>177</v>
      </c>
      <c r="F780" s="5" t="s">
        <v>177</v>
      </c>
      <c r="G780" s="5" t="s">
        <v>177</v>
      </c>
      <c r="H780" s="5" t="s">
        <v>177</v>
      </c>
      <c r="I780" s="5"/>
    </row>
    <row r="781" spans="1:9">
      <c r="A781" s="5">
        <v>92807</v>
      </c>
      <c r="B781" s="5">
        <v>71</v>
      </c>
      <c r="C781" s="5">
        <v>13</v>
      </c>
      <c r="D781" s="5">
        <v>14</v>
      </c>
      <c r="E781" s="5">
        <v>3</v>
      </c>
      <c r="F781" s="5">
        <v>7</v>
      </c>
      <c r="G781" s="5">
        <v>19</v>
      </c>
      <c r="H781" s="5">
        <v>15</v>
      </c>
      <c r="I781" s="5"/>
    </row>
    <row r="782" spans="1:9">
      <c r="A782" s="5">
        <v>92821</v>
      </c>
      <c r="B782" s="5">
        <v>116</v>
      </c>
      <c r="C782" s="5">
        <v>21</v>
      </c>
      <c r="D782" s="5">
        <v>17</v>
      </c>
      <c r="E782" s="5">
        <v>17</v>
      </c>
      <c r="F782" s="5">
        <v>25</v>
      </c>
      <c r="G782" s="5">
        <v>18</v>
      </c>
      <c r="H782" s="5">
        <v>18</v>
      </c>
      <c r="I782" s="5"/>
    </row>
    <row r="783" spans="1:9">
      <c r="A783" s="5">
        <v>92831</v>
      </c>
      <c r="B783" s="5">
        <v>1</v>
      </c>
      <c r="C783" s="5" t="s">
        <v>177</v>
      </c>
      <c r="D783" s="5">
        <v>1</v>
      </c>
      <c r="E783" s="5" t="s">
        <v>177</v>
      </c>
      <c r="F783" s="5" t="s">
        <v>177</v>
      </c>
      <c r="G783" s="5" t="s">
        <v>177</v>
      </c>
      <c r="H783" s="5" t="s">
        <v>177</v>
      </c>
      <c r="I783" s="5"/>
    </row>
    <row r="784" spans="1:9">
      <c r="A784" s="5">
        <v>92832</v>
      </c>
      <c r="B784" s="5">
        <v>2</v>
      </c>
      <c r="C784" s="5" t="s">
        <v>177</v>
      </c>
      <c r="D784" s="5" t="s">
        <v>177</v>
      </c>
      <c r="E784" s="5" t="s">
        <v>177</v>
      </c>
      <c r="F784" s="5" t="s">
        <v>177</v>
      </c>
      <c r="G784" s="5" t="s">
        <v>177</v>
      </c>
      <c r="H784" s="5">
        <v>2</v>
      </c>
      <c r="I784" s="5"/>
    </row>
    <row r="785" spans="1:9">
      <c r="A785" s="5">
        <v>92833</v>
      </c>
      <c r="B785" s="5">
        <v>2</v>
      </c>
      <c r="C785" s="5">
        <v>1</v>
      </c>
      <c r="D785" s="5" t="s">
        <v>177</v>
      </c>
      <c r="E785" s="5">
        <v>1</v>
      </c>
      <c r="F785" s="5" t="s">
        <v>177</v>
      </c>
      <c r="G785" s="5" t="s">
        <v>177</v>
      </c>
      <c r="H785" s="5" t="s">
        <v>177</v>
      </c>
      <c r="I785" s="5"/>
    </row>
    <row r="786" spans="1:9">
      <c r="A786" s="5">
        <v>92835</v>
      </c>
      <c r="B786" s="5">
        <v>1</v>
      </c>
      <c r="C786" s="5">
        <v>1</v>
      </c>
      <c r="D786" s="5" t="s">
        <v>177</v>
      </c>
      <c r="E786" s="5" t="s">
        <v>177</v>
      </c>
      <c r="F786" s="5" t="s">
        <v>177</v>
      </c>
      <c r="G786" s="5" t="s">
        <v>177</v>
      </c>
      <c r="H786" s="5" t="s">
        <v>177</v>
      </c>
      <c r="I786" s="5"/>
    </row>
    <row r="787" spans="1:9">
      <c r="A787" s="5">
        <v>92840</v>
      </c>
      <c r="B787" s="5">
        <v>2</v>
      </c>
      <c r="C787" s="5" t="s">
        <v>177</v>
      </c>
      <c r="D787" s="5">
        <v>1</v>
      </c>
      <c r="E787" s="5" t="s">
        <v>177</v>
      </c>
      <c r="F787" s="5" t="s">
        <v>177</v>
      </c>
      <c r="G787" s="5" t="s">
        <v>177</v>
      </c>
      <c r="H787" s="5">
        <v>1</v>
      </c>
      <c r="I787" s="5"/>
    </row>
    <row r="788" spans="1:9">
      <c r="A788" s="5">
        <v>92841</v>
      </c>
      <c r="B788" s="5">
        <v>2</v>
      </c>
      <c r="C788" s="5" t="s">
        <v>177</v>
      </c>
      <c r="D788" s="5" t="s">
        <v>177</v>
      </c>
      <c r="E788" s="5">
        <v>1</v>
      </c>
      <c r="F788" s="5">
        <v>1</v>
      </c>
      <c r="G788" s="5" t="s">
        <v>177</v>
      </c>
      <c r="H788" s="5" t="s">
        <v>177</v>
      </c>
      <c r="I788" s="5"/>
    </row>
    <row r="789" spans="1:9">
      <c r="A789" s="5">
        <v>92843</v>
      </c>
      <c r="B789" s="5">
        <v>1</v>
      </c>
      <c r="C789" s="5">
        <v>1</v>
      </c>
      <c r="D789" s="5" t="s">
        <v>177</v>
      </c>
      <c r="E789" s="5" t="s">
        <v>177</v>
      </c>
      <c r="F789" s="5" t="s">
        <v>177</v>
      </c>
      <c r="G789" s="5" t="s">
        <v>177</v>
      </c>
      <c r="H789" s="5" t="s">
        <v>177</v>
      </c>
      <c r="I789" s="5"/>
    </row>
    <row r="790" spans="1:9">
      <c r="A790" s="5">
        <v>92844</v>
      </c>
      <c r="B790" s="5">
        <v>2</v>
      </c>
      <c r="C790" s="5">
        <v>2</v>
      </c>
      <c r="D790" s="5" t="s">
        <v>177</v>
      </c>
      <c r="E790" s="5" t="s">
        <v>177</v>
      </c>
      <c r="F790" s="5" t="s">
        <v>177</v>
      </c>
      <c r="G790" s="5" t="s">
        <v>177</v>
      </c>
      <c r="H790" s="5" t="s">
        <v>177</v>
      </c>
      <c r="I790" s="5"/>
    </row>
    <row r="791" spans="1:9">
      <c r="A791" s="5">
        <v>92860</v>
      </c>
      <c r="B791" s="5">
        <v>1</v>
      </c>
      <c r="C791" s="5" t="s">
        <v>177</v>
      </c>
      <c r="D791" s="5" t="s">
        <v>177</v>
      </c>
      <c r="E791" s="5">
        <v>1</v>
      </c>
      <c r="F791" s="5" t="s">
        <v>177</v>
      </c>
      <c r="G791" s="5" t="s">
        <v>177</v>
      </c>
      <c r="H791" s="5" t="s">
        <v>177</v>
      </c>
      <c r="I791" s="5"/>
    </row>
    <row r="792" spans="1:9">
      <c r="A792" s="5">
        <v>92861</v>
      </c>
      <c r="B792" s="5">
        <v>1</v>
      </c>
      <c r="C792" s="5" t="s">
        <v>177</v>
      </c>
      <c r="D792" s="5" t="s">
        <v>177</v>
      </c>
      <c r="E792" s="5" t="s">
        <v>177</v>
      </c>
      <c r="F792" s="5" t="s">
        <v>177</v>
      </c>
      <c r="G792" s="5">
        <v>1</v>
      </c>
      <c r="H792" s="5" t="s">
        <v>177</v>
      </c>
      <c r="I792" s="5"/>
    </row>
    <row r="793" spans="1:9">
      <c r="A793" s="5">
        <v>92865</v>
      </c>
      <c r="B793" s="5">
        <v>1</v>
      </c>
      <c r="C793" s="5" t="s">
        <v>177</v>
      </c>
      <c r="D793" s="5" t="s">
        <v>177</v>
      </c>
      <c r="E793" s="5" t="s">
        <v>177</v>
      </c>
      <c r="F793" s="5" t="s">
        <v>177</v>
      </c>
      <c r="G793" s="5">
        <v>1</v>
      </c>
      <c r="H793" s="5" t="s">
        <v>177</v>
      </c>
      <c r="I793" s="5"/>
    </row>
    <row r="794" spans="1:9">
      <c r="A794" s="5">
        <v>92866</v>
      </c>
      <c r="B794" s="5">
        <v>24</v>
      </c>
      <c r="C794" s="5">
        <v>4</v>
      </c>
      <c r="D794" s="5">
        <v>5</v>
      </c>
      <c r="E794" s="5" t="s">
        <v>177</v>
      </c>
      <c r="F794" s="5">
        <v>7</v>
      </c>
      <c r="G794" s="5">
        <v>4</v>
      </c>
      <c r="H794" s="5">
        <v>4</v>
      </c>
      <c r="I794" s="5"/>
    </row>
    <row r="795" spans="1:9">
      <c r="A795" s="5">
        <v>92867</v>
      </c>
      <c r="B795" s="5">
        <v>2</v>
      </c>
      <c r="C795" s="5">
        <v>1</v>
      </c>
      <c r="D795" s="5" t="s">
        <v>177</v>
      </c>
      <c r="E795" s="5" t="s">
        <v>177</v>
      </c>
      <c r="F795" s="5" t="s">
        <v>177</v>
      </c>
      <c r="G795" s="5">
        <v>1</v>
      </c>
      <c r="H795" s="5" t="s">
        <v>177</v>
      </c>
      <c r="I795" s="5"/>
    </row>
    <row r="796" spans="1:9">
      <c r="A796" s="5">
        <v>92868</v>
      </c>
      <c r="B796" s="5">
        <v>2</v>
      </c>
      <c r="C796" s="5" t="s">
        <v>177</v>
      </c>
      <c r="D796" s="5">
        <v>1</v>
      </c>
      <c r="E796" s="5" t="s">
        <v>177</v>
      </c>
      <c r="F796" s="5" t="s">
        <v>177</v>
      </c>
      <c r="G796" s="5" t="s">
        <v>177</v>
      </c>
      <c r="H796" s="5">
        <v>1</v>
      </c>
      <c r="I796" s="5"/>
    </row>
    <row r="797" spans="1:9">
      <c r="A797" s="5">
        <v>92869</v>
      </c>
      <c r="B797" s="5">
        <v>3</v>
      </c>
      <c r="C797" s="5">
        <v>2</v>
      </c>
      <c r="D797" s="5" t="s">
        <v>177</v>
      </c>
      <c r="E797" s="5" t="s">
        <v>177</v>
      </c>
      <c r="F797" s="5">
        <v>1</v>
      </c>
      <c r="G797" s="5" t="s">
        <v>177</v>
      </c>
      <c r="H797" s="5" t="s">
        <v>177</v>
      </c>
      <c r="I797" s="5"/>
    </row>
    <row r="798" spans="1:9">
      <c r="A798" s="5">
        <v>92870</v>
      </c>
      <c r="B798" s="5">
        <v>4</v>
      </c>
      <c r="C798" s="5">
        <v>2</v>
      </c>
      <c r="D798" s="5">
        <v>1</v>
      </c>
      <c r="E798" s="5" t="s">
        <v>177</v>
      </c>
      <c r="F798" s="5" t="s">
        <v>177</v>
      </c>
      <c r="G798" s="5" t="s">
        <v>177</v>
      </c>
      <c r="H798" s="5">
        <v>1</v>
      </c>
      <c r="I798" s="5"/>
    </row>
    <row r="799" spans="1:9">
      <c r="A799" s="5">
        <v>92878</v>
      </c>
      <c r="B799" s="5">
        <v>17</v>
      </c>
      <c r="C799" s="5">
        <v>6</v>
      </c>
      <c r="D799" s="5">
        <v>1</v>
      </c>
      <c r="E799" s="5">
        <v>3</v>
      </c>
      <c r="F799" s="5">
        <v>3</v>
      </c>
      <c r="G799" s="5">
        <v>3</v>
      </c>
      <c r="H799" s="5">
        <v>1</v>
      </c>
      <c r="I799" s="5"/>
    </row>
    <row r="800" spans="1:9">
      <c r="A800" s="5">
        <v>92879</v>
      </c>
      <c r="B800" s="5">
        <v>2</v>
      </c>
      <c r="C800" s="5" t="s">
        <v>177</v>
      </c>
      <c r="D800" s="5" t="s">
        <v>177</v>
      </c>
      <c r="E800" s="5" t="s">
        <v>177</v>
      </c>
      <c r="F800" s="5">
        <v>1</v>
      </c>
      <c r="G800" s="5">
        <v>1</v>
      </c>
      <c r="H800" s="5" t="s">
        <v>177</v>
      </c>
      <c r="I800" s="5"/>
    </row>
    <row r="801" spans="1:9">
      <c r="A801" s="5">
        <v>92880</v>
      </c>
      <c r="B801" s="5">
        <v>3</v>
      </c>
      <c r="C801" s="5">
        <v>1</v>
      </c>
      <c r="D801" s="5" t="s">
        <v>177</v>
      </c>
      <c r="E801" s="5" t="s">
        <v>177</v>
      </c>
      <c r="F801" s="5">
        <v>2</v>
      </c>
      <c r="G801" s="5" t="s">
        <v>177</v>
      </c>
      <c r="H801" s="5" t="s">
        <v>177</v>
      </c>
      <c r="I801" s="5"/>
    </row>
    <row r="802" spans="1:9">
      <c r="A802" s="5">
        <v>92882</v>
      </c>
      <c r="B802" s="5">
        <v>2</v>
      </c>
      <c r="C802" s="5">
        <v>1</v>
      </c>
      <c r="D802" s="5">
        <v>1</v>
      </c>
      <c r="E802" s="5" t="s">
        <v>177</v>
      </c>
      <c r="F802" s="5" t="s">
        <v>177</v>
      </c>
      <c r="G802" s="5" t="s">
        <v>177</v>
      </c>
      <c r="H802" s="5" t="s">
        <v>177</v>
      </c>
      <c r="I802" s="5"/>
    </row>
    <row r="803" spans="1:9">
      <c r="A803" s="5">
        <v>92886</v>
      </c>
      <c r="B803" s="5">
        <v>1</v>
      </c>
      <c r="C803" s="5">
        <v>1</v>
      </c>
      <c r="D803" s="5" t="s">
        <v>177</v>
      </c>
      <c r="E803" s="5" t="s">
        <v>177</v>
      </c>
      <c r="F803" s="5" t="s">
        <v>177</v>
      </c>
      <c r="G803" s="5" t="s">
        <v>177</v>
      </c>
      <c r="H803" s="5" t="s">
        <v>177</v>
      </c>
      <c r="I803" s="5"/>
    </row>
    <row r="804" spans="1:9">
      <c r="A804" s="5">
        <v>92887</v>
      </c>
      <c r="B804" s="5">
        <v>1</v>
      </c>
      <c r="C804" s="5" t="s">
        <v>177</v>
      </c>
      <c r="D804" s="5" t="s">
        <v>177</v>
      </c>
      <c r="E804" s="5" t="s">
        <v>177</v>
      </c>
      <c r="F804" s="5">
        <v>1</v>
      </c>
      <c r="G804" s="5" t="s">
        <v>177</v>
      </c>
      <c r="H804" s="5" t="s">
        <v>177</v>
      </c>
      <c r="I804" s="5"/>
    </row>
    <row r="805" spans="1:9">
      <c r="A805" s="5">
        <v>93003</v>
      </c>
      <c r="B805" s="5">
        <v>70</v>
      </c>
      <c r="C805" s="5">
        <v>11</v>
      </c>
      <c r="D805" s="5">
        <v>14</v>
      </c>
      <c r="E805" s="5">
        <v>10</v>
      </c>
      <c r="F805" s="5">
        <v>10</v>
      </c>
      <c r="G805" s="5">
        <v>10</v>
      </c>
      <c r="H805" s="5">
        <v>15</v>
      </c>
      <c r="I805" s="5"/>
    </row>
    <row r="806" spans="1:9">
      <c r="A806" s="5">
        <v>93004</v>
      </c>
      <c r="B806" s="5">
        <v>44</v>
      </c>
      <c r="C806" s="5">
        <v>4</v>
      </c>
      <c r="D806" s="5">
        <v>5</v>
      </c>
      <c r="E806" s="5">
        <v>5</v>
      </c>
      <c r="F806" s="5">
        <v>5</v>
      </c>
      <c r="G806" s="5">
        <v>13</v>
      </c>
      <c r="H806" s="5">
        <v>12</v>
      </c>
      <c r="I806" s="5"/>
    </row>
    <row r="807" spans="1:9">
      <c r="A807" s="5">
        <v>93010</v>
      </c>
      <c r="B807" s="5">
        <v>95</v>
      </c>
      <c r="C807" s="5">
        <v>19</v>
      </c>
      <c r="D807" s="5">
        <v>13</v>
      </c>
      <c r="E807" s="5">
        <v>3</v>
      </c>
      <c r="F807" s="5">
        <v>21</v>
      </c>
      <c r="G807" s="5">
        <v>16</v>
      </c>
      <c r="H807" s="5">
        <v>23</v>
      </c>
      <c r="I807" s="5"/>
    </row>
    <row r="808" spans="1:9">
      <c r="A808" s="5">
        <v>93012</v>
      </c>
      <c r="B808" s="5">
        <v>55</v>
      </c>
      <c r="C808" s="5">
        <v>6</v>
      </c>
      <c r="D808" s="5">
        <v>10</v>
      </c>
      <c r="E808" s="5">
        <v>7</v>
      </c>
      <c r="F808" s="5">
        <v>9</v>
      </c>
      <c r="G808" s="5">
        <v>10</v>
      </c>
      <c r="H808" s="5">
        <v>13</v>
      </c>
      <c r="I808" s="5"/>
    </row>
    <row r="809" spans="1:9">
      <c r="A809" s="5">
        <v>93015</v>
      </c>
      <c r="B809" s="5">
        <v>36</v>
      </c>
      <c r="C809" s="5">
        <v>6</v>
      </c>
      <c r="D809" s="5">
        <v>2</v>
      </c>
      <c r="E809" s="5">
        <v>4</v>
      </c>
      <c r="F809" s="5">
        <v>9</v>
      </c>
      <c r="G809" s="5">
        <v>5</v>
      </c>
      <c r="H809" s="5">
        <v>10</v>
      </c>
      <c r="I809" s="5"/>
    </row>
    <row r="810" spans="1:9">
      <c r="A810" s="5">
        <v>93021</v>
      </c>
      <c r="B810" s="5">
        <v>2</v>
      </c>
      <c r="C810" s="5">
        <v>1</v>
      </c>
      <c r="D810" s="5" t="s">
        <v>177</v>
      </c>
      <c r="E810" s="5" t="s">
        <v>177</v>
      </c>
      <c r="F810" s="5" t="s">
        <v>177</v>
      </c>
      <c r="G810" s="5" t="s">
        <v>177</v>
      </c>
      <c r="H810" s="5">
        <v>1</v>
      </c>
      <c r="I810" s="5"/>
    </row>
    <row r="811" spans="1:9">
      <c r="A811" s="5">
        <v>93030</v>
      </c>
      <c r="B811" s="5">
        <v>86</v>
      </c>
      <c r="C811" s="5">
        <v>17</v>
      </c>
      <c r="D811" s="5">
        <v>8</v>
      </c>
      <c r="E811" s="5">
        <v>10</v>
      </c>
      <c r="F811" s="5">
        <v>13</v>
      </c>
      <c r="G811" s="5">
        <v>17</v>
      </c>
      <c r="H811" s="5">
        <v>21</v>
      </c>
      <c r="I811" s="5"/>
    </row>
    <row r="812" spans="1:9">
      <c r="A812" s="5">
        <v>93033</v>
      </c>
      <c r="B812" s="5">
        <v>111</v>
      </c>
      <c r="C812" s="5">
        <v>20</v>
      </c>
      <c r="D812" s="5">
        <v>17</v>
      </c>
      <c r="E812" s="5">
        <v>9</v>
      </c>
      <c r="F812" s="5">
        <v>18</v>
      </c>
      <c r="G812" s="5">
        <v>17</v>
      </c>
      <c r="H812" s="5">
        <v>30</v>
      </c>
      <c r="I812" s="5"/>
    </row>
    <row r="813" spans="1:9">
      <c r="A813" s="5">
        <v>93035</v>
      </c>
      <c r="B813" s="5">
        <v>39</v>
      </c>
      <c r="C813" s="5">
        <v>2</v>
      </c>
      <c r="D813" s="5">
        <v>5</v>
      </c>
      <c r="E813" s="5">
        <v>6</v>
      </c>
      <c r="F813" s="5">
        <v>11</v>
      </c>
      <c r="G813" s="5">
        <v>7</v>
      </c>
      <c r="H813" s="5">
        <v>8</v>
      </c>
      <c r="I813" s="5"/>
    </row>
    <row r="814" spans="1:9">
      <c r="A814" s="5">
        <v>93036</v>
      </c>
      <c r="B814" s="5">
        <v>83</v>
      </c>
      <c r="C814" s="5">
        <v>13</v>
      </c>
      <c r="D814" s="5">
        <v>11</v>
      </c>
      <c r="E814" s="5">
        <v>9</v>
      </c>
      <c r="F814" s="5">
        <v>13</v>
      </c>
      <c r="G814" s="5">
        <v>11</v>
      </c>
      <c r="H814" s="5">
        <v>26</v>
      </c>
      <c r="I814" s="5"/>
    </row>
    <row r="815" spans="1:9">
      <c r="A815" s="5">
        <v>93060</v>
      </c>
      <c r="B815" s="5">
        <v>40</v>
      </c>
      <c r="C815" s="5">
        <v>1</v>
      </c>
      <c r="D815" s="5">
        <v>11</v>
      </c>
      <c r="E815" s="5">
        <v>3</v>
      </c>
      <c r="F815" s="5">
        <v>10</v>
      </c>
      <c r="G815" s="5">
        <v>6</v>
      </c>
      <c r="H815" s="5">
        <v>9</v>
      </c>
      <c r="I815" s="5"/>
    </row>
    <row r="816" spans="1:9">
      <c r="A816" s="5">
        <v>93063</v>
      </c>
      <c r="B816" s="5">
        <v>122</v>
      </c>
      <c r="C816" s="5">
        <v>23</v>
      </c>
      <c r="D816" s="5">
        <v>16</v>
      </c>
      <c r="E816" s="5">
        <v>15</v>
      </c>
      <c r="F816" s="5">
        <v>21</v>
      </c>
      <c r="G816" s="5">
        <v>27</v>
      </c>
      <c r="H816" s="5">
        <v>20</v>
      </c>
      <c r="I816" s="5"/>
    </row>
    <row r="817" spans="1:9">
      <c r="A817" s="5">
        <v>93065</v>
      </c>
      <c r="B817" s="5">
        <v>3</v>
      </c>
      <c r="C817" s="5">
        <v>2</v>
      </c>
      <c r="D817" s="5">
        <v>1</v>
      </c>
      <c r="E817" s="5" t="s">
        <v>177</v>
      </c>
      <c r="F817" s="5" t="s">
        <v>177</v>
      </c>
      <c r="G817" s="5" t="s">
        <v>177</v>
      </c>
      <c r="H817" s="5" t="s">
        <v>177</v>
      </c>
      <c r="I817" s="5"/>
    </row>
    <row r="818" spans="1:9">
      <c r="A818" s="5">
        <v>93066</v>
      </c>
      <c r="B818" s="5">
        <v>3</v>
      </c>
      <c r="C818" s="5">
        <v>1</v>
      </c>
      <c r="D818" s="5">
        <v>1</v>
      </c>
      <c r="E818" s="5">
        <v>1</v>
      </c>
      <c r="F818" s="5" t="s">
        <v>177</v>
      </c>
      <c r="G818" s="5" t="s">
        <v>177</v>
      </c>
      <c r="H818" s="5" t="s">
        <v>177</v>
      </c>
      <c r="I818" s="5"/>
    </row>
    <row r="819" spans="1:9">
      <c r="A819" s="5">
        <v>93203</v>
      </c>
      <c r="B819" s="5">
        <v>25</v>
      </c>
      <c r="C819" s="5">
        <v>8</v>
      </c>
      <c r="D819" s="5">
        <v>3</v>
      </c>
      <c r="E819" s="5">
        <v>5</v>
      </c>
      <c r="F819" s="5">
        <v>1</v>
      </c>
      <c r="G819" s="5" t="s">
        <v>177</v>
      </c>
      <c r="H819" s="5">
        <v>8</v>
      </c>
      <c r="I819" s="5"/>
    </row>
    <row r="820" spans="1:9">
      <c r="A820" s="5">
        <v>93206</v>
      </c>
      <c r="B820" s="5">
        <v>3</v>
      </c>
      <c r="C820" s="5" t="s">
        <v>177</v>
      </c>
      <c r="D820" s="5">
        <v>1</v>
      </c>
      <c r="E820" s="5" t="s">
        <v>177</v>
      </c>
      <c r="F820" s="5" t="s">
        <v>177</v>
      </c>
      <c r="G820" s="5">
        <v>1</v>
      </c>
      <c r="H820" s="5">
        <v>1</v>
      </c>
      <c r="I820" s="5"/>
    </row>
    <row r="821" spans="1:9">
      <c r="A821" s="5">
        <v>93215</v>
      </c>
      <c r="B821" s="5">
        <v>67</v>
      </c>
      <c r="C821" s="5">
        <v>20</v>
      </c>
      <c r="D821" s="5">
        <v>8</v>
      </c>
      <c r="E821" s="5">
        <v>7</v>
      </c>
      <c r="F821" s="5">
        <v>9</v>
      </c>
      <c r="G821" s="5">
        <v>9</v>
      </c>
      <c r="H821" s="5">
        <v>14</v>
      </c>
      <c r="I821" s="5"/>
    </row>
    <row r="822" spans="1:9">
      <c r="A822" s="5">
        <v>93224</v>
      </c>
      <c r="B822" s="5">
        <v>1</v>
      </c>
      <c r="C822" s="5" t="s">
        <v>177</v>
      </c>
      <c r="D822" s="5" t="s">
        <v>177</v>
      </c>
      <c r="E822" s="5">
        <v>1</v>
      </c>
      <c r="F822" s="5" t="s">
        <v>177</v>
      </c>
      <c r="G822" s="5" t="s">
        <v>177</v>
      </c>
      <c r="H822" s="5" t="s">
        <v>177</v>
      </c>
      <c r="I822" s="5"/>
    </row>
    <row r="823" spans="1:9">
      <c r="A823" s="5">
        <v>93240</v>
      </c>
      <c r="B823" s="5">
        <v>10</v>
      </c>
      <c r="C823" s="5" t="s">
        <v>177</v>
      </c>
      <c r="D823" s="5">
        <v>2</v>
      </c>
      <c r="E823" s="5">
        <v>2</v>
      </c>
      <c r="F823" s="5">
        <v>2</v>
      </c>
      <c r="G823" s="5">
        <v>1</v>
      </c>
      <c r="H823" s="5">
        <v>3</v>
      </c>
      <c r="I823" s="5"/>
    </row>
    <row r="824" spans="1:9">
      <c r="A824" s="5">
        <v>93242</v>
      </c>
      <c r="B824" s="5">
        <v>4</v>
      </c>
      <c r="C824" s="5" t="s">
        <v>177</v>
      </c>
      <c r="D824" s="5">
        <v>1</v>
      </c>
      <c r="E824" s="5">
        <v>1</v>
      </c>
      <c r="F824" s="5">
        <v>1</v>
      </c>
      <c r="G824" s="5" t="s">
        <v>177</v>
      </c>
      <c r="H824" s="5">
        <v>1</v>
      </c>
      <c r="I824" s="5"/>
    </row>
    <row r="825" spans="1:9">
      <c r="A825" s="5">
        <v>93249</v>
      </c>
      <c r="B825" s="5">
        <v>1</v>
      </c>
      <c r="C825" s="5" t="s">
        <v>177</v>
      </c>
      <c r="D825" s="5">
        <v>1</v>
      </c>
      <c r="E825" s="5" t="s">
        <v>177</v>
      </c>
      <c r="F825" s="5" t="s">
        <v>177</v>
      </c>
      <c r="G825" s="5" t="s">
        <v>177</v>
      </c>
      <c r="H825" s="5" t="s">
        <v>177</v>
      </c>
      <c r="I825" s="5"/>
    </row>
    <row r="826" spans="1:9">
      <c r="A826" s="5">
        <v>93250</v>
      </c>
      <c r="B826" s="5">
        <v>19</v>
      </c>
      <c r="C826" s="5">
        <v>4</v>
      </c>
      <c r="D826" s="5">
        <v>2</v>
      </c>
      <c r="E826" s="5">
        <v>2</v>
      </c>
      <c r="F826" s="5">
        <v>3</v>
      </c>
      <c r="G826" s="5">
        <v>1</v>
      </c>
      <c r="H826" s="5">
        <v>7</v>
      </c>
      <c r="I826" s="5"/>
    </row>
    <row r="827" spans="1:9">
      <c r="A827" s="5">
        <v>93263</v>
      </c>
      <c r="B827" s="5">
        <v>31</v>
      </c>
      <c r="C827" s="5">
        <v>6</v>
      </c>
      <c r="D827" s="5">
        <v>6</v>
      </c>
      <c r="E827" s="5">
        <v>2</v>
      </c>
      <c r="F827" s="5">
        <v>7</v>
      </c>
      <c r="G827" s="5">
        <v>4</v>
      </c>
      <c r="H827" s="5">
        <v>6</v>
      </c>
      <c r="I827" s="5"/>
    </row>
    <row r="828" spans="1:9">
      <c r="A828" s="5">
        <v>93268</v>
      </c>
      <c r="B828" s="5">
        <v>25</v>
      </c>
      <c r="C828" s="5">
        <v>2</v>
      </c>
      <c r="D828" s="5">
        <v>7</v>
      </c>
      <c r="E828" s="5">
        <v>3</v>
      </c>
      <c r="F828" s="5">
        <v>1</v>
      </c>
      <c r="G828" s="5">
        <v>7</v>
      </c>
      <c r="H828" s="5">
        <v>5</v>
      </c>
      <c r="I828" s="5"/>
    </row>
    <row r="829" spans="1:9">
      <c r="A829" s="5">
        <v>93280</v>
      </c>
      <c r="B829" s="5">
        <v>29</v>
      </c>
      <c r="C829" s="5">
        <v>3</v>
      </c>
      <c r="D829" s="5">
        <v>5</v>
      </c>
      <c r="E829" s="5">
        <v>4</v>
      </c>
      <c r="F829" s="5">
        <v>3</v>
      </c>
      <c r="G829" s="5">
        <v>6</v>
      </c>
      <c r="H829" s="5">
        <v>8</v>
      </c>
      <c r="I829" s="5"/>
    </row>
    <row r="830" spans="1:9">
      <c r="A830" s="5">
        <v>93285</v>
      </c>
      <c r="B830" s="5">
        <v>5</v>
      </c>
      <c r="C830" s="5" t="s">
        <v>177</v>
      </c>
      <c r="D830" s="5" t="s">
        <v>177</v>
      </c>
      <c r="E830" s="5" t="s">
        <v>177</v>
      </c>
      <c r="F830" s="5" t="s">
        <v>177</v>
      </c>
      <c r="G830" s="5" t="s">
        <v>177</v>
      </c>
      <c r="H830" s="5">
        <v>5</v>
      </c>
      <c r="I830" s="5"/>
    </row>
    <row r="831" spans="1:9">
      <c r="A831" s="5">
        <v>93301</v>
      </c>
      <c r="B831" s="5">
        <v>13</v>
      </c>
      <c r="C831" s="5">
        <v>1</v>
      </c>
      <c r="D831" s="5">
        <v>3</v>
      </c>
      <c r="E831" s="5">
        <v>4</v>
      </c>
      <c r="F831" s="5">
        <v>2</v>
      </c>
      <c r="G831" s="5">
        <v>3</v>
      </c>
      <c r="H831" s="5" t="s">
        <v>177</v>
      </c>
      <c r="I831" s="5"/>
    </row>
    <row r="832" spans="1:9">
      <c r="A832" s="5">
        <v>93304</v>
      </c>
      <c r="B832" s="5">
        <v>3</v>
      </c>
      <c r="C832" s="5">
        <v>1</v>
      </c>
      <c r="D832" s="5">
        <v>1</v>
      </c>
      <c r="E832" s="5" t="s">
        <v>177</v>
      </c>
      <c r="F832" s="5">
        <v>1</v>
      </c>
      <c r="G832" s="5" t="s">
        <v>177</v>
      </c>
      <c r="H832" s="5" t="s">
        <v>177</v>
      </c>
      <c r="I832" s="5"/>
    </row>
    <row r="833" spans="1:9">
      <c r="A833" s="5">
        <v>93305</v>
      </c>
      <c r="B833" s="5">
        <v>79</v>
      </c>
      <c r="C833" s="5">
        <v>14</v>
      </c>
      <c r="D833" s="5">
        <v>13</v>
      </c>
      <c r="E833" s="5">
        <v>12</v>
      </c>
      <c r="F833" s="5">
        <v>12</v>
      </c>
      <c r="G833" s="5">
        <v>9</v>
      </c>
      <c r="H833" s="5">
        <v>19</v>
      </c>
      <c r="I833" s="5"/>
    </row>
    <row r="834" spans="1:9">
      <c r="A834" s="5">
        <v>93306</v>
      </c>
      <c r="B834" s="5">
        <v>3</v>
      </c>
      <c r="C834" s="5">
        <v>1</v>
      </c>
      <c r="D834" s="5">
        <v>1</v>
      </c>
      <c r="E834" s="5" t="s">
        <v>177</v>
      </c>
      <c r="F834" s="5" t="s">
        <v>177</v>
      </c>
      <c r="G834" s="5">
        <v>1</v>
      </c>
      <c r="H834" s="5" t="s">
        <v>177</v>
      </c>
      <c r="I834" s="5"/>
    </row>
    <row r="835" spans="1:9">
      <c r="A835" s="5">
        <v>93307</v>
      </c>
      <c r="B835" s="5">
        <v>6</v>
      </c>
      <c r="C835" s="5" t="s">
        <v>177</v>
      </c>
      <c r="D835" s="5">
        <v>1</v>
      </c>
      <c r="E835" s="5">
        <v>1</v>
      </c>
      <c r="F835" s="5">
        <v>2</v>
      </c>
      <c r="G835" s="5">
        <v>1</v>
      </c>
      <c r="H835" s="5">
        <v>1</v>
      </c>
      <c r="I835" s="5"/>
    </row>
    <row r="836" spans="1:9">
      <c r="A836" s="5">
        <v>93308</v>
      </c>
      <c r="B836" s="5">
        <v>4</v>
      </c>
      <c r="C836" s="5">
        <v>1</v>
      </c>
      <c r="D836" s="5">
        <v>2</v>
      </c>
      <c r="E836" s="5" t="s">
        <v>177</v>
      </c>
      <c r="F836" s="5" t="s">
        <v>177</v>
      </c>
      <c r="G836" s="5">
        <v>1</v>
      </c>
      <c r="H836" s="5" t="s">
        <v>177</v>
      </c>
      <c r="I836" s="5"/>
    </row>
    <row r="837" spans="1:9">
      <c r="A837" s="5">
        <v>93309</v>
      </c>
      <c r="B837" s="5">
        <v>3</v>
      </c>
      <c r="C837" s="5">
        <v>2</v>
      </c>
      <c r="D837" s="5" t="s">
        <v>177</v>
      </c>
      <c r="E837" s="5" t="s">
        <v>177</v>
      </c>
      <c r="F837" s="5">
        <v>1</v>
      </c>
      <c r="G837" s="5" t="s">
        <v>177</v>
      </c>
      <c r="H837" s="5" t="s">
        <v>177</v>
      </c>
      <c r="I837" s="5"/>
    </row>
    <row r="838" spans="1:9">
      <c r="A838" s="5">
        <v>93311</v>
      </c>
      <c r="B838" s="5">
        <v>6</v>
      </c>
      <c r="C838" s="5">
        <v>1</v>
      </c>
      <c r="D838" s="5">
        <v>2</v>
      </c>
      <c r="E838" s="5">
        <v>2</v>
      </c>
      <c r="F838" s="5" t="s">
        <v>177</v>
      </c>
      <c r="G838" s="5">
        <v>1</v>
      </c>
      <c r="H838" s="5" t="s">
        <v>177</v>
      </c>
      <c r="I838" s="5"/>
    </row>
    <row r="839" spans="1:9">
      <c r="A839" s="5">
        <v>93312</v>
      </c>
      <c r="B839" s="5">
        <v>6</v>
      </c>
      <c r="C839" s="5">
        <v>2</v>
      </c>
      <c r="D839" s="5">
        <v>1</v>
      </c>
      <c r="E839" s="5">
        <v>1</v>
      </c>
      <c r="F839" s="5" t="s">
        <v>177</v>
      </c>
      <c r="G839" s="5">
        <v>1</v>
      </c>
      <c r="H839" s="5">
        <v>1</v>
      </c>
      <c r="I839" s="5"/>
    </row>
    <row r="840" spans="1:9">
      <c r="A840" s="5">
        <v>93313</v>
      </c>
      <c r="B840" s="5">
        <v>7</v>
      </c>
      <c r="C840" s="5">
        <v>2</v>
      </c>
      <c r="D840" s="5">
        <v>1</v>
      </c>
      <c r="E840" s="5">
        <v>1</v>
      </c>
      <c r="F840" s="5" t="s">
        <v>177</v>
      </c>
      <c r="G840" s="5">
        <v>2</v>
      </c>
      <c r="H840" s="5">
        <v>1</v>
      </c>
      <c r="I840" s="5"/>
    </row>
    <row r="841" spans="1:9">
      <c r="A841" s="5">
        <v>93314</v>
      </c>
      <c r="B841" s="5">
        <v>2</v>
      </c>
      <c r="C841" s="5">
        <v>1</v>
      </c>
      <c r="D841" s="5" t="s">
        <v>177</v>
      </c>
      <c r="E841" s="5" t="s">
        <v>177</v>
      </c>
      <c r="F841" s="5">
        <v>1</v>
      </c>
      <c r="G841" s="5" t="s">
        <v>177</v>
      </c>
      <c r="H841" s="5" t="s">
        <v>177</v>
      </c>
      <c r="I841" s="5"/>
    </row>
    <row r="842" spans="1:9">
      <c r="A842" s="5">
        <v>93534</v>
      </c>
      <c r="B842" s="5">
        <v>7</v>
      </c>
      <c r="C842" s="5" t="s">
        <v>177</v>
      </c>
      <c r="D842" s="5" t="s">
        <v>177</v>
      </c>
      <c r="E842" s="5">
        <v>2</v>
      </c>
      <c r="F842" s="5">
        <v>1</v>
      </c>
      <c r="G842" s="5">
        <v>1</v>
      </c>
      <c r="H842" s="5">
        <v>3</v>
      </c>
      <c r="I842" s="5"/>
    </row>
    <row r="843" spans="1:9">
      <c r="A843" s="5">
        <v>93535</v>
      </c>
      <c r="B843" s="5">
        <v>26</v>
      </c>
      <c r="C843" s="5">
        <v>3</v>
      </c>
      <c r="D843" s="5">
        <v>4</v>
      </c>
      <c r="E843" s="5">
        <v>6</v>
      </c>
      <c r="F843" s="5">
        <v>3</v>
      </c>
      <c r="G843" s="5">
        <v>6</v>
      </c>
      <c r="H843" s="5">
        <v>4</v>
      </c>
      <c r="I843" s="5"/>
    </row>
    <row r="844" spans="1:9">
      <c r="A844" s="5">
        <v>93536</v>
      </c>
      <c r="B844" s="5">
        <v>26</v>
      </c>
      <c r="C844" s="5">
        <v>4</v>
      </c>
      <c r="D844" s="5">
        <v>4</v>
      </c>
      <c r="E844" s="5">
        <v>3</v>
      </c>
      <c r="F844" s="5">
        <v>3</v>
      </c>
      <c r="G844" s="5">
        <v>7</v>
      </c>
      <c r="H844" s="5">
        <v>5</v>
      </c>
      <c r="I844" s="5"/>
    </row>
    <row r="845" spans="1:9">
      <c r="A845" s="5">
        <v>93543</v>
      </c>
      <c r="B845" s="5">
        <v>8</v>
      </c>
      <c r="C845" s="5">
        <v>1</v>
      </c>
      <c r="D845" s="5" t="s">
        <v>177</v>
      </c>
      <c r="E845" s="5">
        <v>2</v>
      </c>
      <c r="F845" s="5">
        <v>1</v>
      </c>
      <c r="G845" s="5">
        <v>1</v>
      </c>
      <c r="H845" s="5">
        <v>3</v>
      </c>
      <c r="I845" s="5"/>
    </row>
    <row r="846" spans="1:9">
      <c r="A846" s="5">
        <v>93550</v>
      </c>
      <c r="B846" s="5">
        <v>15</v>
      </c>
      <c r="C846" s="5">
        <v>2</v>
      </c>
      <c r="D846" s="5" t="s">
        <v>177</v>
      </c>
      <c r="E846" s="5">
        <v>3</v>
      </c>
      <c r="F846" s="5">
        <v>2</v>
      </c>
      <c r="G846" s="5">
        <v>4</v>
      </c>
      <c r="H846" s="5">
        <v>4</v>
      </c>
      <c r="I846" s="5"/>
    </row>
    <row r="847" spans="1:9">
      <c r="A847" s="5">
        <v>93551</v>
      </c>
      <c r="B847" s="5">
        <v>13</v>
      </c>
      <c r="C847" s="5" t="s">
        <v>177</v>
      </c>
      <c r="D847" s="5">
        <v>3</v>
      </c>
      <c r="E847" s="5">
        <v>1</v>
      </c>
      <c r="F847" s="5">
        <v>2</v>
      </c>
      <c r="G847" s="5">
        <v>3</v>
      </c>
      <c r="H847" s="5">
        <v>4</v>
      </c>
      <c r="I847" s="5"/>
    </row>
    <row r="848" spans="1:9">
      <c r="A848" s="5">
        <v>93552</v>
      </c>
      <c r="B848" s="5">
        <v>12</v>
      </c>
      <c r="C848" s="5" t="s">
        <v>177</v>
      </c>
      <c r="D848" s="5">
        <v>1</v>
      </c>
      <c r="E848" s="5">
        <v>3</v>
      </c>
      <c r="F848" s="5">
        <v>4</v>
      </c>
      <c r="G848" s="5">
        <v>3</v>
      </c>
      <c r="H848" s="5">
        <v>1</v>
      </c>
      <c r="I848" s="5"/>
    </row>
    <row r="849" spans="1:9">
      <c r="A849" s="5">
        <v>93606</v>
      </c>
      <c r="B849" s="5">
        <v>1</v>
      </c>
      <c r="C849" s="5" t="s">
        <v>177</v>
      </c>
      <c r="D849" s="5" t="s">
        <v>177</v>
      </c>
      <c r="E849" s="5" t="s">
        <v>177</v>
      </c>
      <c r="F849" s="5" t="s">
        <v>177</v>
      </c>
      <c r="G849" s="5" t="s">
        <v>177</v>
      </c>
      <c r="H849" s="5">
        <v>1</v>
      </c>
      <c r="I849" s="5"/>
    </row>
    <row r="850" spans="1:9">
      <c r="A850" s="5">
        <v>93608</v>
      </c>
      <c r="B850" s="5">
        <v>4</v>
      </c>
      <c r="C850" s="5" t="s">
        <v>177</v>
      </c>
      <c r="D850" s="5">
        <v>2</v>
      </c>
      <c r="E850" s="5" t="s">
        <v>177</v>
      </c>
      <c r="F850" s="5">
        <v>1</v>
      </c>
      <c r="G850" s="5">
        <v>1</v>
      </c>
      <c r="H850" s="5" t="s">
        <v>177</v>
      </c>
      <c r="I850" s="5"/>
    </row>
    <row r="851" spans="1:9">
      <c r="A851" s="5">
        <v>93609</v>
      </c>
      <c r="B851" s="5">
        <v>2</v>
      </c>
      <c r="C851" s="5" t="s">
        <v>177</v>
      </c>
      <c r="D851" s="5" t="s">
        <v>177</v>
      </c>
      <c r="E851" s="5" t="s">
        <v>177</v>
      </c>
      <c r="F851" s="5">
        <v>1</v>
      </c>
      <c r="G851" s="5" t="s">
        <v>177</v>
      </c>
      <c r="H851" s="5">
        <v>1</v>
      </c>
      <c r="I851" s="5"/>
    </row>
    <row r="852" spans="1:9">
      <c r="A852" s="5">
        <v>93610</v>
      </c>
      <c r="B852" s="5">
        <v>18</v>
      </c>
      <c r="C852" s="5">
        <v>2</v>
      </c>
      <c r="D852" s="5">
        <v>1</v>
      </c>
      <c r="E852" s="5">
        <v>4</v>
      </c>
      <c r="F852" s="5">
        <v>4</v>
      </c>
      <c r="G852" s="5">
        <v>3</v>
      </c>
      <c r="H852" s="5">
        <v>4</v>
      </c>
      <c r="I852" s="5"/>
    </row>
    <row r="853" spans="1:9">
      <c r="A853" s="5">
        <v>93611</v>
      </c>
      <c r="B853" s="5">
        <v>228</v>
      </c>
      <c r="C853" s="5">
        <v>51</v>
      </c>
      <c r="D853" s="5">
        <v>37</v>
      </c>
      <c r="E853" s="5">
        <v>26</v>
      </c>
      <c r="F853" s="5">
        <v>23</v>
      </c>
      <c r="G853" s="5">
        <v>23</v>
      </c>
      <c r="H853" s="5">
        <v>68</v>
      </c>
      <c r="I853" s="5"/>
    </row>
    <row r="854" spans="1:9">
      <c r="A854" s="5">
        <v>93612</v>
      </c>
      <c r="B854" s="5">
        <v>127</v>
      </c>
      <c r="C854" s="5">
        <v>22</v>
      </c>
      <c r="D854" s="5">
        <v>19</v>
      </c>
      <c r="E854" s="5">
        <v>20</v>
      </c>
      <c r="F854" s="5">
        <v>15</v>
      </c>
      <c r="G854" s="5">
        <v>10</v>
      </c>
      <c r="H854" s="5">
        <v>41</v>
      </c>
      <c r="I854" s="5"/>
    </row>
    <row r="855" spans="1:9">
      <c r="A855" s="5">
        <v>93616</v>
      </c>
      <c r="B855" s="5">
        <v>2</v>
      </c>
      <c r="C855" s="5">
        <v>1</v>
      </c>
      <c r="D855" s="5" t="s">
        <v>177</v>
      </c>
      <c r="E855" s="5" t="s">
        <v>177</v>
      </c>
      <c r="F855" s="5" t="s">
        <v>177</v>
      </c>
      <c r="G855" s="5">
        <v>1</v>
      </c>
      <c r="H855" s="5" t="s">
        <v>177</v>
      </c>
      <c r="I855" s="5"/>
    </row>
    <row r="856" spans="1:9">
      <c r="A856" s="5">
        <v>93618</v>
      </c>
      <c r="B856" s="5">
        <v>61</v>
      </c>
      <c r="C856" s="5">
        <v>7</v>
      </c>
      <c r="D856" s="5">
        <v>12</v>
      </c>
      <c r="E856" s="5">
        <v>6</v>
      </c>
      <c r="F856" s="5">
        <v>13</v>
      </c>
      <c r="G856" s="5">
        <v>10</v>
      </c>
      <c r="H856" s="5">
        <v>13</v>
      </c>
      <c r="I856" s="5"/>
    </row>
    <row r="857" spans="1:9">
      <c r="A857" s="5">
        <v>93619</v>
      </c>
      <c r="B857" s="5">
        <v>253</v>
      </c>
      <c r="C857" s="5">
        <v>51</v>
      </c>
      <c r="D857" s="5">
        <v>39</v>
      </c>
      <c r="E857" s="5">
        <v>28</v>
      </c>
      <c r="F857" s="5">
        <v>23</v>
      </c>
      <c r="G857" s="5">
        <v>27</v>
      </c>
      <c r="H857" s="5">
        <v>85</v>
      </c>
      <c r="I857" s="5"/>
    </row>
    <row r="858" spans="1:9">
      <c r="A858" s="5">
        <v>93620</v>
      </c>
      <c r="B858" s="5">
        <v>14</v>
      </c>
      <c r="C858" s="5" t="s">
        <v>177</v>
      </c>
      <c r="D858" s="5">
        <v>3</v>
      </c>
      <c r="E858" s="5" t="s">
        <v>177</v>
      </c>
      <c r="F858" s="5">
        <v>8</v>
      </c>
      <c r="G858" s="5">
        <v>1</v>
      </c>
      <c r="H858" s="5">
        <v>2</v>
      </c>
      <c r="I858" s="5"/>
    </row>
    <row r="859" spans="1:9">
      <c r="A859" s="5">
        <v>93622</v>
      </c>
      <c r="B859" s="5">
        <v>10</v>
      </c>
      <c r="C859" s="5">
        <v>1</v>
      </c>
      <c r="D859" s="5">
        <v>1</v>
      </c>
      <c r="E859" s="5" t="s">
        <v>177</v>
      </c>
      <c r="F859" s="5">
        <v>3</v>
      </c>
      <c r="G859" s="5">
        <v>3</v>
      </c>
      <c r="H859" s="5">
        <v>2</v>
      </c>
      <c r="I859" s="5"/>
    </row>
    <row r="860" spans="1:9">
      <c r="A860" s="5">
        <v>93625</v>
      </c>
      <c r="B860" s="5">
        <v>41</v>
      </c>
      <c r="C860" s="5">
        <v>7</v>
      </c>
      <c r="D860" s="5">
        <v>5</v>
      </c>
      <c r="E860" s="5">
        <v>6</v>
      </c>
      <c r="F860" s="5">
        <v>3</v>
      </c>
      <c r="G860" s="5">
        <v>5</v>
      </c>
      <c r="H860" s="5">
        <v>15</v>
      </c>
      <c r="I860" s="5"/>
    </row>
    <row r="861" spans="1:9">
      <c r="A861" s="5">
        <v>93626</v>
      </c>
      <c r="B861" s="5">
        <v>4</v>
      </c>
      <c r="C861" s="5" t="s">
        <v>177</v>
      </c>
      <c r="D861" s="5">
        <v>2</v>
      </c>
      <c r="E861" s="5" t="s">
        <v>177</v>
      </c>
      <c r="F861" s="5" t="s">
        <v>177</v>
      </c>
      <c r="G861" s="5" t="s">
        <v>177</v>
      </c>
      <c r="H861" s="5">
        <v>2</v>
      </c>
      <c r="I861" s="5"/>
    </row>
    <row r="862" spans="1:9">
      <c r="A862" s="5">
        <v>93631</v>
      </c>
      <c r="B862" s="5">
        <v>14</v>
      </c>
      <c r="C862" s="5">
        <v>2</v>
      </c>
      <c r="D862" s="5">
        <v>2</v>
      </c>
      <c r="E862" s="5">
        <v>2</v>
      </c>
      <c r="F862" s="5">
        <v>2</v>
      </c>
      <c r="G862" s="5">
        <v>2</v>
      </c>
      <c r="H862" s="5">
        <v>4</v>
      </c>
      <c r="I862" s="5"/>
    </row>
    <row r="863" spans="1:9">
      <c r="A863" s="5">
        <v>93635</v>
      </c>
      <c r="B863" s="5">
        <v>85</v>
      </c>
      <c r="C863" s="5">
        <v>14</v>
      </c>
      <c r="D863" s="5">
        <v>13</v>
      </c>
      <c r="E863" s="5">
        <v>4</v>
      </c>
      <c r="F863" s="5">
        <v>15</v>
      </c>
      <c r="G863" s="5">
        <v>12</v>
      </c>
      <c r="H863" s="5">
        <v>27</v>
      </c>
      <c r="I863" s="5"/>
    </row>
    <row r="864" spans="1:9">
      <c r="A864" s="5">
        <v>93636</v>
      </c>
      <c r="B864" s="5">
        <v>28</v>
      </c>
      <c r="C864" s="5">
        <v>4</v>
      </c>
      <c r="D864" s="5">
        <v>1</v>
      </c>
      <c r="E864" s="5">
        <v>4</v>
      </c>
      <c r="F864" s="5">
        <v>5</v>
      </c>
      <c r="G864" s="5">
        <v>4</v>
      </c>
      <c r="H864" s="5">
        <v>10</v>
      </c>
      <c r="I864" s="5"/>
    </row>
    <row r="865" spans="1:9">
      <c r="A865" s="5">
        <v>93637</v>
      </c>
      <c r="B865" s="5">
        <v>50</v>
      </c>
      <c r="C865" s="5">
        <v>4</v>
      </c>
      <c r="D865" s="5">
        <v>9</v>
      </c>
      <c r="E865" s="5">
        <v>4</v>
      </c>
      <c r="F865" s="5">
        <v>12</v>
      </c>
      <c r="G865" s="5">
        <v>8</v>
      </c>
      <c r="H865" s="5">
        <v>13</v>
      </c>
      <c r="I865" s="5"/>
    </row>
    <row r="866" spans="1:9">
      <c r="A866" s="5">
        <v>93638</v>
      </c>
      <c r="B866" s="5">
        <v>74</v>
      </c>
      <c r="C866" s="5">
        <v>7</v>
      </c>
      <c r="D866" s="5">
        <v>13</v>
      </c>
      <c r="E866" s="5">
        <v>11</v>
      </c>
      <c r="F866" s="5">
        <v>16</v>
      </c>
      <c r="G866" s="5">
        <v>11</v>
      </c>
      <c r="H866" s="5">
        <v>16</v>
      </c>
      <c r="I866" s="5"/>
    </row>
    <row r="867" spans="1:9">
      <c r="A867" s="5">
        <v>93640</v>
      </c>
      <c r="B867" s="5">
        <v>12</v>
      </c>
      <c r="C867" s="5" t="s">
        <v>177</v>
      </c>
      <c r="D867" s="5">
        <v>1</v>
      </c>
      <c r="E867" s="5">
        <v>3</v>
      </c>
      <c r="F867" s="5" t="s">
        <v>177</v>
      </c>
      <c r="G867" s="5">
        <v>5</v>
      </c>
      <c r="H867" s="5">
        <v>3</v>
      </c>
      <c r="I867" s="5"/>
    </row>
    <row r="868" spans="1:9">
      <c r="A868" s="5">
        <v>93646</v>
      </c>
      <c r="B868" s="5">
        <v>10</v>
      </c>
      <c r="C868" s="5">
        <v>1</v>
      </c>
      <c r="D868" s="5">
        <v>3</v>
      </c>
      <c r="E868" s="5" t="s">
        <v>177</v>
      </c>
      <c r="F868" s="5">
        <v>2</v>
      </c>
      <c r="G868" s="5" t="s">
        <v>177</v>
      </c>
      <c r="H868" s="5">
        <v>4</v>
      </c>
      <c r="I868" s="5"/>
    </row>
    <row r="869" spans="1:9">
      <c r="A869" s="5">
        <v>93647</v>
      </c>
      <c r="B869" s="5">
        <v>18</v>
      </c>
      <c r="C869" s="5">
        <v>2</v>
      </c>
      <c r="D869" s="5">
        <v>5</v>
      </c>
      <c r="E869" s="5">
        <v>2</v>
      </c>
      <c r="F869" s="5">
        <v>1</v>
      </c>
      <c r="G869" s="5">
        <v>4</v>
      </c>
      <c r="H869" s="5">
        <v>4</v>
      </c>
      <c r="I869" s="5"/>
    </row>
    <row r="870" spans="1:9">
      <c r="A870" s="5">
        <v>93648</v>
      </c>
      <c r="B870" s="5">
        <v>14</v>
      </c>
      <c r="C870" s="5">
        <v>3</v>
      </c>
      <c r="D870" s="5">
        <v>1</v>
      </c>
      <c r="E870" s="5">
        <v>2</v>
      </c>
      <c r="F870" s="5">
        <v>3</v>
      </c>
      <c r="G870" s="5">
        <v>3</v>
      </c>
      <c r="H870" s="5">
        <v>2</v>
      </c>
      <c r="I870" s="5"/>
    </row>
    <row r="871" spans="1:9">
      <c r="A871" s="5">
        <v>93650</v>
      </c>
      <c r="B871" s="5">
        <v>23</v>
      </c>
      <c r="C871" s="5">
        <v>3</v>
      </c>
      <c r="D871" s="5">
        <v>3</v>
      </c>
      <c r="E871" s="5">
        <v>4</v>
      </c>
      <c r="F871" s="5">
        <v>4</v>
      </c>
      <c r="G871" s="5">
        <v>1</v>
      </c>
      <c r="H871" s="5">
        <v>8</v>
      </c>
      <c r="I871" s="5"/>
    </row>
    <row r="872" spans="1:9">
      <c r="A872" s="5">
        <v>93652</v>
      </c>
      <c r="B872" s="5">
        <v>3</v>
      </c>
      <c r="C872" s="5" t="s">
        <v>177</v>
      </c>
      <c r="D872" s="5">
        <v>1</v>
      </c>
      <c r="E872" s="5" t="s">
        <v>177</v>
      </c>
      <c r="F872" s="5" t="s">
        <v>177</v>
      </c>
      <c r="G872" s="5">
        <v>1</v>
      </c>
      <c r="H872" s="5">
        <v>1</v>
      </c>
      <c r="I872" s="5"/>
    </row>
    <row r="873" spans="1:9">
      <c r="A873" s="5">
        <v>93654</v>
      </c>
      <c r="B873" s="5">
        <v>47</v>
      </c>
      <c r="C873" s="5">
        <v>10</v>
      </c>
      <c r="D873" s="5">
        <v>4</v>
      </c>
      <c r="E873" s="5">
        <v>4</v>
      </c>
      <c r="F873" s="5">
        <v>10</v>
      </c>
      <c r="G873" s="5">
        <v>7</v>
      </c>
      <c r="H873" s="5">
        <v>12</v>
      </c>
      <c r="I873" s="5"/>
    </row>
    <row r="874" spans="1:9">
      <c r="A874" s="5">
        <v>93656</v>
      </c>
      <c r="B874" s="5">
        <v>3</v>
      </c>
      <c r="C874" s="5" t="s">
        <v>177</v>
      </c>
      <c r="D874" s="5">
        <v>1</v>
      </c>
      <c r="E874" s="5" t="s">
        <v>177</v>
      </c>
      <c r="F874" s="5" t="s">
        <v>177</v>
      </c>
      <c r="G874" s="5" t="s">
        <v>177</v>
      </c>
      <c r="H874" s="5">
        <v>2</v>
      </c>
      <c r="I874" s="5"/>
    </row>
    <row r="875" spans="1:9">
      <c r="A875" s="5">
        <v>93657</v>
      </c>
      <c r="B875" s="5">
        <v>180</v>
      </c>
      <c r="C875" s="5">
        <v>37</v>
      </c>
      <c r="D875" s="5">
        <v>19</v>
      </c>
      <c r="E875" s="5">
        <v>33</v>
      </c>
      <c r="F875" s="5">
        <v>27</v>
      </c>
      <c r="G875" s="5">
        <v>28</v>
      </c>
      <c r="H875" s="5">
        <v>36</v>
      </c>
      <c r="I875" s="5"/>
    </row>
    <row r="876" spans="1:9">
      <c r="A876" s="5">
        <v>93662</v>
      </c>
      <c r="B876" s="5">
        <v>104</v>
      </c>
      <c r="C876" s="5">
        <v>25</v>
      </c>
      <c r="D876" s="5">
        <v>12</v>
      </c>
      <c r="E876" s="5">
        <v>11</v>
      </c>
      <c r="F876" s="5">
        <v>14</v>
      </c>
      <c r="G876" s="5">
        <v>15</v>
      </c>
      <c r="H876" s="5">
        <v>27</v>
      </c>
      <c r="I876" s="5"/>
    </row>
    <row r="877" spans="1:9">
      <c r="A877" s="5">
        <v>93701</v>
      </c>
      <c r="B877" s="5">
        <v>59</v>
      </c>
      <c r="C877" s="5">
        <v>7</v>
      </c>
      <c r="D877" s="5">
        <v>11</v>
      </c>
      <c r="E877" s="5">
        <v>5</v>
      </c>
      <c r="F877" s="5">
        <v>14</v>
      </c>
      <c r="G877" s="5">
        <v>6</v>
      </c>
      <c r="H877" s="5">
        <v>16</v>
      </c>
      <c r="I877" s="5"/>
    </row>
    <row r="878" spans="1:9">
      <c r="A878" s="5">
        <v>93702</v>
      </c>
      <c r="B878" s="5">
        <v>140</v>
      </c>
      <c r="C878" s="5">
        <v>27</v>
      </c>
      <c r="D878" s="5">
        <v>19</v>
      </c>
      <c r="E878" s="5">
        <v>19</v>
      </c>
      <c r="F878" s="5">
        <v>18</v>
      </c>
      <c r="G878" s="5">
        <v>22</v>
      </c>
      <c r="H878" s="5">
        <v>35</v>
      </c>
      <c r="I878" s="5"/>
    </row>
    <row r="879" spans="1:9">
      <c r="A879" s="5">
        <v>93703</v>
      </c>
      <c r="B879" s="5">
        <v>85</v>
      </c>
      <c r="C879" s="5">
        <v>18</v>
      </c>
      <c r="D879" s="5">
        <v>11</v>
      </c>
      <c r="E879" s="5">
        <v>8</v>
      </c>
      <c r="F879" s="5">
        <v>12</v>
      </c>
      <c r="G879" s="5">
        <v>11</v>
      </c>
      <c r="H879" s="5">
        <v>25</v>
      </c>
      <c r="I879" s="5"/>
    </row>
    <row r="880" spans="1:9">
      <c r="A880" s="5">
        <v>93704</v>
      </c>
      <c r="B880" s="5">
        <v>174</v>
      </c>
      <c r="C880" s="5">
        <v>24</v>
      </c>
      <c r="D880" s="5">
        <v>29</v>
      </c>
      <c r="E880" s="5">
        <v>31</v>
      </c>
      <c r="F880" s="5">
        <v>20</v>
      </c>
      <c r="G880" s="5">
        <v>14</v>
      </c>
      <c r="H880" s="5">
        <v>56</v>
      </c>
      <c r="I880" s="5"/>
    </row>
    <row r="881" spans="1:9">
      <c r="A881" s="5">
        <v>93705</v>
      </c>
      <c r="B881" s="5">
        <v>115</v>
      </c>
      <c r="C881" s="5">
        <v>21</v>
      </c>
      <c r="D881" s="5">
        <v>10</v>
      </c>
      <c r="E881" s="5">
        <v>18</v>
      </c>
      <c r="F881" s="5">
        <v>16</v>
      </c>
      <c r="G881" s="5">
        <v>13</v>
      </c>
      <c r="H881" s="5">
        <v>37</v>
      </c>
      <c r="I881" s="5"/>
    </row>
    <row r="882" spans="1:9">
      <c r="A882" s="5">
        <v>93706</v>
      </c>
      <c r="B882" s="5">
        <v>91</v>
      </c>
      <c r="C882" s="5">
        <v>19</v>
      </c>
      <c r="D882" s="5">
        <v>11</v>
      </c>
      <c r="E882" s="5">
        <v>12</v>
      </c>
      <c r="F882" s="5">
        <v>12</v>
      </c>
      <c r="G882" s="5">
        <v>9</v>
      </c>
      <c r="H882" s="5">
        <v>28</v>
      </c>
      <c r="I882" s="5"/>
    </row>
    <row r="883" spans="1:9">
      <c r="A883" s="5">
        <v>93710</v>
      </c>
      <c r="B883" s="5">
        <v>166</v>
      </c>
      <c r="C883" s="5">
        <v>23</v>
      </c>
      <c r="D883" s="5">
        <v>21</v>
      </c>
      <c r="E883" s="5">
        <v>34</v>
      </c>
      <c r="F883" s="5">
        <v>26</v>
      </c>
      <c r="G883" s="5">
        <v>13</v>
      </c>
      <c r="H883" s="5">
        <v>49</v>
      </c>
      <c r="I883" s="5"/>
    </row>
    <row r="884" spans="1:9">
      <c r="A884" s="5">
        <v>93711</v>
      </c>
      <c r="B884" s="5">
        <v>161</v>
      </c>
      <c r="C884" s="5">
        <v>30</v>
      </c>
      <c r="D884" s="5">
        <v>24</v>
      </c>
      <c r="E884" s="5">
        <v>22</v>
      </c>
      <c r="F884" s="5">
        <v>13</v>
      </c>
      <c r="G884" s="5">
        <v>19</v>
      </c>
      <c r="H884" s="5">
        <v>53</v>
      </c>
      <c r="I884" s="5"/>
    </row>
    <row r="885" spans="1:9">
      <c r="A885" s="5">
        <v>93720</v>
      </c>
      <c r="B885" s="5">
        <v>221</v>
      </c>
      <c r="C885" s="5">
        <v>39</v>
      </c>
      <c r="D885" s="5">
        <v>29</v>
      </c>
      <c r="E885" s="5">
        <v>39</v>
      </c>
      <c r="F885" s="5">
        <v>28</v>
      </c>
      <c r="G885" s="5">
        <v>24</v>
      </c>
      <c r="H885" s="5">
        <v>62</v>
      </c>
      <c r="I885" s="5"/>
    </row>
    <row r="886" spans="1:9">
      <c r="A886" s="5">
        <v>93721</v>
      </c>
      <c r="B886" s="5">
        <v>14</v>
      </c>
      <c r="C886" s="5">
        <v>3</v>
      </c>
      <c r="D886" s="5">
        <v>1</v>
      </c>
      <c r="E886" s="5">
        <v>1</v>
      </c>
      <c r="F886" s="5">
        <v>3</v>
      </c>
      <c r="G886" s="5">
        <v>3</v>
      </c>
      <c r="H886" s="5">
        <v>3</v>
      </c>
      <c r="I886" s="5"/>
    </row>
    <row r="887" spans="1:9">
      <c r="A887" s="5">
        <v>93722</v>
      </c>
      <c r="B887" s="5">
        <v>325</v>
      </c>
      <c r="C887" s="5">
        <v>57</v>
      </c>
      <c r="D887" s="5">
        <v>53</v>
      </c>
      <c r="E887" s="5">
        <v>43</v>
      </c>
      <c r="F887" s="5">
        <v>35</v>
      </c>
      <c r="G887" s="5">
        <v>30</v>
      </c>
      <c r="H887" s="5">
        <v>107</v>
      </c>
      <c r="I887" s="5"/>
    </row>
    <row r="888" spans="1:9">
      <c r="A888" s="5">
        <v>93723</v>
      </c>
      <c r="B888" s="5">
        <v>77</v>
      </c>
      <c r="C888" s="5">
        <v>8</v>
      </c>
      <c r="D888" s="5">
        <v>15</v>
      </c>
      <c r="E888" s="5">
        <v>14</v>
      </c>
      <c r="F888" s="5">
        <v>9</v>
      </c>
      <c r="G888" s="5">
        <v>10</v>
      </c>
      <c r="H888" s="5">
        <v>21</v>
      </c>
      <c r="I888" s="5"/>
    </row>
    <row r="889" spans="1:9">
      <c r="A889" s="5">
        <v>93725</v>
      </c>
      <c r="B889" s="5">
        <v>86</v>
      </c>
      <c r="C889" s="5">
        <v>16</v>
      </c>
      <c r="D889" s="5">
        <v>16</v>
      </c>
      <c r="E889" s="5">
        <v>13</v>
      </c>
      <c r="F889" s="5">
        <v>9</v>
      </c>
      <c r="G889" s="5">
        <v>12</v>
      </c>
      <c r="H889" s="5">
        <v>20</v>
      </c>
      <c r="I889" s="5"/>
    </row>
    <row r="890" spans="1:9">
      <c r="A890" s="5">
        <v>93726</v>
      </c>
      <c r="B890" s="5">
        <v>150</v>
      </c>
      <c r="C890" s="5">
        <v>32</v>
      </c>
      <c r="D890" s="5">
        <v>23</v>
      </c>
      <c r="E890" s="5">
        <v>17</v>
      </c>
      <c r="F890" s="5">
        <v>18</v>
      </c>
      <c r="G890" s="5">
        <v>14</v>
      </c>
      <c r="H890" s="5">
        <v>46</v>
      </c>
      <c r="I890" s="5"/>
    </row>
    <row r="891" spans="1:9">
      <c r="A891" s="5">
        <v>93727</v>
      </c>
      <c r="B891" s="5">
        <v>327</v>
      </c>
      <c r="C891" s="5">
        <v>58</v>
      </c>
      <c r="D891" s="5">
        <v>39</v>
      </c>
      <c r="E891" s="5">
        <v>55</v>
      </c>
      <c r="F891" s="5">
        <v>44</v>
      </c>
      <c r="G891" s="5">
        <v>27</v>
      </c>
      <c r="H891" s="5">
        <v>104</v>
      </c>
      <c r="I891" s="5"/>
    </row>
    <row r="892" spans="1:9">
      <c r="A892" s="5">
        <v>93728</v>
      </c>
      <c r="B892" s="5">
        <v>68</v>
      </c>
      <c r="C892" s="5">
        <v>13</v>
      </c>
      <c r="D892" s="5">
        <v>13</v>
      </c>
      <c r="E892" s="5">
        <v>9</v>
      </c>
      <c r="F892" s="5">
        <v>7</v>
      </c>
      <c r="G892" s="5">
        <v>9</v>
      </c>
      <c r="H892" s="5">
        <v>17</v>
      </c>
      <c r="I892" s="5"/>
    </row>
    <row r="893" spans="1:9">
      <c r="A893" s="5">
        <v>93730</v>
      </c>
      <c r="B893" s="5">
        <v>61</v>
      </c>
      <c r="C893" s="5">
        <v>12</v>
      </c>
      <c r="D893" s="5">
        <v>4</v>
      </c>
      <c r="E893" s="5">
        <v>8</v>
      </c>
      <c r="F893" s="5">
        <v>2</v>
      </c>
      <c r="G893" s="5">
        <v>10</v>
      </c>
      <c r="H893" s="5">
        <v>25</v>
      </c>
      <c r="I893" s="5"/>
    </row>
    <row r="894" spans="1:9">
      <c r="A894" s="5">
        <v>93737</v>
      </c>
      <c r="B894" s="5">
        <v>17</v>
      </c>
      <c r="C894" s="5">
        <v>5</v>
      </c>
      <c r="D894" s="5">
        <v>4</v>
      </c>
      <c r="E894" s="5" t="s">
        <v>177</v>
      </c>
      <c r="F894" s="5">
        <v>3</v>
      </c>
      <c r="G894" s="5">
        <v>1</v>
      </c>
      <c r="H894" s="5">
        <v>4</v>
      </c>
      <c r="I894" s="5"/>
    </row>
    <row r="895" spans="1:9">
      <c r="A895" s="5">
        <v>93901</v>
      </c>
      <c r="B895" s="5">
        <v>113</v>
      </c>
      <c r="C895" s="5">
        <v>21</v>
      </c>
      <c r="D895" s="5">
        <v>18</v>
      </c>
      <c r="E895" s="5">
        <v>12</v>
      </c>
      <c r="F895" s="5">
        <v>9</v>
      </c>
      <c r="G895" s="5">
        <v>9</v>
      </c>
      <c r="H895" s="5">
        <v>44</v>
      </c>
      <c r="I895" s="5"/>
    </row>
    <row r="896" spans="1:9">
      <c r="A896" s="5">
        <v>93905</v>
      </c>
      <c r="B896" s="5">
        <v>219</v>
      </c>
      <c r="C896" s="5">
        <v>35</v>
      </c>
      <c r="D896" s="5">
        <v>31</v>
      </c>
      <c r="E896" s="5">
        <v>37</v>
      </c>
      <c r="F896" s="5">
        <v>26</v>
      </c>
      <c r="G896" s="5">
        <v>27</v>
      </c>
      <c r="H896" s="5">
        <v>63</v>
      </c>
      <c r="I896" s="5"/>
    </row>
    <row r="897" spans="1:9">
      <c r="A897" s="5">
        <v>93906</v>
      </c>
      <c r="B897" s="5">
        <v>232</v>
      </c>
      <c r="C897" s="5">
        <v>41</v>
      </c>
      <c r="D897" s="5">
        <v>32</v>
      </c>
      <c r="E897" s="5">
        <v>23</v>
      </c>
      <c r="F897" s="5">
        <v>36</v>
      </c>
      <c r="G897" s="5">
        <v>35</v>
      </c>
      <c r="H897" s="5">
        <v>65</v>
      </c>
      <c r="I897" s="5"/>
    </row>
    <row r="898" spans="1:9">
      <c r="A898" s="5">
        <v>93907</v>
      </c>
      <c r="B898" s="5">
        <v>76</v>
      </c>
      <c r="C898" s="5">
        <v>15</v>
      </c>
      <c r="D898" s="5">
        <v>16</v>
      </c>
      <c r="E898" s="5">
        <v>10</v>
      </c>
      <c r="F898" s="5">
        <v>3</v>
      </c>
      <c r="G898" s="5">
        <v>6</v>
      </c>
      <c r="H898" s="5">
        <v>26</v>
      </c>
      <c r="I898" s="5"/>
    </row>
    <row r="899" spans="1:9">
      <c r="A899" s="5">
        <v>93921</v>
      </c>
      <c r="B899" s="5">
        <v>7</v>
      </c>
      <c r="C899" s="5">
        <v>2</v>
      </c>
      <c r="D899" s="5">
        <v>2</v>
      </c>
      <c r="E899" s="5" t="s">
        <v>177</v>
      </c>
      <c r="F899" s="5" t="s">
        <v>177</v>
      </c>
      <c r="G899" s="5" t="s">
        <v>177</v>
      </c>
      <c r="H899" s="5">
        <v>3</v>
      </c>
      <c r="I899" s="5"/>
    </row>
    <row r="900" spans="1:9">
      <c r="A900" s="5">
        <v>93923</v>
      </c>
      <c r="B900" s="5">
        <v>141</v>
      </c>
      <c r="C900" s="5">
        <v>23</v>
      </c>
      <c r="D900" s="5">
        <v>17</v>
      </c>
      <c r="E900" s="5">
        <v>22</v>
      </c>
      <c r="F900" s="5">
        <v>12</v>
      </c>
      <c r="G900" s="5">
        <v>10</v>
      </c>
      <c r="H900" s="5">
        <v>57</v>
      </c>
      <c r="I900" s="5"/>
    </row>
    <row r="901" spans="1:9">
      <c r="A901" s="5">
        <v>93933</v>
      </c>
      <c r="B901" s="5">
        <v>132</v>
      </c>
      <c r="C901" s="5">
        <v>18</v>
      </c>
      <c r="D901" s="5">
        <v>21</v>
      </c>
      <c r="E901" s="5">
        <v>23</v>
      </c>
      <c r="F901" s="5">
        <v>14</v>
      </c>
      <c r="G901" s="5">
        <v>18</v>
      </c>
      <c r="H901" s="5">
        <v>38</v>
      </c>
      <c r="I901" s="5"/>
    </row>
    <row r="902" spans="1:9">
      <c r="A902" s="5">
        <v>93940</v>
      </c>
      <c r="B902" s="5">
        <v>133</v>
      </c>
      <c r="C902" s="5">
        <v>30</v>
      </c>
      <c r="D902" s="5">
        <v>18</v>
      </c>
      <c r="E902" s="5">
        <v>15</v>
      </c>
      <c r="F902" s="5">
        <v>20</v>
      </c>
      <c r="G902" s="5">
        <v>14</v>
      </c>
      <c r="H902" s="5">
        <v>36</v>
      </c>
      <c r="I902" s="5"/>
    </row>
    <row r="903" spans="1:9">
      <c r="A903" s="5">
        <v>93950</v>
      </c>
      <c r="B903" s="5">
        <v>88</v>
      </c>
      <c r="C903" s="5">
        <v>15</v>
      </c>
      <c r="D903" s="5">
        <v>13</v>
      </c>
      <c r="E903" s="5">
        <v>16</v>
      </c>
      <c r="F903" s="5">
        <v>8</v>
      </c>
      <c r="G903" s="5">
        <v>11</v>
      </c>
      <c r="H903" s="5">
        <v>25</v>
      </c>
      <c r="I903" s="5"/>
    </row>
    <row r="904" spans="1:9">
      <c r="A904" s="5">
        <v>93953</v>
      </c>
      <c r="B904" s="5">
        <v>34</v>
      </c>
      <c r="C904" s="5">
        <v>7</v>
      </c>
      <c r="D904" s="5">
        <v>3</v>
      </c>
      <c r="E904" s="5">
        <v>2</v>
      </c>
      <c r="F904" s="5">
        <v>8</v>
      </c>
      <c r="G904" s="5">
        <v>3</v>
      </c>
      <c r="H904" s="5">
        <v>11</v>
      </c>
      <c r="I904" s="5"/>
    </row>
    <row r="905" spans="1:9">
      <c r="A905" s="5">
        <v>93955</v>
      </c>
      <c r="B905" s="5">
        <v>127</v>
      </c>
      <c r="C905" s="5">
        <v>26</v>
      </c>
      <c r="D905" s="5">
        <v>7</v>
      </c>
      <c r="E905" s="5">
        <v>13</v>
      </c>
      <c r="F905" s="5">
        <v>11</v>
      </c>
      <c r="G905" s="5">
        <v>15</v>
      </c>
      <c r="H905" s="5">
        <v>55</v>
      </c>
      <c r="I905" s="5"/>
    </row>
    <row r="906" spans="1:9">
      <c r="A906" s="5">
        <v>94002</v>
      </c>
      <c r="B906" s="5">
        <v>89</v>
      </c>
      <c r="C906" s="5">
        <v>13</v>
      </c>
      <c r="D906" s="5">
        <v>27</v>
      </c>
      <c r="E906" s="5">
        <v>5</v>
      </c>
      <c r="F906" s="5">
        <v>13</v>
      </c>
      <c r="G906" s="5">
        <v>16</v>
      </c>
      <c r="H906" s="5">
        <v>15</v>
      </c>
      <c r="I906" s="5"/>
    </row>
    <row r="907" spans="1:9">
      <c r="A907" s="5">
        <v>94005</v>
      </c>
      <c r="B907" s="5">
        <v>14</v>
      </c>
      <c r="C907" s="5">
        <v>4</v>
      </c>
      <c r="D907" s="5">
        <v>4</v>
      </c>
      <c r="E907" s="5">
        <v>2</v>
      </c>
      <c r="F907" s="5">
        <v>1</v>
      </c>
      <c r="G907" s="5" t="s">
        <v>177</v>
      </c>
      <c r="H907" s="5">
        <v>3</v>
      </c>
      <c r="I907" s="5"/>
    </row>
    <row r="908" spans="1:9">
      <c r="A908" s="5">
        <v>94010</v>
      </c>
      <c r="B908" s="5">
        <v>84</v>
      </c>
      <c r="C908" s="5">
        <v>19</v>
      </c>
      <c r="D908" s="5">
        <v>10</v>
      </c>
      <c r="E908" s="5">
        <v>5</v>
      </c>
      <c r="F908" s="5">
        <v>28</v>
      </c>
      <c r="G908" s="5">
        <v>7</v>
      </c>
      <c r="H908" s="5">
        <v>15</v>
      </c>
      <c r="I908" s="5"/>
    </row>
    <row r="909" spans="1:9">
      <c r="A909" s="5">
        <v>94014</v>
      </c>
      <c r="B909" s="5">
        <v>133</v>
      </c>
      <c r="C909" s="5">
        <v>23</v>
      </c>
      <c r="D909" s="5">
        <v>15</v>
      </c>
      <c r="E909" s="5">
        <v>22</v>
      </c>
      <c r="F909" s="5">
        <v>28</v>
      </c>
      <c r="G909" s="5">
        <v>12</v>
      </c>
      <c r="H909" s="5">
        <v>33</v>
      </c>
      <c r="I909" s="5"/>
    </row>
    <row r="910" spans="1:9">
      <c r="A910" s="5">
        <v>94015</v>
      </c>
      <c r="B910" s="5">
        <v>203</v>
      </c>
      <c r="C910" s="5">
        <v>34</v>
      </c>
      <c r="D910" s="5">
        <v>32</v>
      </c>
      <c r="E910" s="5">
        <v>17</v>
      </c>
      <c r="F910" s="5">
        <v>41</v>
      </c>
      <c r="G910" s="5">
        <v>20</v>
      </c>
      <c r="H910" s="5">
        <v>59</v>
      </c>
      <c r="I910" s="5"/>
    </row>
    <row r="911" spans="1:9">
      <c r="A911" s="5">
        <v>94022</v>
      </c>
      <c r="B911" s="5">
        <v>32</v>
      </c>
      <c r="C911" s="5">
        <v>3</v>
      </c>
      <c r="D911" s="5">
        <v>6</v>
      </c>
      <c r="E911" s="5">
        <v>2</v>
      </c>
      <c r="F911" s="5">
        <v>7</v>
      </c>
      <c r="G911" s="5">
        <v>4</v>
      </c>
      <c r="H911" s="5">
        <v>10</v>
      </c>
      <c r="I911" s="5"/>
    </row>
    <row r="912" spans="1:9">
      <c r="A912" s="5">
        <v>94024</v>
      </c>
      <c r="B912" s="5">
        <v>43</v>
      </c>
      <c r="C912" s="5">
        <v>8</v>
      </c>
      <c r="D912" s="5">
        <v>8</v>
      </c>
      <c r="E912" s="5">
        <v>2</v>
      </c>
      <c r="F912" s="5">
        <v>13</v>
      </c>
      <c r="G912" s="5">
        <v>8</v>
      </c>
      <c r="H912" s="5">
        <v>4</v>
      </c>
      <c r="I912" s="5"/>
    </row>
    <row r="913" spans="1:9">
      <c r="A913" s="5">
        <v>94025</v>
      </c>
      <c r="B913" s="5">
        <v>63</v>
      </c>
      <c r="C913" s="5">
        <v>9</v>
      </c>
      <c r="D913" s="5">
        <v>8</v>
      </c>
      <c r="E913" s="5">
        <v>4</v>
      </c>
      <c r="F913" s="5">
        <v>16</v>
      </c>
      <c r="G913" s="5">
        <v>6</v>
      </c>
      <c r="H913" s="5">
        <v>20</v>
      </c>
      <c r="I913" s="5"/>
    </row>
    <row r="914" spans="1:9">
      <c r="A914" s="5">
        <v>94027</v>
      </c>
      <c r="B914" s="5">
        <v>6</v>
      </c>
      <c r="C914" s="5">
        <v>1</v>
      </c>
      <c r="D914" s="5">
        <v>2</v>
      </c>
      <c r="E914" s="5">
        <v>1</v>
      </c>
      <c r="F914" s="5" t="s">
        <v>177</v>
      </c>
      <c r="G914" s="5" t="s">
        <v>177</v>
      </c>
      <c r="H914" s="5">
        <v>2</v>
      </c>
      <c r="I914" s="5"/>
    </row>
    <row r="915" spans="1:9">
      <c r="A915" s="5">
        <v>94028</v>
      </c>
      <c r="B915" s="5">
        <v>5</v>
      </c>
      <c r="C915" s="5" t="s">
        <v>177</v>
      </c>
      <c r="D915" s="5">
        <v>2</v>
      </c>
      <c r="E915" s="5" t="s">
        <v>177</v>
      </c>
      <c r="F915" s="5">
        <v>2</v>
      </c>
      <c r="G915" s="5" t="s">
        <v>177</v>
      </c>
      <c r="H915" s="5">
        <v>1</v>
      </c>
      <c r="I915" s="5"/>
    </row>
    <row r="916" spans="1:9">
      <c r="A916" s="5">
        <v>94030</v>
      </c>
      <c r="B916" s="5">
        <v>51</v>
      </c>
      <c r="C916" s="5">
        <v>7</v>
      </c>
      <c r="D916" s="5">
        <v>6</v>
      </c>
      <c r="E916" s="5">
        <v>3</v>
      </c>
      <c r="F916" s="5">
        <v>10</v>
      </c>
      <c r="G916" s="5">
        <v>5</v>
      </c>
      <c r="H916" s="5">
        <v>20</v>
      </c>
      <c r="I916" s="5"/>
    </row>
    <row r="917" spans="1:9">
      <c r="A917" s="5">
        <v>94040</v>
      </c>
      <c r="B917" s="5">
        <v>77</v>
      </c>
      <c r="C917" s="5">
        <v>10</v>
      </c>
      <c r="D917" s="5">
        <v>12</v>
      </c>
      <c r="E917" s="5">
        <v>8</v>
      </c>
      <c r="F917" s="5">
        <v>18</v>
      </c>
      <c r="G917" s="5">
        <v>9</v>
      </c>
      <c r="H917" s="5">
        <v>20</v>
      </c>
      <c r="I917" s="5"/>
    </row>
    <row r="918" spans="1:9">
      <c r="A918" s="5">
        <v>94041</v>
      </c>
      <c r="B918" s="5">
        <v>37</v>
      </c>
      <c r="C918" s="5">
        <v>9</v>
      </c>
      <c r="D918" s="5">
        <v>5</v>
      </c>
      <c r="E918" s="5">
        <v>2</v>
      </c>
      <c r="F918" s="5">
        <v>6</v>
      </c>
      <c r="G918" s="5">
        <v>4</v>
      </c>
      <c r="H918" s="5">
        <v>11</v>
      </c>
      <c r="I918" s="5"/>
    </row>
    <row r="919" spans="1:9">
      <c r="A919" s="5">
        <v>94043</v>
      </c>
      <c r="B919" s="5">
        <v>77</v>
      </c>
      <c r="C919" s="5">
        <v>14</v>
      </c>
      <c r="D919" s="5">
        <v>6</v>
      </c>
      <c r="E919" s="5">
        <v>6</v>
      </c>
      <c r="F919" s="5">
        <v>19</v>
      </c>
      <c r="G919" s="5">
        <v>9</v>
      </c>
      <c r="H919" s="5">
        <v>23</v>
      </c>
      <c r="I919" s="5"/>
    </row>
    <row r="920" spans="1:9">
      <c r="A920" s="5">
        <v>94044</v>
      </c>
      <c r="B920" s="5">
        <v>117</v>
      </c>
      <c r="C920" s="5">
        <v>15</v>
      </c>
      <c r="D920" s="5">
        <v>17</v>
      </c>
      <c r="E920" s="5">
        <v>22</v>
      </c>
      <c r="F920" s="5">
        <v>23</v>
      </c>
      <c r="G920" s="5">
        <v>23</v>
      </c>
      <c r="H920" s="5">
        <v>17</v>
      </c>
      <c r="I920" s="5"/>
    </row>
    <row r="921" spans="1:9">
      <c r="A921" s="5">
        <v>94061</v>
      </c>
      <c r="B921" s="5">
        <v>59</v>
      </c>
      <c r="C921" s="5">
        <v>6</v>
      </c>
      <c r="D921" s="5">
        <v>7</v>
      </c>
      <c r="E921" s="5">
        <v>7</v>
      </c>
      <c r="F921" s="5">
        <v>10</v>
      </c>
      <c r="G921" s="5">
        <v>7</v>
      </c>
      <c r="H921" s="5">
        <v>22</v>
      </c>
      <c r="I921" s="5"/>
    </row>
    <row r="922" spans="1:9">
      <c r="A922" s="5">
        <v>94062</v>
      </c>
      <c r="B922" s="5">
        <v>42</v>
      </c>
      <c r="C922" s="5">
        <v>7</v>
      </c>
      <c r="D922" s="5">
        <v>5</v>
      </c>
      <c r="E922" s="5">
        <v>6</v>
      </c>
      <c r="F922" s="5">
        <v>4</v>
      </c>
      <c r="G922" s="5">
        <v>9</v>
      </c>
      <c r="H922" s="5">
        <v>11</v>
      </c>
      <c r="I922" s="5"/>
    </row>
    <row r="923" spans="1:9">
      <c r="A923" s="5">
        <v>94063</v>
      </c>
      <c r="B923" s="5">
        <v>51</v>
      </c>
      <c r="C923" s="5">
        <v>12</v>
      </c>
      <c r="D923" s="5">
        <v>7</v>
      </c>
      <c r="E923" s="5">
        <v>5</v>
      </c>
      <c r="F923" s="5">
        <v>12</v>
      </c>
      <c r="G923" s="5">
        <v>9</v>
      </c>
      <c r="H923" s="5">
        <v>6</v>
      </c>
      <c r="I923" s="5"/>
    </row>
    <row r="924" spans="1:9">
      <c r="A924" s="5">
        <v>94065</v>
      </c>
      <c r="B924" s="5">
        <v>25</v>
      </c>
      <c r="C924" s="5">
        <v>8</v>
      </c>
      <c r="D924" s="5">
        <v>2</v>
      </c>
      <c r="E924" s="5">
        <v>2</v>
      </c>
      <c r="F924" s="5">
        <v>4</v>
      </c>
      <c r="G924" s="5">
        <v>2</v>
      </c>
      <c r="H924" s="5">
        <v>7</v>
      </c>
      <c r="I924" s="5"/>
    </row>
    <row r="925" spans="1:9">
      <c r="A925" s="5">
        <v>94066</v>
      </c>
      <c r="B925" s="5">
        <v>107</v>
      </c>
      <c r="C925" s="5">
        <v>21</v>
      </c>
      <c r="D925" s="5">
        <v>16</v>
      </c>
      <c r="E925" s="5">
        <v>12</v>
      </c>
      <c r="F925" s="5">
        <v>24</v>
      </c>
      <c r="G925" s="5">
        <v>12</v>
      </c>
      <c r="H925" s="5">
        <v>22</v>
      </c>
      <c r="I925" s="5"/>
    </row>
    <row r="926" spans="1:9">
      <c r="A926" s="5">
        <v>94070</v>
      </c>
      <c r="B926" s="5">
        <v>47</v>
      </c>
      <c r="C926" s="5">
        <v>11</v>
      </c>
      <c r="D926" s="5">
        <v>8</v>
      </c>
      <c r="E926" s="5">
        <v>6</v>
      </c>
      <c r="F926" s="5">
        <v>10</v>
      </c>
      <c r="G926" s="5">
        <v>3</v>
      </c>
      <c r="H926" s="5">
        <v>9</v>
      </c>
      <c r="I926" s="5"/>
    </row>
    <row r="927" spans="1:9">
      <c r="A927" s="5">
        <v>94080</v>
      </c>
      <c r="B927" s="5">
        <v>178</v>
      </c>
      <c r="C927" s="5">
        <v>22</v>
      </c>
      <c r="D927" s="5">
        <v>35</v>
      </c>
      <c r="E927" s="5">
        <v>15</v>
      </c>
      <c r="F927" s="5">
        <v>40</v>
      </c>
      <c r="G927" s="5">
        <v>17</v>
      </c>
      <c r="H927" s="5">
        <v>49</v>
      </c>
      <c r="I927" s="5"/>
    </row>
    <row r="928" spans="1:9">
      <c r="A928" s="5">
        <v>94085</v>
      </c>
      <c r="B928" s="5">
        <v>53</v>
      </c>
      <c r="C928" s="5">
        <v>9</v>
      </c>
      <c r="D928" s="5">
        <v>7</v>
      </c>
      <c r="E928" s="5">
        <v>4</v>
      </c>
      <c r="F928" s="5">
        <v>13</v>
      </c>
      <c r="G928" s="5">
        <v>7</v>
      </c>
      <c r="H928" s="5">
        <v>13</v>
      </c>
      <c r="I928" s="5"/>
    </row>
    <row r="929" spans="1:9">
      <c r="A929" s="5">
        <v>94086</v>
      </c>
      <c r="B929" s="5">
        <v>97</v>
      </c>
      <c r="C929" s="5">
        <v>10</v>
      </c>
      <c r="D929" s="5">
        <v>18</v>
      </c>
      <c r="E929" s="5">
        <v>13</v>
      </c>
      <c r="F929" s="5">
        <v>26</v>
      </c>
      <c r="G929" s="5">
        <v>5</v>
      </c>
      <c r="H929" s="5">
        <v>25</v>
      </c>
      <c r="I929" s="5"/>
    </row>
    <row r="930" spans="1:9">
      <c r="A930" s="5">
        <v>94087</v>
      </c>
      <c r="B930" s="5">
        <v>93</v>
      </c>
      <c r="C930" s="5">
        <v>17</v>
      </c>
      <c r="D930" s="5">
        <v>16</v>
      </c>
      <c r="E930" s="5">
        <v>10</v>
      </c>
      <c r="F930" s="5">
        <v>12</v>
      </c>
      <c r="G930" s="5">
        <v>11</v>
      </c>
      <c r="H930" s="5">
        <v>27</v>
      </c>
      <c r="I930" s="5"/>
    </row>
    <row r="931" spans="1:9">
      <c r="A931" s="5">
        <v>94089</v>
      </c>
      <c r="B931" s="5">
        <v>58</v>
      </c>
      <c r="C931" s="5">
        <v>6</v>
      </c>
      <c r="D931" s="5">
        <v>9</v>
      </c>
      <c r="E931" s="5">
        <v>6</v>
      </c>
      <c r="F931" s="5">
        <v>17</v>
      </c>
      <c r="G931" s="5">
        <v>7</v>
      </c>
      <c r="H931" s="5">
        <v>13</v>
      </c>
      <c r="I931" s="5"/>
    </row>
    <row r="932" spans="1:9">
      <c r="A932" s="5">
        <v>94102</v>
      </c>
      <c r="B932" s="5">
        <v>277</v>
      </c>
      <c r="C932" s="5">
        <v>53</v>
      </c>
      <c r="D932" s="5">
        <v>34</v>
      </c>
      <c r="E932" s="5">
        <v>44</v>
      </c>
      <c r="F932" s="5">
        <v>25</v>
      </c>
      <c r="G932" s="5">
        <v>25</v>
      </c>
      <c r="H932" s="5">
        <v>96</v>
      </c>
      <c r="I932" s="5"/>
    </row>
    <row r="933" spans="1:9">
      <c r="A933" s="5">
        <v>94103</v>
      </c>
      <c r="B933" s="5">
        <v>306</v>
      </c>
      <c r="C933" s="5">
        <v>64</v>
      </c>
      <c r="D933" s="5">
        <v>35</v>
      </c>
      <c r="E933" s="5">
        <v>41</v>
      </c>
      <c r="F933" s="5">
        <v>27</v>
      </c>
      <c r="G933" s="5">
        <v>49</v>
      </c>
      <c r="H933" s="5">
        <v>90</v>
      </c>
      <c r="I933" s="5"/>
    </row>
    <row r="934" spans="1:9">
      <c r="A934" s="5">
        <v>94104</v>
      </c>
      <c r="B934" s="5">
        <v>7</v>
      </c>
      <c r="C934" s="5">
        <v>3</v>
      </c>
      <c r="D934" s="5" t="s">
        <v>177</v>
      </c>
      <c r="E934" s="5">
        <v>2</v>
      </c>
      <c r="F934" s="5">
        <v>1</v>
      </c>
      <c r="G934" s="5">
        <v>1</v>
      </c>
      <c r="H934" s="5" t="s">
        <v>177</v>
      </c>
      <c r="I934" s="5"/>
    </row>
    <row r="935" spans="1:9">
      <c r="A935" s="5">
        <v>94105</v>
      </c>
      <c r="B935" s="5">
        <v>158</v>
      </c>
      <c r="C935" s="5">
        <v>33</v>
      </c>
      <c r="D935" s="5">
        <v>20</v>
      </c>
      <c r="E935" s="5">
        <v>23</v>
      </c>
      <c r="F935" s="5">
        <v>20</v>
      </c>
      <c r="G935" s="5">
        <v>14</v>
      </c>
      <c r="H935" s="5">
        <v>48</v>
      </c>
      <c r="I935" s="5"/>
    </row>
    <row r="936" spans="1:9">
      <c r="A936" s="5">
        <v>94107</v>
      </c>
      <c r="B936" s="5">
        <v>131</v>
      </c>
      <c r="C936" s="5">
        <v>22</v>
      </c>
      <c r="D936" s="5">
        <v>16</v>
      </c>
      <c r="E936" s="5">
        <v>14</v>
      </c>
      <c r="F936" s="5">
        <v>19</v>
      </c>
      <c r="G936" s="5">
        <v>32</v>
      </c>
      <c r="H936" s="5">
        <v>28</v>
      </c>
      <c r="I936" s="5"/>
    </row>
    <row r="937" spans="1:9">
      <c r="A937" s="5">
        <v>94108</v>
      </c>
      <c r="B937" s="5">
        <v>73</v>
      </c>
      <c r="C937" s="5">
        <v>14</v>
      </c>
      <c r="D937" s="5">
        <v>12</v>
      </c>
      <c r="E937" s="5">
        <v>5</v>
      </c>
      <c r="F937" s="5">
        <v>9</v>
      </c>
      <c r="G937" s="5">
        <v>13</v>
      </c>
      <c r="H937" s="5">
        <v>20</v>
      </c>
      <c r="I937" s="5"/>
    </row>
    <row r="938" spans="1:9">
      <c r="A938" s="5">
        <v>94109</v>
      </c>
      <c r="B938" s="5">
        <v>496</v>
      </c>
      <c r="C938" s="5">
        <v>102</v>
      </c>
      <c r="D938" s="5">
        <v>57</v>
      </c>
      <c r="E938" s="5">
        <v>81</v>
      </c>
      <c r="F938" s="5">
        <v>50</v>
      </c>
      <c r="G938" s="5">
        <v>64</v>
      </c>
      <c r="H938" s="5">
        <v>142</v>
      </c>
      <c r="I938" s="5"/>
    </row>
    <row r="939" spans="1:9">
      <c r="A939" s="5">
        <v>94110</v>
      </c>
      <c r="B939" s="5">
        <v>132</v>
      </c>
      <c r="C939" s="5">
        <v>17</v>
      </c>
      <c r="D939" s="5">
        <v>25</v>
      </c>
      <c r="E939" s="5">
        <v>16</v>
      </c>
      <c r="F939" s="5">
        <v>32</v>
      </c>
      <c r="G939" s="5">
        <v>12</v>
      </c>
      <c r="H939" s="5">
        <v>30</v>
      </c>
      <c r="I939" s="5"/>
    </row>
    <row r="940" spans="1:9">
      <c r="A940" s="5">
        <v>94111</v>
      </c>
      <c r="B940" s="5">
        <v>48</v>
      </c>
      <c r="C940" s="5">
        <v>6</v>
      </c>
      <c r="D940" s="5">
        <v>2</v>
      </c>
      <c r="E940" s="5">
        <v>11</v>
      </c>
      <c r="F940" s="5">
        <v>6</v>
      </c>
      <c r="G940" s="5">
        <v>4</v>
      </c>
      <c r="H940" s="5">
        <v>19</v>
      </c>
      <c r="I940" s="5"/>
    </row>
    <row r="941" spans="1:9">
      <c r="A941" s="5">
        <v>94112</v>
      </c>
      <c r="B941" s="5">
        <v>193</v>
      </c>
      <c r="C941" s="5">
        <v>36</v>
      </c>
      <c r="D941" s="5">
        <v>24</v>
      </c>
      <c r="E941" s="5">
        <v>18</v>
      </c>
      <c r="F941" s="5">
        <v>48</v>
      </c>
      <c r="G941" s="5">
        <v>26</v>
      </c>
      <c r="H941" s="5">
        <v>41</v>
      </c>
      <c r="I941" s="5"/>
    </row>
    <row r="942" spans="1:9">
      <c r="A942" s="5">
        <v>94114</v>
      </c>
      <c r="B942" s="5">
        <v>51</v>
      </c>
      <c r="C942" s="5">
        <v>6</v>
      </c>
      <c r="D942" s="5">
        <v>7</v>
      </c>
      <c r="E942" s="5">
        <v>7</v>
      </c>
      <c r="F942" s="5">
        <v>11</v>
      </c>
      <c r="G942" s="5">
        <v>7</v>
      </c>
      <c r="H942" s="5">
        <v>13</v>
      </c>
      <c r="I942" s="5"/>
    </row>
    <row r="943" spans="1:9">
      <c r="A943" s="5">
        <v>94115</v>
      </c>
      <c r="B943" s="5">
        <v>59</v>
      </c>
      <c r="C943" s="5">
        <v>8</v>
      </c>
      <c r="D943" s="5">
        <v>9</v>
      </c>
      <c r="E943" s="5">
        <v>6</v>
      </c>
      <c r="F943" s="5">
        <v>14</v>
      </c>
      <c r="G943" s="5">
        <v>7</v>
      </c>
      <c r="H943" s="5">
        <v>15</v>
      </c>
      <c r="I943" s="5"/>
    </row>
    <row r="944" spans="1:9">
      <c r="A944" s="5">
        <v>94116</v>
      </c>
      <c r="B944" s="5">
        <v>116</v>
      </c>
      <c r="C944" s="5">
        <v>15</v>
      </c>
      <c r="D944" s="5">
        <v>13</v>
      </c>
      <c r="E944" s="5">
        <v>16</v>
      </c>
      <c r="F944" s="5">
        <v>25</v>
      </c>
      <c r="G944" s="5">
        <v>11</v>
      </c>
      <c r="H944" s="5">
        <v>36</v>
      </c>
      <c r="I944" s="5"/>
    </row>
    <row r="945" spans="1:9">
      <c r="A945" s="5">
        <v>94117</v>
      </c>
      <c r="B945" s="5">
        <v>72</v>
      </c>
      <c r="C945" s="5">
        <v>13</v>
      </c>
      <c r="D945" s="5">
        <v>9</v>
      </c>
      <c r="E945" s="5">
        <v>11</v>
      </c>
      <c r="F945" s="5">
        <v>19</v>
      </c>
      <c r="G945" s="5">
        <v>7</v>
      </c>
      <c r="H945" s="5">
        <v>13</v>
      </c>
      <c r="I945" s="5"/>
    </row>
    <row r="946" spans="1:9">
      <c r="A946" s="5">
        <v>94118</v>
      </c>
      <c r="B946" s="5">
        <v>87</v>
      </c>
      <c r="C946" s="5">
        <v>10</v>
      </c>
      <c r="D946" s="5">
        <v>14</v>
      </c>
      <c r="E946" s="5">
        <v>7</v>
      </c>
      <c r="F946" s="5">
        <v>29</v>
      </c>
      <c r="G946" s="5">
        <v>13</v>
      </c>
      <c r="H946" s="5">
        <v>14</v>
      </c>
      <c r="I946" s="5"/>
    </row>
    <row r="947" spans="1:9">
      <c r="A947" s="5">
        <v>94121</v>
      </c>
      <c r="B947" s="5">
        <v>112</v>
      </c>
      <c r="C947" s="5">
        <v>21</v>
      </c>
      <c r="D947" s="5">
        <v>12</v>
      </c>
      <c r="E947" s="5">
        <v>8</v>
      </c>
      <c r="F947" s="5">
        <v>29</v>
      </c>
      <c r="G947" s="5">
        <v>8</v>
      </c>
      <c r="H947" s="5">
        <v>34</v>
      </c>
      <c r="I947" s="5"/>
    </row>
    <row r="948" spans="1:9">
      <c r="A948" s="5">
        <v>94122</v>
      </c>
      <c r="B948" s="5">
        <v>136</v>
      </c>
      <c r="C948" s="5">
        <v>13</v>
      </c>
      <c r="D948" s="5">
        <v>24</v>
      </c>
      <c r="E948" s="5">
        <v>15</v>
      </c>
      <c r="F948" s="5">
        <v>34</v>
      </c>
      <c r="G948" s="5">
        <v>17</v>
      </c>
      <c r="H948" s="5">
        <v>33</v>
      </c>
      <c r="I948" s="5"/>
    </row>
    <row r="949" spans="1:9">
      <c r="A949" s="5">
        <v>94123</v>
      </c>
      <c r="B949" s="5">
        <v>29</v>
      </c>
      <c r="C949" s="5">
        <v>7</v>
      </c>
      <c r="D949" s="5">
        <v>2</v>
      </c>
      <c r="E949" s="5">
        <v>5</v>
      </c>
      <c r="F949" s="5">
        <v>2</v>
      </c>
      <c r="G949" s="5">
        <v>3</v>
      </c>
      <c r="H949" s="5">
        <v>10</v>
      </c>
      <c r="I949" s="5"/>
    </row>
    <row r="950" spans="1:9">
      <c r="A950" s="5">
        <v>94124</v>
      </c>
      <c r="B950" s="5">
        <v>128</v>
      </c>
      <c r="C950" s="5">
        <v>15</v>
      </c>
      <c r="D950" s="5">
        <v>12</v>
      </c>
      <c r="E950" s="5">
        <v>17</v>
      </c>
      <c r="F950" s="5">
        <v>23</v>
      </c>
      <c r="G950" s="5">
        <v>18</v>
      </c>
      <c r="H950" s="5">
        <v>43</v>
      </c>
      <c r="I950" s="5"/>
    </row>
    <row r="951" spans="1:9">
      <c r="A951" s="5">
        <v>94127</v>
      </c>
      <c r="B951" s="5">
        <v>44</v>
      </c>
      <c r="C951" s="5">
        <v>6</v>
      </c>
      <c r="D951" s="5">
        <v>9</v>
      </c>
      <c r="E951" s="5">
        <v>4</v>
      </c>
      <c r="F951" s="5">
        <v>10</v>
      </c>
      <c r="G951" s="5">
        <v>5</v>
      </c>
      <c r="H951" s="5">
        <v>10</v>
      </c>
      <c r="I951" s="5"/>
    </row>
    <row r="952" spans="1:9">
      <c r="A952" s="5">
        <v>94129</v>
      </c>
      <c r="B952" s="5">
        <v>6</v>
      </c>
      <c r="C952" s="5" t="s">
        <v>177</v>
      </c>
      <c r="D952" s="5" t="s">
        <v>177</v>
      </c>
      <c r="E952" s="5" t="s">
        <v>177</v>
      </c>
      <c r="F952" s="5" t="s">
        <v>177</v>
      </c>
      <c r="G952" s="5">
        <v>1</v>
      </c>
      <c r="H952" s="5">
        <v>5</v>
      </c>
      <c r="I952" s="5"/>
    </row>
    <row r="953" spans="1:9">
      <c r="A953" s="5">
        <v>94130</v>
      </c>
      <c r="B953" s="5">
        <v>22</v>
      </c>
      <c r="C953" s="5">
        <v>3</v>
      </c>
      <c r="D953" s="5">
        <v>3</v>
      </c>
      <c r="E953" s="5">
        <v>3</v>
      </c>
      <c r="F953" s="5">
        <v>1</v>
      </c>
      <c r="G953" s="5">
        <v>6</v>
      </c>
      <c r="H953" s="5">
        <v>6</v>
      </c>
      <c r="I953" s="5"/>
    </row>
    <row r="954" spans="1:9">
      <c r="A954" s="5">
        <v>94131</v>
      </c>
      <c r="B954" s="5">
        <v>43</v>
      </c>
      <c r="C954" s="5">
        <v>7</v>
      </c>
      <c r="D954" s="5">
        <v>4</v>
      </c>
      <c r="E954" s="5">
        <v>6</v>
      </c>
      <c r="F954" s="5">
        <v>11</v>
      </c>
      <c r="G954" s="5">
        <v>5</v>
      </c>
      <c r="H954" s="5">
        <v>10</v>
      </c>
      <c r="I954" s="5"/>
    </row>
    <row r="955" spans="1:9">
      <c r="A955" s="5">
        <v>94132</v>
      </c>
      <c r="B955" s="5">
        <v>66</v>
      </c>
      <c r="C955" s="5">
        <v>8</v>
      </c>
      <c r="D955" s="5">
        <v>8</v>
      </c>
      <c r="E955" s="5">
        <v>5</v>
      </c>
      <c r="F955" s="5">
        <v>21</v>
      </c>
      <c r="G955" s="5">
        <v>9</v>
      </c>
      <c r="H955" s="5">
        <v>15</v>
      </c>
      <c r="I955" s="5"/>
    </row>
    <row r="956" spans="1:9">
      <c r="A956" s="5">
        <v>94133</v>
      </c>
      <c r="B956" s="5">
        <v>180</v>
      </c>
      <c r="C956" s="5">
        <v>30</v>
      </c>
      <c r="D956" s="5">
        <v>24</v>
      </c>
      <c r="E956" s="5">
        <v>35</v>
      </c>
      <c r="F956" s="5">
        <v>22</v>
      </c>
      <c r="G956" s="5">
        <v>19</v>
      </c>
      <c r="H956" s="5">
        <v>50</v>
      </c>
      <c r="I956" s="5"/>
    </row>
    <row r="957" spans="1:9">
      <c r="A957" s="5">
        <v>94134</v>
      </c>
      <c r="B957" s="5">
        <v>85</v>
      </c>
      <c r="C957" s="5">
        <v>13</v>
      </c>
      <c r="D957" s="5">
        <v>10</v>
      </c>
      <c r="E957" s="5">
        <v>1</v>
      </c>
      <c r="F957" s="5">
        <v>22</v>
      </c>
      <c r="G957" s="5">
        <v>10</v>
      </c>
      <c r="H957" s="5">
        <v>29</v>
      </c>
      <c r="I957" s="5"/>
    </row>
    <row r="958" spans="1:9">
      <c r="A958" s="5">
        <v>94158</v>
      </c>
      <c r="B958" s="5">
        <v>25</v>
      </c>
      <c r="C958" s="5">
        <v>3</v>
      </c>
      <c r="D958" s="5">
        <v>4</v>
      </c>
      <c r="E958" s="5">
        <v>4</v>
      </c>
      <c r="F958" s="5">
        <v>6</v>
      </c>
      <c r="G958" s="5">
        <v>3</v>
      </c>
      <c r="H958" s="5">
        <v>5</v>
      </c>
      <c r="I958" s="5"/>
    </row>
    <row r="959" spans="1:9">
      <c r="A959" s="5">
        <v>94301</v>
      </c>
      <c r="B959" s="5">
        <v>25</v>
      </c>
      <c r="C959" s="5">
        <v>4</v>
      </c>
      <c r="D959" s="5">
        <v>5</v>
      </c>
      <c r="E959" s="5">
        <v>1</v>
      </c>
      <c r="F959" s="5">
        <v>5</v>
      </c>
      <c r="G959" s="5">
        <v>3</v>
      </c>
      <c r="H959" s="5">
        <v>7</v>
      </c>
      <c r="I959" s="5"/>
    </row>
    <row r="960" spans="1:9">
      <c r="A960" s="5">
        <v>94303</v>
      </c>
      <c r="B960" s="5">
        <v>60</v>
      </c>
      <c r="C960" s="5">
        <v>13</v>
      </c>
      <c r="D960" s="5">
        <v>4</v>
      </c>
      <c r="E960" s="5">
        <v>6</v>
      </c>
      <c r="F960" s="5">
        <v>16</v>
      </c>
      <c r="G960" s="5">
        <v>8</v>
      </c>
      <c r="H960" s="5">
        <v>13</v>
      </c>
      <c r="I960" s="5"/>
    </row>
    <row r="961" spans="1:9">
      <c r="A961" s="5">
        <v>94304</v>
      </c>
      <c r="B961" s="5">
        <v>6</v>
      </c>
      <c r="C961" s="5">
        <v>1</v>
      </c>
      <c r="D961" s="5">
        <v>1</v>
      </c>
      <c r="E961" s="5">
        <v>1</v>
      </c>
      <c r="F961" s="5">
        <v>1</v>
      </c>
      <c r="G961" s="5" t="s">
        <v>177</v>
      </c>
      <c r="H961" s="5">
        <v>2</v>
      </c>
      <c r="I961" s="5"/>
    </row>
    <row r="962" spans="1:9">
      <c r="A962" s="5">
        <v>94305</v>
      </c>
      <c r="B962" s="5">
        <v>13</v>
      </c>
      <c r="C962" s="5">
        <v>1</v>
      </c>
      <c r="D962" s="5">
        <v>4</v>
      </c>
      <c r="E962" s="5">
        <v>3</v>
      </c>
      <c r="F962" s="5" t="s">
        <v>177</v>
      </c>
      <c r="G962" s="5">
        <v>1</v>
      </c>
      <c r="H962" s="5">
        <v>4</v>
      </c>
      <c r="I962" s="5"/>
    </row>
    <row r="963" spans="1:9">
      <c r="A963" s="5">
        <v>94306</v>
      </c>
      <c r="B963" s="5">
        <v>49</v>
      </c>
      <c r="C963" s="5">
        <v>7</v>
      </c>
      <c r="D963" s="5">
        <v>8</v>
      </c>
      <c r="E963" s="5">
        <v>5</v>
      </c>
      <c r="F963" s="5">
        <v>12</v>
      </c>
      <c r="G963" s="5">
        <v>8</v>
      </c>
      <c r="H963" s="5">
        <v>9</v>
      </c>
      <c r="I963" s="5"/>
    </row>
    <row r="964" spans="1:9">
      <c r="A964" s="5">
        <v>94401</v>
      </c>
      <c r="B964" s="5">
        <v>50</v>
      </c>
      <c r="C964" s="5">
        <v>7</v>
      </c>
      <c r="D964" s="5">
        <v>7</v>
      </c>
      <c r="E964" s="5">
        <v>3</v>
      </c>
      <c r="F964" s="5">
        <v>11</v>
      </c>
      <c r="G964" s="5">
        <v>12</v>
      </c>
      <c r="H964" s="5">
        <v>10</v>
      </c>
      <c r="I964" s="5"/>
    </row>
    <row r="965" spans="1:9">
      <c r="A965" s="5">
        <v>94402</v>
      </c>
      <c r="B965" s="5">
        <v>33</v>
      </c>
      <c r="C965" s="5">
        <v>3</v>
      </c>
      <c r="D965" s="5">
        <v>8</v>
      </c>
      <c r="E965" s="5">
        <v>3</v>
      </c>
      <c r="F965" s="5">
        <v>5</v>
      </c>
      <c r="G965" s="5">
        <v>5</v>
      </c>
      <c r="H965" s="5">
        <v>9</v>
      </c>
      <c r="I965" s="5"/>
    </row>
    <row r="966" spans="1:9">
      <c r="A966" s="5">
        <v>94403</v>
      </c>
      <c r="B966" s="5">
        <v>75</v>
      </c>
      <c r="C966" s="5">
        <v>17</v>
      </c>
      <c r="D966" s="5">
        <v>12</v>
      </c>
      <c r="E966" s="5">
        <v>11</v>
      </c>
      <c r="F966" s="5">
        <v>15</v>
      </c>
      <c r="G966" s="5">
        <v>11</v>
      </c>
      <c r="H966" s="5">
        <v>9</v>
      </c>
      <c r="I966" s="5"/>
    </row>
    <row r="967" spans="1:9">
      <c r="A967" s="5">
        <v>94404</v>
      </c>
      <c r="B967" s="5">
        <v>53</v>
      </c>
      <c r="C967" s="5">
        <v>7</v>
      </c>
      <c r="D967" s="5">
        <v>3</v>
      </c>
      <c r="E967" s="5">
        <v>7</v>
      </c>
      <c r="F967" s="5">
        <v>11</v>
      </c>
      <c r="G967" s="5">
        <v>6</v>
      </c>
      <c r="H967" s="5">
        <v>19</v>
      </c>
      <c r="I967" s="5"/>
    </row>
    <row r="968" spans="1:9">
      <c r="A968" s="5">
        <v>94501</v>
      </c>
      <c r="B968" s="5">
        <v>161</v>
      </c>
      <c r="C968" s="5">
        <v>22</v>
      </c>
      <c r="D968" s="5">
        <v>24</v>
      </c>
      <c r="E968" s="5">
        <v>16</v>
      </c>
      <c r="F968" s="5">
        <v>34</v>
      </c>
      <c r="G968" s="5">
        <v>24</v>
      </c>
      <c r="H968" s="5">
        <v>41</v>
      </c>
      <c r="I968" s="5"/>
    </row>
    <row r="969" spans="1:9">
      <c r="A969" s="5">
        <v>94502</v>
      </c>
      <c r="B969" s="5">
        <v>38</v>
      </c>
      <c r="C969" s="5">
        <v>9</v>
      </c>
      <c r="D969" s="5">
        <v>6</v>
      </c>
      <c r="E969" s="5">
        <v>7</v>
      </c>
      <c r="F969" s="5">
        <v>5</v>
      </c>
      <c r="G969" s="5">
        <v>4</v>
      </c>
      <c r="H969" s="5">
        <v>7</v>
      </c>
      <c r="I969" s="5"/>
    </row>
    <row r="970" spans="1:9">
      <c r="A970" s="5">
        <v>94503</v>
      </c>
      <c r="B970" s="5">
        <v>77</v>
      </c>
      <c r="C970" s="5">
        <v>12</v>
      </c>
      <c r="D970" s="5">
        <v>9</v>
      </c>
      <c r="E970" s="5">
        <v>19</v>
      </c>
      <c r="F970" s="5">
        <v>18</v>
      </c>
      <c r="G970" s="5">
        <v>5</v>
      </c>
      <c r="H970" s="5">
        <v>14</v>
      </c>
      <c r="I970" s="5"/>
    </row>
    <row r="971" spans="1:9">
      <c r="A971" s="5">
        <v>94505</v>
      </c>
      <c r="B971" s="5">
        <v>24</v>
      </c>
      <c r="C971" s="5">
        <v>4</v>
      </c>
      <c r="D971" s="5">
        <v>4</v>
      </c>
      <c r="E971" s="5">
        <v>2</v>
      </c>
      <c r="F971" s="5">
        <v>5</v>
      </c>
      <c r="G971" s="5">
        <v>4</v>
      </c>
      <c r="H971" s="5">
        <v>5</v>
      </c>
      <c r="I971" s="5"/>
    </row>
    <row r="972" spans="1:9">
      <c r="A972" s="5">
        <v>94506</v>
      </c>
      <c r="B972" s="5">
        <v>35</v>
      </c>
      <c r="C972" s="5">
        <v>8</v>
      </c>
      <c r="D972" s="5">
        <v>4</v>
      </c>
      <c r="E972" s="5">
        <v>3</v>
      </c>
      <c r="F972" s="5">
        <v>8</v>
      </c>
      <c r="G972" s="5">
        <v>5</v>
      </c>
      <c r="H972" s="5">
        <v>7</v>
      </c>
      <c r="I972" s="5"/>
    </row>
    <row r="973" spans="1:9">
      <c r="A973" s="5">
        <v>94507</v>
      </c>
      <c r="B973" s="5">
        <v>40</v>
      </c>
      <c r="C973" s="5">
        <v>4</v>
      </c>
      <c r="D973" s="5">
        <v>4</v>
      </c>
      <c r="E973" s="5">
        <v>7</v>
      </c>
      <c r="F973" s="5">
        <v>12</v>
      </c>
      <c r="G973" s="5">
        <v>6</v>
      </c>
      <c r="H973" s="5">
        <v>7</v>
      </c>
      <c r="I973" s="5"/>
    </row>
    <row r="974" spans="1:9">
      <c r="A974" s="5">
        <v>94509</v>
      </c>
      <c r="B974" s="5">
        <v>112</v>
      </c>
      <c r="C974" s="5">
        <v>10</v>
      </c>
      <c r="D974" s="5">
        <v>18</v>
      </c>
      <c r="E974" s="5">
        <v>13</v>
      </c>
      <c r="F974" s="5">
        <v>24</v>
      </c>
      <c r="G974" s="5">
        <v>11</v>
      </c>
      <c r="H974" s="5">
        <v>36</v>
      </c>
      <c r="I974" s="5"/>
    </row>
    <row r="975" spans="1:9">
      <c r="A975" s="5">
        <v>94510</v>
      </c>
      <c r="B975" s="5">
        <v>72</v>
      </c>
      <c r="C975" s="5">
        <v>19</v>
      </c>
      <c r="D975" s="5">
        <v>11</v>
      </c>
      <c r="E975" s="5">
        <v>10</v>
      </c>
      <c r="F975" s="5">
        <v>11</v>
      </c>
      <c r="G975" s="5">
        <v>6</v>
      </c>
      <c r="H975" s="5">
        <v>15</v>
      </c>
      <c r="I975" s="5"/>
    </row>
    <row r="976" spans="1:9">
      <c r="A976" s="5">
        <v>94513</v>
      </c>
      <c r="B976" s="5">
        <v>99</v>
      </c>
      <c r="C976" s="5">
        <v>17</v>
      </c>
      <c r="D976" s="5">
        <v>19</v>
      </c>
      <c r="E976" s="5">
        <v>8</v>
      </c>
      <c r="F976" s="5">
        <v>23</v>
      </c>
      <c r="G976" s="5">
        <v>11</v>
      </c>
      <c r="H976" s="5">
        <v>21</v>
      </c>
      <c r="I976" s="5"/>
    </row>
    <row r="977" spans="1:9">
      <c r="A977" s="5">
        <v>94514</v>
      </c>
      <c r="B977" s="5">
        <v>7</v>
      </c>
      <c r="C977" s="5" t="s">
        <v>177</v>
      </c>
      <c r="D977" s="5">
        <v>2</v>
      </c>
      <c r="E977" s="5">
        <v>2</v>
      </c>
      <c r="F977" s="5" t="s">
        <v>177</v>
      </c>
      <c r="G977" s="5">
        <v>2</v>
      </c>
      <c r="H977" s="5">
        <v>1</v>
      </c>
      <c r="I977" s="5"/>
    </row>
    <row r="978" spans="1:9">
      <c r="A978" s="5">
        <v>94517</v>
      </c>
      <c r="B978" s="5">
        <v>12</v>
      </c>
      <c r="C978" s="5">
        <v>5</v>
      </c>
      <c r="D978" s="5">
        <v>4</v>
      </c>
      <c r="E978" s="5">
        <v>1</v>
      </c>
      <c r="F978" s="5">
        <v>1</v>
      </c>
      <c r="G978" s="5">
        <v>1</v>
      </c>
      <c r="H978" s="5" t="s">
        <v>177</v>
      </c>
      <c r="I978" s="5"/>
    </row>
    <row r="979" spans="1:9">
      <c r="A979" s="5">
        <v>94518</v>
      </c>
      <c r="B979" s="5">
        <v>81</v>
      </c>
      <c r="C979" s="5">
        <v>7</v>
      </c>
      <c r="D979" s="5">
        <v>15</v>
      </c>
      <c r="E979" s="5">
        <v>13</v>
      </c>
      <c r="F979" s="5">
        <v>16</v>
      </c>
      <c r="G979" s="5">
        <v>16</v>
      </c>
      <c r="H979" s="5">
        <v>14</v>
      </c>
      <c r="I979" s="5"/>
    </row>
    <row r="980" spans="1:9">
      <c r="A980" s="5">
        <v>94519</v>
      </c>
      <c r="B980" s="5">
        <v>33</v>
      </c>
      <c r="C980" s="5">
        <v>7</v>
      </c>
      <c r="D980" s="5">
        <v>10</v>
      </c>
      <c r="E980" s="5">
        <v>1</v>
      </c>
      <c r="F980" s="5">
        <v>7</v>
      </c>
      <c r="G980" s="5">
        <v>1</v>
      </c>
      <c r="H980" s="5">
        <v>7</v>
      </c>
      <c r="I980" s="5"/>
    </row>
    <row r="981" spans="1:9">
      <c r="A981" s="5">
        <v>94520</v>
      </c>
      <c r="B981" s="5">
        <v>60</v>
      </c>
      <c r="C981" s="5">
        <v>8</v>
      </c>
      <c r="D981" s="5">
        <v>10</v>
      </c>
      <c r="E981" s="5">
        <v>1</v>
      </c>
      <c r="F981" s="5">
        <v>12</v>
      </c>
      <c r="G981" s="5">
        <v>9</v>
      </c>
      <c r="H981" s="5">
        <v>20</v>
      </c>
      <c r="I981" s="5"/>
    </row>
    <row r="982" spans="1:9">
      <c r="A982" s="5">
        <v>94521</v>
      </c>
      <c r="B982" s="5">
        <v>65</v>
      </c>
      <c r="C982" s="5">
        <v>10</v>
      </c>
      <c r="D982" s="5">
        <v>7</v>
      </c>
      <c r="E982" s="5">
        <v>7</v>
      </c>
      <c r="F982" s="5">
        <v>17</v>
      </c>
      <c r="G982" s="5">
        <v>7</v>
      </c>
      <c r="H982" s="5">
        <v>17</v>
      </c>
      <c r="I982" s="5"/>
    </row>
    <row r="983" spans="1:9">
      <c r="A983" s="5">
        <v>94523</v>
      </c>
      <c r="B983" s="5">
        <v>72</v>
      </c>
      <c r="C983" s="5">
        <v>9</v>
      </c>
      <c r="D983" s="5">
        <v>11</v>
      </c>
      <c r="E983" s="5">
        <v>6</v>
      </c>
      <c r="F983" s="5">
        <v>15</v>
      </c>
      <c r="G983" s="5">
        <v>5</v>
      </c>
      <c r="H983" s="5">
        <v>26</v>
      </c>
      <c r="I983" s="5"/>
    </row>
    <row r="984" spans="1:9">
      <c r="A984" s="5">
        <v>94525</v>
      </c>
      <c r="B984" s="5">
        <v>5</v>
      </c>
      <c r="C984" s="5" t="s">
        <v>177</v>
      </c>
      <c r="D984" s="5">
        <v>1</v>
      </c>
      <c r="E984" s="5">
        <v>1</v>
      </c>
      <c r="F984" s="5">
        <v>2</v>
      </c>
      <c r="G984" s="5" t="s">
        <v>177</v>
      </c>
      <c r="H984" s="5">
        <v>1</v>
      </c>
      <c r="I984" s="5"/>
    </row>
    <row r="985" spans="1:9">
      <c r="A985" s="5">
        <v>94526</v>
      </c>
      <c r="B985" s="5">
        <v>57</v>
      </c>
      <c r="C985" s="5">
        <v>8</v>
      </c>
      <c r="D985" s="5">
        <v>6</v>
      </c>
      <c r="E985" s="5">
        <v>7</v>
      </c>
      <c r="F985" s="5">
        <v>12</v>
      </c>
      <c r="G985" s="5">
        <v>7</v>
      </c>
      <c r="H985" s="5">
        <v>17</v>
      </c>
      <c r="I985" s="5"/>
    </row>
    <row r="986" spans="1:9">
      <c r="A986" s="5">
        <v>94528</v>
      </c>
      <c r="B986" s="5">
        <v>1</v>
      </c>
      <c r="C986" s="5" t="s">
        <v>177</v>
      </c>
      <c r="D986" s="5" t="s">
        <v>177</v>
      </c>
      <c r="E986" s="5" t="s">
        <v>177</v>
      </c>
      <c r="F986" s="5" t="s">
        <v>177</v>
      </c>
      <c r="G986" s="5" t="s">
        <v>177</v>
      </c>
      <c r="H986" s="5">
        <v>1</v>
      </c>
      <c r="I986" s="5"/>
    </row>
    <row r="987" spans="1:9">
      <c r="A987" s="5">
        <v>94530</v>
      </c>
      <c r="B987" s="5">
        <v>46</v>
      </c>
      <c r="C987" s="5">
        <v>5</v>
      </c>
      <c r="D987" s="5">
        <v>9</v>
      </c>
      <c r="E987" s="5">
        <v>3</v>
      </c>
      <c r="F987" s="5">
        <v>7</v>
      </c>
      <c r="G987" s="5">
        <v>11</v>
      </c>
      <c r="H987" s="5">
        <v>11</v>
      </c>
      <c r="I987" s="5"/>
    </row>
    <row r="988" spans="1:9">
      <c r="A988" s="5">
        <v>94531</v>
      </c>
      <c r="B988" s="5">
        <v>92</v>
      </c>
      <c r="C988" s="5">
        <v>12</v>
      </c>
      <c r="D988" s="5">
        <v>20</v>
      </c>
      <c r="E988" s="5">
        <v>11</v>
      </c>
      <c r="F988" s="5">
        <v>16</v>
      </c>
      <c r="G988" s="5">
        <v>14</v>
      </c>
      <c r="H988" s="5">
        <v>19</v>
      </c>
      <c r="I988" s="5"/>
    </row>
    <row r="989" spans="1:9">
      <c r="A989" s="5">
        <v>94536</v>
      </c>
      <c r="B989" s="5">
        <v>128</v>
      </c>
      <c r="C989" s="5">
        <v>19</v>
      </c>
      <c r="D989" s="5">
        <v>21</v>
      </c>
      <c r="E989" s="5">
        <v>18</v>
      </c>
      <c r="F989" s="5">
        <v>23</v>
      </c>
      <c r="G989" s="5">
        <v>16</v>
      </c>
      <c r="H989" s="5">
        <v>31</v>
      </c>
      <c r="I989" s="5"/>
    </row>
    <row r="990" spans="1:9">
      <c r="A990" s="5">
        <v>94538</v>
      </c>
      <c r="B990" s="5">
        <v>142</v>
      </c>
      <c r="C990" s="5">
        <v>22</v>
      </c>
      <c r="D990" s="5">
        <v>26</v>
      </c>
      <c r="E990" s="5">
        <v>6</v>
      </c>
      <c r="F990" s="5">
        <v>27</v>
      </c>
      <c r="G990" s="5">
        <v>20</v>
      </c>
      <c r="H990" s="5">
        <v>41</v>
      </c>
      <c r="I990" s="5"/>
    </row>
    <row r="991" spans="1:9">
      <c r="A991" s="5">
        <v>94539</v>
      </c>
      <c r="B991" s="5">
        <v>117</v>
      </c>
      <c r="C991" s="5">
        <v>26</v>
      </c>
      <c r="D991" s="5">
        <v>14</v>
      </c>
      <c r="E991" s="5">
        <v>13</v>
      </c>
      <c r="F991" s="5">
        <v>20</v>
      </c>
      <c r="G991" s="5">
        <v>12</v>
      </c>
      <c r="H991" s="5">
        <v>32</v>
      </c>
      <c r="I991" s="5"/>
    </row>
    <row r="992" spans="1:9">
      <c r="A992" s="5">
        <v>94541</v>
      </c>
      <c r="B992" s="5">
        <v>105</v>
      </c>
      <c r="C992" s="5">
        <v>16</v>
      </c>
      <c r="D992" s="5">
        <v>23</v>
      </c>
      <c r="E992" s="5">
        <v>11</v>
      </c>
      <c r="F992" s="5">
        <v>17</v>
      </c>
      <c r="G992" s="5">
        <v>15</v>
      </c>
      <c r="H992" s="5">
        <v>23</v>
      </c>
      <c r="I992" s="5"/>
    </row>
    <row r="993" spans="1:9">
      <c r="A993" s="5">
        <v>94542</v>
      </c>
      <c r="B993" s="5">
        <v>31</v>
      </c>
      <c r="C993" s="5">
        <v>4</v>
      </c>
      <c r="D993" s="5">
        <v>5</v>
      </c>
      <c r="E993" s="5">
        <v>5</v>
      </c>
      <c r="F993" s="5">
        <v>5</v>
      </c>
      <c r="G993" s="5">
        <v>2</v>
      </c>
      <c r="H993" s="5">
        <v>10</v>
      </c>
      <c r="I993" s="5"/>
    </row>
    <row r="994" spans="1:9">
      <c r="A994" s="5">
        <v>94544</v>
      </c>
      <c r="B994" s="5">
        <v>171</v>
      </c>
      <c r="C994" s="5">
        <v>32</v>
      </c>
      <c r="D994" s="5">
        <v>25</v>
      </c>
      <c r="E994" s="5">
        <v>24</v>
      </c>
      <c r="F994" s="5">
        <v>41</v>
      </c>
      <c r="G994" s="5">
        <v>12</v>
      </c>
      <c r="H994" s="5">
        <v>37</v>
      </c>
      <c r="I994" s="5"/>
    </row>
    <row r="995" spans="1:9">
      <c r="A995" s="5">
        <v>94545</v>
      </c>
      <c r="B995" s="5">
        <v>71</v>
      </c>
      <c r="C995" s="5">
        <v>16</v>
      </c>
      <c r="D995" s="5">
        <v>11</v>
      </c>
      <c r="E995" s="5">
        <v>6</v>
      </c>
      <c r="F995" s="5">
        <v>13</v>
      </c>
      <c r="G995" s="5">
        <v>7</v>
      </c>
      <c r="H995" s="5">
        <v>18</v>
      </c>
      <c r="I995" s="5"/>
    </row>
    <row r="996" spans="1:9">
      <c r="A996" s="5">
        <v>94546</v>
      </c>
      <c r="B996" s="5">
        <v>107</v>
      </c>
      <c r="C996" s="5">
        <v>13</v>
      </c>
      <c r="D996" s="5">
        <v>9</v>
      </c>
      <c r="E996" s="5">
        <v>14</v>
      </c>
      <c r="F996" s="5">
        <v>21</v>
      </c>
      <c r="G996" s="5">
        <v>11</v>
      </c>
      <c r="H996" s="5">
        <v>39</v>
      </c>
      <c r="I996" s="5"/>
    </row>
    <row r="997" spans="1:9">
      <c r="A997" s="5">
        <v>94547</v>
      </c>
      <c r="B997" s="5">
        <v>50</v>
      </c>
      <c r="C997" s="5">
        <v>12</v>
      </c>
      <c r="D997" s="5">
        <v>4</v>
      </c>
      <c r="E997" s="5">
        <v>3</v>
      </c>
      <c r="F997" s="5">
        <v>13</v>
      </c>
      <c r="G997" s="5">
        <v>5</v>
      </c>
      <c r="H997" s="5">
        <v>13</v>
      </c>
      <c r="I997" s="5"/>
    </row>
    <row r="998" spans="1:9">
      <c r="A998" s="5">
        <v>94548</v>
      </c>
      <c r="B998" s="5">
        <v>1</v>
      </c>
      <c r="C998" s="5" t="s">
        <v>177</v>
      </c>
      <c r="D998" s="5">
        <v>1</v>
      </c>
      <c r="E998" s="5" t="s">
        <v>177</v>
      </c>
      <c r="F998" s="5" t="s">
        <v>177</v>
      </c>
      <c r="G998" s="5" t="s">
        <v>177</v>
      </c>
      <c r="H998" s="5" t="s">
        <v>177</v>
      </c>
      <c r="I998" s="5"/>
    </row>
    <row r="999" spans="1:9">
      <c r="A999" s="5">
        <v>94549</v>
      </c>
      <c r="B999" s="5">
        <v>52</v>
      </c>
      <c r="C999" s="5">
        <v>10</v>
      </c>
      <c r="D999" s="5">
        <v>2</v>
      </c>
      <c r="E999" s="5">
        <v>7</v>
      </c>
      <c r="F999" s="5">
        <v>9</v>
      </c>
      <c r="G999" s="5">
        <v>8</v>
      </c>
      <c r="H999" s="5">
        <v>16</v>
      </c>
      <c r="I999" s="5"/>
    </row>
    <row r="1000" spans="1:9">
      <c r="A1000" s="5">
        <v>94550</v>
      </c>
      <c r="B1000" s="5">
        <v>85</v>
      </c>
      <c r="C1000" s="5">
        <v>10</v>
      </c>
      <c r="D1000" s="5">
        <v>14</v>
      </c>
      <c r="E1000" s="5">
        <v>9</v>
      </c>
      <c r="F1000" s="5">
        <v>15</v>
      </c>
      <c r="G1000" s="5">
        <v>12</v>
      </c>
      <c r="H1000" s="5">
        <v>25</v>
      </c>
      <c r="I1000" s="5"/>
    </row>
    <row r="1001" spans="1:9">
      <c r="A1001" s="5">
        <v>94551</v>
      </c>
      <c r="B1001" s="5">
        <v>50</v>
      </c>
      <c r="C1001" s="5">
        <v>7</v>
      </c>
      <c r="D1001" s="5">
        <v>7</v>
      </c>
      <c r="E1001" s="5">
        <v>4</v>
      </c>
      <c r="F1001" s="5">
        <v>9</v>
      </c>
      <c r="G1001" s="5">
        <v>12</v>
      </c>
      <c r="H1001" s="5">
        <v>11</v>
      </c>
      <c r="I1001" s="5"/>
    </row>
    <row r="1002" spans="1:9">
      <c r="A1002" s="5">
        <v>94552</v>
      </c>
      <c r="B1002" s="5">
        <v>29</v>
      </c>
      <c r="C1002" s="5">
        <v>4</v>
      </c>
      <c r="D1002" s="5">
        <v>2</v>
      </c>
      <c r="E1002" s="5">
        <v>1</v>
      </c>
      <c r="F1002" s="5">
        <v>6</v>
      </c>
      <c r="G1002" s="5">
        <v>5</v>
      </c>
      <c r="H1002" s="5">
        <v>11</v>
      </c>
      <c r="I1002" s="5"/>
    </row>
    <row r="1003" spans="1:9">
      <c r="A1003" s="5">
        <v>94553</v>
      </c>
      <c r="B1003" s="5">
        <v>60</v>
      </c>
      <c r="C1003" s="5">
        <v>9</v>
      </c>
      <c r="D1003" s="5">
        <v>3</v>
      </c>
      <c r="E1003" s="5">
        <v>7</v>
      </c>
      <c r="F1003" s="5">
        <v>16</v>
      </c>
      <c r="G1003" s="5">
        <v>11</v>
      </c>
      <c r="H1003" s="5">
        <v>14</v>
      </c>
      <c r="I1003" s="5"/>
    </row>
    <row r="1004" spans="1:9">
      <c r="A1004" s="5">
        <v>94555</v>
      </c>
      <c r="B1004" s="5">
        <v>76</v>
      </c>
      <c r="C1004" s="5">
        <v>15</v>
      </c>
      <c r="D1004" s="5">
        <v>12</v>
      </c>
      <c r="E1004" s="5">
        <v>7</v>
      </c>
      <c r="F1004" s="5">
        <v>18</v>
      </c>
      <c r="G1004" s="5">
        <v>8</v>
      </c>
      <c r="H1004" s="5">
        <v>16</v>
      </c>
      <c r="I1004" s="5"/>
    </row>
    <row r="1005" spans="1:9">
      <c r="A1005" s="5">
        <v>94556</v>
      </c>
      <c r="B1005" s="5">
        <v>44</v>
      </c>
      <c r="C1005" s="5">
        <v>8</v>
      </c>
      <c r="D1005" s="5">
        <v>6</v>
      </c>
      <c r="E1005" s="5">
        <v>4</v>
      </c>
      <c r="F1005" s="5">
        <v>9</v>
      </c>
      <c r="G1005" s="5">
        <v>6</v>
      </c>
      <c r="H1005" s="5">
        <v>11</v>
      </c>
      <c r="I1005" s="5"/>
    </row>
    <row r="1006" spans="1:9">
      <c r="A1006" s="5">
        <v>94560</v>
      </c>
      <c r="B1006" s="5">
        <v>112</v>
      </c>
      <c r="C1006" s="5">
        <v>16</v>
      </c>
      <c r="D1006" s="5">
        <v>19</v>
      </c>
      <c r="E1006" s="5">
        <v>10</v>
      </c>
      <c r="F1006" s="5">
        <v>34</v>
      </c>
      <c r="G1006" s="5">
        <v>8</v>
      </c>
      <c r="H1006" s="5">
        <v>25</v>
      </c>
      <c r="I1006" s="5"/>
    </row>
    <row r="1007" spans="1:9">
      <c r="A1007" s="5">
        <v>94561</v>
      </c>
      <c r="B1007" s="5">
        <v>261</v>
      </c>
      <c r="C1007" s="5">
        <v>58</v>
      </c>
      <c r="D1007" s="5">
        <v>35</v>
      </c>
      <c r="E1007" s="5">
        <v>37</v>
      </c>
      <c r="F1007" s="5">
        <v>24</v>
      </c>
      <c r="G1007" s="5">
        <v>38</v>
      </c>
      <c r="H1007" s="5">
        <v>69</v>
      </c>
      <c r="I1007" s="5"/>
    </row>
    <row r="1008" spans="1:9">
      <c r="A1008" s="5">
        <v>94563</v>
      </c>
      <c r="B1008" s="5">
        <v>26</v>
      </c>
      <c r="C1008" s="5">
        <v>6</v>
      </c>
      <c r="D1008" s="5">
        <v>2</v>
      </c>
      <c r="E1008" s="5" t="s">
        <v>177</v>
      </c>
      <c r="F1008" s="5">
        <v>7</v>
      </c>
      <c r="G1008" s="5">
        <v>3</v>
      </c>
      <c r="H1008" s="5">
        <v>8</v>
      </c>
      <c r="I1008" s="5"/>
    </row>
    <row r="1009" spans="1:9">
      <c r="A1009" s="5">
        <v>94564</v>
      </c>
      <c r="B1009" s="5">
        <v>30</v>
      </c>
      <c r="C1009" s="5">
        <v>7</v>
      </c>
      <c r="D1009" s="5">
        <v>2</v>
      </c>
      <c r="E1009" s="5">
        <v>1</v>
      </c>
      <c r="F1009" s="5">
        <v>7</v>
      </c>
      <c r="G1009" s="5">
        <v>1</v>
      </c>
      <c r="H1009" s="5">
        <v>12</v>
      </c>
      <c r="I1009" s="5"/>
    </row>
    <row r="1010" spans="1:9">
      <c r="A1010" s="5">
        <v>94565</v>
      </c>
      <c r="B1010" s="5">
        <v>169</v>
      </c>
      <c r="C1010" s="5">
        <v>24</v>
      </c>
      <c r="D1010" s="5">
        <v>30</v>
      </c>
      <c r="E1010" s="5">
        <v>24</v>
      </c>
      <c r="F1010" s="5">
        <v>29</v>
      </c>
      <c r="G1010" s="5">
        <v>18</v>
      </c>
      <c r="H1010" s="5">
        <v>44</v>
      </c>
      <c r="I1010" s="5"/>
    </row>
    <row r="1011" spans="1:9">
      <c r="A1011" s="5">
        <v>94566</v>
      </c>
      <c r="B1011" s="5">
        <v>60</v>
      </c>
      <c r="C1011" s="5">
        <v>7</v>
      </c>
      <c r="D1011" s="5">
        <v>8</v>
      </c>
      <c r="E1011" s="5">
        <v>7</v>
      </c>
      <c r="F1011" s="5">
        <v>12</v>
      </c>
      <c r="G1011" s="5">
        <v>8</v>
      </c>
      <c r="H1011" s="5">
        <v>18</v>
      </c>
      <c r="I1011" s="5"/>
    </row>
    <row r="1012" spans="1:9">
      <c r="A1012" s="5">
        <v>94568</v>
      </c>
      <c r="B1012" s="5">
        <v>123</v>
      </c>
      <c r="C1012" s="5">
        <v>21</v>
      </c>
      <c r="D1012" s="5">
        <v>12</v>
      </c>
      <c r="E1012" s="5">
        <v>13</v>
      </c>
      <c r="F1012" s="5">
        <v>31</v>
      </c>
      <c r="G1012" s="5">
        <v>13</v>
      </c>
      <c r="H1012" s="5">
        <v>33</v>
      </c>
      <c r="I1012" s="5"/>
    </row>
    <row r="1013" spans="1:9">
      <c r="A1013" s="5">
        <v>94572</v>
      </c>
      <c r="B1013" s="5">
        <v>23</v>
      </c>
      <c r="C1013" s="5">
        <v>2</v>
      </c>
      <c r="D1013" s="5">
        <v>5</v>
      </c>
      <c r="E1013" s="5">
        <v>2</v>
      </c>
      <c r="F1013" s="5">
        <v>6</v>
      </c>
      <c r="G1013" s="5">
        <v>2</v>
      </c>
      <c r="H1013" s="5">
        <v>6</v>
      </c>
      <c r="I1013" s="5"/>
    </row>
    <row r="1014" spans="1:9">
      <c r="A1014" s="5">
        <v>94577</v>
      </c>
      <c r="B1014" s="5">
        <v>86</v>
      </c>
      <c r="C1014" s="5">
        <v>13</v>
      </c>
      <c r="D1014" s="5">
        <v>14</v>
      </c>
      <c r="E1014" s="5">
        <v>9</v>
      </c>
      <c r="F1014" s="5">
        <v>21</v>
      </c>
      <c r="G1014" s="5">
        <v>11</v>
      </c>
      <c r="H1014" s="5">
        <v>18</v>
      </c>
      <c r="I1014" s="5"/>
    </row>
    <row r="1015" spans="1:9">
      <c r="A1015" s="5">
        <v>94578</v>
      </c>
      <c r="B1015" s="5">
        <v>81</v>
      </c>
      <c r="C1015" s="5">
        <v>14</v>
      </c>
      <c r="D1015" s="5">
        <v>8</v>
      </c>
      <c r="E1015" s="5">
        <v>11</v>
      </c>
      <c r="F1015" s="5">
        <v>15</v>
      </c>
      <c r="G1015" s="5">
        <v>11</v>
      </c>
      <c r="H1015" s="5">
        <v>22</v>
      </c>
      <c r="I1015" s="5"/>
    </row>
    <row r="1016" spans="1:9">
      <c r="A1016" s="5">
        <v>94579</v>
      </c>
      <c r="B1016" s="5">
        <v>65</v>
      </c>
      <c r="C1016" s="5">
        <v>11</v>
      </c>
      <c r="D1016" s="5">
        <v>14</v>
      </c>
      <c r="E1016" s="5">
        <v>8</v>
      </c>
      <c r="F1016" s="5">
        <v>9</v>
      </c>
      <c r="G1016" s="5">
        <v>9</v>
      </c>
      <c r="H1016" s="5">
        <v>14</v>
      </c>
      <c r="I1016" s="5"/>
    </row>
    <row r="1017" spans="1:9">
      <c r="A1017" s="5">
        <v>94580</v>
      </c>
      <c r="B1017" s="5">
        <v>86</v>
      </c>
      <c r="C1017" s="5">
        <v>10</v>
      </c>
      <c r="D1017" s="5">
        <v>14</v>
      </c>
      <c r="E1017" s="5">
        <v>14</v>
      </c>
      <c r="F1017" s="5">
        <v>7</v>
      </c>
      <c r="G1017" s="5">
        <v>17</v>
      </c>
      <c r="H1017" s="5">
        <v>24</v>
      </c>
      <c r="I1017" s="5"/>
    </row>
    <row r="1018" spans="1:9">
      <c r="A1018" s="5">
        <v>94582</v>
      </c>
      <c r="B1018" s="5">
        <v>80</v>
      </c>
      <c r="C1018" s="5">
        <v>11</v>
      </c>
      <c r="D1018" s="5">
        <v>9</v>
      </c>
      <c r="E1018" s="5">
        <v>7</v>
      </c>
      <c r="F1018" s="5">
        <v>20</v>
      </c>
      <c r="G1018" s="5">
        <v>11</v>
      </c>
      <c r="H1018" s="5">
        <v>22</v>
      </c>
      <c r="I1018" s="5"/>
    </row>
    <row r="1019" spans="1:9">
      <c r="A1019" s="5">
        <v>94583</v>
      </c>
      <c r="B1019" s="5">
        <v>65</v>
      </c>
      <c r="C1019" s="5">
        <v>10</v>
      </c>
      <c r="D1019" s="5">
        <v>8</v>
      </c>
      <c r="E1019" s="5">
        <v>4</v>
      </c>
      <c r="F1019" s="5">
        <v>12</v>
      </c>
      <c r="G1019" s="5">
        <v>10</v>
      </c>
      <c r="H1019" s="5">
        <v>21</v>
      </c>
      <c r="I1019" s="5"/>
    </row>
    <row r="1020" spans="1:9">
      <c r="A1020" s="5">
        <v>94587</v>
      </c>
      <c r="B1020" s="5">
        <v>170</v>
      </c>
      <c r="C1020" s="5">
        <v>38</v>
      </c>
      <c r="D1020" s="5">
        <v>18</v>
      </c>
      <c r="E1020" s="5">
        <v>14</v>
      </c>
      <c r="F1020" s="5">
        <v>44</v>
      </c>
      <c r="G1020" s="5">
        <v>17</v>
      </c>
      <c r="H1020" s="5">
        <v>39</v>
      </c>
      <c r="I1020" s="5"/>
    </row>
    <row r="1021" spans="1:9">
      <c r="A1021" s="5">
        <v>94588</v>
      </c>
      <c r="B1021" s="5">
        <v>48</v>
      </c>
      <c r="C1021" s="5">
        <v>6</v>
      </c>
      <c r="D1021" s="5">
        <v>6</v>
      </c>
      <c r="E1021" s="5">
        <v>1</v>
      </c>
      <c r="F1021" s="5">
        <v>15</v>
      </c>
      <c r="G1021" s="5">
        <v>8</v>
      </c>
      <c r="H1021" s="5">
        <v>12</v>
      </c>
      <c r="I1021" s="5"/>
    </row>
    <row r="1022" spans="1:9">
      <c r="A1022" s="5">
        <v>94589</v>
      </c>
      <c r="B1022" s="5">
        <v>148</v>
      </c>
      <c r="C1022" s="5">
        <v>15</v>
      </c>
      <c r="D1022" s="5">
        <v>15</v>
      </c>
      <c r="E1022" s="5">
        <v>36</v>
      </c>
      <c r="F1022" s="5">
        <v>25</v>
      </c>
      <c r="G1022" s="5">
        <v>27</v>
      </c>
      <c r="H1022" s="5">
        <v>30</v>
      </c>
      <c r="I1022" s="5"/>
    </row>
    <row r="1023" spans="1:9">
      <c r="A1023" s="5">
        <v>94590</v>
      </c>
      <c r="B1023" s="5">
        <v>150</v>
      </c>
      <c r="C1023" s="5">
        <v>22</v>
      </c>
      <c r="D1023" s="5">
        <v>12</v>
      </c>
      <c r="E1023" s="5">
        <v>29</v>
      </c>
      <c r="F1023" s="5">
        <v>28</v>
      </c>
      <c r="G1023" s="5">
        <v>31</v>
      </c>
      <c r="H1023" s="5">
        <v>28</v>
      </c>
      <c r="I1023" s="5"/>
    </row>
    <row r="1024" spans="1:9">
      <c r="A1024" s="5">
        <v>94591</v>
      </c>
      <c r="B1024" s="5">
        <v>183</v>
      </c>
      <c r="C1024" s="5">
        <v>26</v>
      </c>
      <c r="D1024" s="5">
        <v>21</v>
      </c>
      <c r="E1024" s="5">
        <v>39</v>
      </c>
      <c r="F1024" s="5">
        <v>35</v>
      </c>
      <c r="G1024" s="5">
        <v>26</v>
      </c>
      <c r="H1024" s="5">
        <v>36</v>
      </c>
      <c r="I1024" s="5"/>
    </row>
    <row r="1025" spans="1:9">
      <c r="A1025" s="5">
        <v>94592</v>
      </c>
      <c r="B1025" s="5">
        <v>2</v>
      </c>
      <c r="C1025" s="5">
        <v>2</v>
      </c>
      <c r="D1025" s="5" t="s">
        <v>177</v>
      </c>
      <c r="E1025" s="5" t="s">
        <v>177</v>
      </c>
      <c r="F1025" s="5" t="s">
        <v>177</v>
      </c>
      <c r="G1025" s="5" t="s">
        <v>177</v>
      </c>
      <c r="H1025" s="5" t="s">
        <v>177</v>
      </c>
      <c r="I1025" s="5"/>
    </row>
    <row r="1026" spans="1:9">
      <c r="A1026" s="5">
        <v>94595</v>
      </c>
      <c r="B1026" s="5">
        <v>27</v>
      </c>
      <c r="C1026" s="5">
        <v>6</v>
      </c>
      <c r="D1026" s="5">
        <v>4</v>
      </c>
      <c r="E1026" s="5">
        <v>2</v>
      </c>
      <c r="F1026" s="5">
        <v>5</v>
      </c>
      <c r="G1026" s="5">
        <v>3</v>
      </c>
      <c r="H1026" s="5">
        <v>7</v>
      </c>
      <c r="I1026" s="5"/>
    </row>
    <row r="1027" spans="1:9">
      <c r="A1027" s="5">
        <v>94596</v>
      </c>
      <c r="B1027" s="5">
        <v>31</v>
      </c>
      <c r="C1027" s="5">
        <v>8</v>
      </c>
      <c r="D1027" s="5">
        <v>4</v>
      </c>
      <c r="E1027" s="5">
        <v>3</v>
      </c>
      <c r="F1027" s="5">
        <v>7</v>
      </c>
      <c r="G1027" s="5">
        <v>6</v>
      </c>
      <c r="H1027" s="5">
        <v>3</v>
      </c>
      <c r="I1027" s="5"/>
    </row>
    <row r="1028" spans="1:9">
      <c r="A1028" s="5">
        <v>94597</v>
      </c>
      <c r="B1028" s="5">
        <v>54</v>
      </c>
      <c r="C1028" s="5">
        <v>10</v>
      </c>
      <c r="D1028" s="5">
        <v>6</v>
      </c>
      <c r="E1028" s="5">
        <v>5</v>
      </c>
      <c r="F1028" s="5">
        <v>5</v>
      </c>
      <c r="G1028" s="5">
        <v>9</v>
      </c>
      <c r="H1028" s="5">
        <v>19</v>
      </c>
      <c r="I1028" s="5"/>
    </row>
    <row r="1029" spans="1:9">
      <c r="A1029" s="5">
        <v>94598</v>
      </c>
      <c r="B1029" s="5">
        <v>50</v>
      </c>
      <c r="C1029" s="5">
        <v>13</v>
      </c>
      <c r="D1029" s="5">
        <v>4</v>
      </c>
      <c r="E1029" s="5">
        <v>4</v>
      </c>
      <c r="F1029" s="5">
        <v>12</v>
      </c>
      <c r="G1029" s="5">
        <v>9</v>
      </c>
      <c r="H1029" s="5">
        <v>8</v>
      </c>
      <c r="I1029" s="5"/>
    </row>
    <row r="1030" spans="1:9">
      <c r="A1030" s="5">
        <v>94601</v>
      </c>
      <c r="B1030" s="5">
        <v>67</v>
      </c>
      <c r="C1030" s="5">
        <v>10</v>
      </c>
      <c r="D1030" s="5">
        <v>10</v>
      </c>
      <c r="E1030" s="5">
        <v>4</v>
      </c>
      <c r="F1030" s="5">
        <v>18</v>
      </c>
      <c r="G1030" s="5">
        <v>10</v>
      </c>
      <c r="H1030" s="5">
        <v>15</v>
      </c>
      <c r="I1030" s="5"/>
    </row>
    <row r="1031" spans="1:9">
      <c r="A1031" s="5">
        <v>94602</v>
      </c>
      <c r="B1031" s="5">
        <v>41</v>
      </c>
      <c r="C1031" s="5">
        <v>6</v>
      </c>
      <c r="D1031" s="5">
        <v>5</v>
      </c>
      <c r="E1031" s="5">
        <v>1</v>
      </c>
      <c r="F1031" s="5">
        <v>11</v>
      </c>
      <c r="G1031" s="5">
        <v>9</v>
      </c>
      <c r="H1031" s="5">
        <v>9</v>
      </c>
      <c r="I1031" s="5"/>
    </row>
    <row r="1032" spans="1:9">
      <c r="A1032" s="5">
        <v>94603</v>
      </c>
      <c r="B1032" s="5">
        <v>37</v>
      </c>
      <c r="C1032" s="5">
        <v>3</v>
      </c>
      <c r="D1032" s="5">
        <v>7</v>
      </c>
      <c r="E1032" s="5">
        <v>2</v>
      </c>
      <c r="F1032" s="5">
        <v>11</v>
      </c>
      <c r="G1032" s="5">
        <v>2</v>
      </c>
      <c r="H1032" s="5">
        <v>12</v>
      </c>
      <c r="I1032" s="5"/>
    </row>
    <row r="1033" spans="1:9">
      <c r="A1033" s="5">
        <v>94605</v>
      </c>
      <c r="B1033" s="5">
        <v>69</v>
      </c>
      <c r="C1033" s="5">
        <v>12</v>
      </c>
      <c r="D1033" s="5">
        <v>12</v>
      </c>
      <c r="E1033" s="5">
        <v>6</v>
      </c>
      <c r="F1033" s="5">
        <v>15</v>
      </c>
      <c r="G1033" s="5">
        <v>11</v>
      </c>
      <c r="H1033" s="5">
        <v>13</v>
      </c>
      <c r="I1033" s="5"/>
    </row>
    <row r="1034" spans="1:9">
      <c r="A1034" s="5">
        <v>94606</v>
      </c>
      <c r="B1034" s="5">
        <v>79</v>
      </c>
      <c r="C1034" s="5">
        <v>9</v>
      </c>
      <c r="D1034" s="5">
        <v>14</v>
      </c>
      <c r="E1034" s="5">
        <v>8</v>
      </c>
      <c r="F1034" s="5">
        <v>14</v>
      </c>
      <c r="G1034" s="5">
        <v>13</v>
      </c>
      <c r="H1034" s="5">
        <v>21</v>
      </c>
      <c r="I1034" s="5"/>
    </row>
    <row r="1035" spans="1:9">
      <c r="A1035" s="5">
        <v>94607</v>
      </c>
      <c r="B1035" s="5">
        <v>71</v>
      </c>
      <c r="C1035" s="5">
        <v>13</v>
      </c>
      <c r="D1035" s="5">
        <v>11</v>
      </c>
      <c r="E1035" s="5">
        <v>2</v>
      </c>
      <c r="F1035" s="5">
        <v>14</v>
      </c>
      <c r="G1035" s="5">
        <v>15</v>
      </c>
      <c r="H1035" s="5">
        <v>16</v>
      </c>
      <c r="I1035" s="5"/>
    </row>
    <row r="1036" spans="1:9">
      <c r="A1036" s="5">
        <v>94608</v>
      </c>
      <c r="B1036" s="5">
        <v>80</v>
      </c>
      <c r="C1036" s="5">
        <v>7</v>
      </c>
      <c r="D1036" s="5">
        <v>10</v>
      </c>
      <c r="E1036" s="5">
        <v>10</v>
      </c>
      <c r="F1036" s="5">
        <v>16</v>
      </c>
      <c r="G1036" s="5">
        <v>17</v>
      </c>
      <c r="H1036" s="5">
        <v>20</v>
      </c>
      <c r="I1036" s="5"/>
    </row>
    <row r="1037" spans="1:9">
      <c r="A1037" s="5">
        <v>94609</v>
      </c>
      <c r="B1037" s="5">
        <v>46</v>
      </c>
      <c r="C1037" s="5">
        <v>7</v>
      </c>
      <c r="D1037" s="5">
        <v>7</v>
      </c>
      <c r="E1037" s="5">
        <v>3</v>
      </c>
      <c r="F1037" s="5">
        <v>11</v>
      </c>
      <c r="G1037" s="5">
        <v>9</v>
      </c>
      <c r="H1037" s="5">
        <v>9</v>
      </c>
      <c r="I1037" s="5"/>
    </row>
    <row r="1038" spans="1:9">
      <c r="A1038" s="5">
        <v>94610</v>
      </c>
      <c r="B1038" s="5">
        <v>47</v>
      </c>
      <c r="C1038" s="5">
        <v>4</v>
      </c>
      <c r="D1038" s="5">
        <v>4</v>
      </c>
      <c r="E1038" s="5">
        <v>8</v>
      </c>
      <c r="F1038" s="5">
        <v>10</v>
      </c>
      <c r="G1038" s="5">
        <v>13</v>
      </c>
      <c r="H1038" s="5">
        <v>8</v>
      </c>
      <c r="I1038" s="5"/>
    </row>
    <row r="1039" spans="1:9">
      <c r="A1039" s="5">
        <v>94611</v>
      </c>
      <c r="B1039" s="5">
        <v>66</v>
      </c>
      <c r="C1039" s="5">
        <v>14</v>
      </c>
      <c r="D1039" s="5">
        <v>5</v>
      </c>
      <c r="E1039" s="5">
        <v>9</v>
      </c>
      <c r="F1039" s="5">
        <v>17</v>
      </c>
      <c r="G1039" s="5">
        <v>9</v>
      </c>
      <c r="H1039" s="5">
        <v>12</v>
      </c>
      <c r="I1039" s="5"/>
    </row>
    <row r="1040" spans="1:9">
      <c r="A1040" s="5">
        <v>94612</v>
      </c>
      <c r="B1040" s="5">
        <v>102</v>
      </c>
      <c r="C1040" s="5">
        <v>19</v>
      </c>
      <c r="D1040" s="5">
        <v>16</v>
      </c>
      <c r="E1040" s="5">
        <v>12</v>
      </c>
      <c r="F1040" s="5">
        <v>17</v>
      </c>
      <c r="G1040" s="5">
        <v>8</v>
      </c>
      <c r="H1040" s="5">
        <v>30</v>
      </c>
      <c r="I1040" s="5"/>
    </row>
    <row r="1041" spans="1:9">
      <c r="A1041" s="5">
        <v>94618</v>
      </c>
      <c r="B1041" s="5">
        <v>29</v>
      </c>
      <c r="C1041" s="5">
        <v>5</v>
      </c>
      <c r="D1041" s="5">
        <v>5</v>
      </c>
      <c r="E1041" s="5">
        <v>1</v>
      </c>
      <c r="F1041" s="5">
        <v>6</v>
      </c>
      <c r="G1041" s="5">
        <v>5</v>
      </c>
      <c r="H1041" s="5">
        <v>7</v>
      </c>
      <c r="I1041" s="5"/>
    </row>
    <row r="1042" spans="1:9">
      <c r="A1042" s="5">
        <v>94619</v>
      </c>
      <c r="B1042" s="5">
        <v>52</v>
      </c>
      <c r="C1042" s="5">
        <v>3</v>
      </c>
      <c r="D1042" s="5">
        <v>6</v>
      </c>
      <c r="E1042" s="5">
        <v>8</v>
      </c>
      <c r="F1042" s="5">
        <v>20</v>
      </c>
      <c r="G1042" s="5">
        <v>7</v>
      </c>
      <c r="H1042" s="5">
        <v>8</v>
      </c>
      <c r="I1042" s="5"/>
    </row>
    <row r="1043" spans="1:9">
      <c r="A1043" s="5">
        <v>94621</v>
      </c>
      <c r="B1043" s="5">
        <v>41</v>
      </c>
      <c r="C1043" s="5">
        <v>5</v>
      </c>
      <c r="D1043" s="5">
        <v>4</v>
      </c>
      <c r="E1043" s="5">
        <v>6</v>
      </c>
      <c r="F1043" s="5">
        <v>9</v>
      </c>
      <c r="G1043" s="5">
        <v>4</v>
      </c>
      <c r="H1043" s="5">
        <v>13</v>
      </c>
      <c r="I1043" s="5"/>
    </row>
    <row r="1044" spans="1:9">
      <c r="A1044" s="5">
        <v>94702</v>
      </c>
      <c r="B1044" s="5">
        <v>25</v>
      </c>
      <c r="C1044" s="5">
        <v>3</v>
      </c>
      <c r="D1044" s="5">
        <v>4</v>
      </c>
      <c r="E1044" s="5">
        <v>2</v>
      </c>
      <c r="F1044" s="5">
        <v>5</v>
      </c>
      <c r="G1044" s="5">
        <v>5</v>
      </c>
      <c r="H1044" s="5">
        <v>6</v>
      </c>
      <c r="I1044" s="5"/>
    </row>
    <row r="1045" spans="1:9">
      <c r="A1045" s="5">
        <v>94703</v>
      </c>
      <c r="B1045" s="5">
        <v>42</v>
      </c>
      <c r="C1045" s="5">
        <v>5</v>
      </c>
      <c r="D1045" s="5">
        <v>4</v>
      </c>
      <c r="E1045" s="5">
        <v>4</v>
      </c>
      <c r="F1045" s="5">
        <v>11</v>
      </c>
      <c r="G1045" s="5">
        <v>5</v>
      </c>
      <c r="H1045" s="5">
        <v>13</v>
      </c>
      <c r="I1045" s="5"/>
    </row>
    <row r="1046" spans="1:9">
      <c r="A1046" s="5">
        <v>94704</v>
      </c>
      <c r="B1046" s="5">
        <v>35</v>
      </c>
      <c r="C1046" s="5">
        <v>7</v>
      </c>
      <c r="D1046" s="5">
        <v>6</v>
      </c>
      <c r="E1046" s="5">
        <v>1</v>
      </c>
      <c r="F1046" s="5">
        <v>8</v>
      </c>
      <c r="G1046" s="5">
        <v>7</v>
      </c>
      <c r="H1046" s="5">
        <v>6</v>
      </c>
      <c r="I1046" s="5"/>
    </row>
    <row r="1047" spans="1:9">
      <c r="A1047" s="5">
        <v>94705</v>
      </c>
      <c r="B1047" s="5">
        <v>19</v>
      </c>
      <c r="C1047" s="5">
        <v>8</v>
      </c>
      <c r="D1047" s="5">
        <v>3</v>
      </c>
      <c r="E1047" s="5">
        <v>2</v>
      </c>
      <c r="F1047" s="5" t="s">
        <v>177</v>
      </c>
      <c r="G1047" s="5">
        <v>2</v>
      </c>
      <c r="H1047" s="5">
        <v>4</v>
      </c>
      <c r="I1047" s="5"/>
    </row>
    <row r="1048" spans="1:9">
      <c r="A1048" s="5">
        <v>94706</v>
      </c>
      <c r="B1048" s="5">
        <v>33</v>
      </c>
      <c r="C1048" s="5">
        <v>1</v>
      </c>
      <c r="D1048" s="5">
        <v>3</v>
      </c>
      <c r="E1048" s="5">
        <v>3</v>
      </c>
      <c r="F1048" s="5">
        <v>14</v>
      </c>
      <c r="G1048" s="5">
        <v>5</v>
      </c>
      <c r="H1048" s="5">
        <v>7</v>
      </c>
      <c r="I1048" s="5"/>
    </row>
    <row r="1049" spans="1:9">
      <c r="A1049" s="5">
        <v>94707</v>
      </c>
      <c r="B1049" s="5">
        <v>23</v>
      </c>
      <c r="C1049" s="5">
        <v>5</v>
      </c>
      <c r="D1049" s="5">
        <v>5</v>
      </c>
      <c r="E1049" s="5">
        <v>2</v>
      </c>
      <c r="F1049" s="5">
        <v>5</v>
      </c>
      <c r="G1049" s="5">
        <v>1</v>
      </c>
      <c r="H1049" s="5">
        <v>5</v>
      </c>
      <c r="I1049" s="5"/>
    </row>
    <row r="1050" spans="1:9">
      <c r="A1050" s="5">
        <v>94708</v>
      </c>
      <c r="B1050" s="5">
        <v>11</v>
      </c>
      <c r="C1050" s="5">
        <v>1</v>
      </c>
      <c r="D1050" s="5">
        <v>1</v>
      </c>
      <c r="E1050" s="5">
        <v>1</v>
      </c>
      <c r="F1050" s="5">
        <v>3</v>
      </c>
      <c r="G1050" s="5">
        <v>2</v>
      </c>
      <c r="H1050" s="5">
        <v>3</v>
      </c>
      <c r="I1050" s="5"/>
    </row>
    <row r="1051" spans="1:9">
      <c r="A1051" s="5">
        <v>94709</v>
      </c>
      <c r="B1051" s="5">
        <v>11</v>
      </c>
      <c r="C1051" s="5">
        <v>1</v>
      </c>
      <c r="D1051" s="5">
        <v>1</v>
      </c>
      <c r="E1051" s="5" t="s">
        <v>177</v>
      </c>
      <c r="F1051" s="5">
        <v>3</v>
      </c>
      <c r="G1051" s="5" t="s">
        <v>177</v>
      </c>
      <c r="H1051" s="5">
        <v>6</v>
      </c>
      <c r="I1051" s="5"/>
    </row>
    <row r="1052" spans="1:9">
      <c r="A1052" s="5">
        <v>94710</v>
      </c>
      <c r="B1052" s="5">
        <v>17</v>
      </c>
      <c r="C1052" s="5">
        <v>4</v>
      </c>
      <c r="D1052" s="5">
        <v>2</v>
      </c>
      <c r="E1052" s="5">
        <v>1</v>
      </c>
      <c r="F1052" s="5">
        <v>3</v>
      </c>
      <c r="G1052" s="5">
        <v>4</v>
      </c>
      <c r="H1052" s="5">
        <v>3</v>
      </c>
      <c r="I1052" s="5"/>
    </row>
    <row r="1053" spans="1:9">
      <c r="A1053" s="5">
        <v>94720</v>
      </c>
      <c r="B1053" s="5">
        <v>4</v>
      </c>
      <c r="C1053" s="5">
        <v>2</v>
      </c>
      <c r="D1053" s="5">
        <v>1</v>
      </c>
      <c r="E1053" s="5" t="s">
        <v>177</v>
      </c>
      <c r="F1053" s="5" t="s">
        <v>177</v>
      </c>
      <c r="G1053" s="5">
        <v>1</v>
      </c>
      <c r="H1053" s="5" t="s">
        <v>177</v>
      </c>
      <c r="I1053" s="5"/>
    </row>
    <row r="1054" spans="1:9">
      <c r="A1054" s="5">
        <v>94801</v>
      </c>
      <c r="B1054" s="5">
        <v>53</v>
      </c>
      <c r="C1054" s="5">
        <v>12</v>
      </c>
      <c r="D1054" s="5">
        <v>6</v>
      </c>
      <c r="E1054" s="5">
        <v>8</v>
      </c>
      <c r="F1054" s="5">
        <v>6</v>
      </c>
      <c r="G1054" s="5">
        <v>8</v>
      </c>
      <c r="H1054" s="5">
        <v>13</v>
      </c>
      <c r="I1054" s="5"/>
    </row>
    <row r="1055" spans="1:9">
      <c r="A1055" s="5">
        <v>94803</v>
      </c>
      <c r="B1055" s="5">
        <v>53</v>
      </c>
      <c r="C1055" s="5">
        <v>4</v>
      </c>
      <c r="D1055" s="5">
        <v>11</v>
      </c>
      <c r="E1055" s="5">
        <v>2</v>
      </c>
      <c r="F1055" s="5">
        <v>16</v>
      </c>
      <c r="G1055" s="5">
        <v>9</v>
      </c>
      <c r="H1055" s="5">
        <v>11</v>
      </c>
      <c r="I1055" s="5"/>
    </row>
    <row r="1056" spans="1:9">
      <c r="A1056" s="5">
        <v>94804</v>
      </c>
      <c r="B1056" s="5">
        <v>67</v>
      </c>
      <c r="C1056" s="5">
        <v>13</v>
      </c>
      <c r="D1056" s="5">
        <v>9</v>
      </c>
      <c r="E1056" s="5">
        <v>10</v>
      </c>
      <c r="F1056" s="5">
        <v>16</v>
      </c>
      <c r="G1056" s="5">
        <v>8</v>
      </c>
      <c r="H1056" s="5">
        <v>11</v>
      </c>
      <c r="I1056" s="5"/>
    </row>
    <row r="1057" spans="1:9">
      <c r="A1057" s="5">
        <v>94805</v>
      </c>
      <c r="B1057" s="5">
        <v>49</v>
      </c>
      <c r="C1057" s="5">
        <v>5</v>
      </c>
      <c r="D1057" s="5">
        <v>6</v>
      </c>
      <c r="E1057" s="5">
        <v>5</v>
      </c>
      <c r="F1057" s="5">
        <v>9</v>
      </c>
      <c r="G1057" s="5">
        <v>1</v>
      </c>
      <c r="H1057" s="5">
        <v>23</v>
      </c>
      <c r="I1057" s="5"/>
    </row>
    <row r="1058" spans="1:9">
      <c r="A1058" s="5">
        <v>94806</v>
      </c>
      <c r="B1058" s="5">
        <v>108</v>
      </c>
      <c r="C1058" s="5">
        <v>17</v>
      </c>
      <c r="D1058" s="5">
        <v>20</v>
      </c>
      <c r="E1058" s="5">
        <v>10</v>
      </c>
      <c r="F1058" s="5">
        <v>15</v>
      </c>
      <c r="G1058" s="5">
        <v>21</v>
      </c>
      <c r="H1058" s="5">
        <v>25</v>
      </c>
      <c r="I1058" s="5"/>
    </row>
    <row r="1059" spans="1:9">
      <c r="A1059" s="5">
        <v>94901</v>
      </c>
      <c r="B1059" s="5">
        <v>94</v>
      </c>
      <c r="C1059" s="5">
        <v>16</v>
      </c>
      <c r="D1059" s="5">
        <v>13</v>
      </c>
      <c r="E1059" s="5">
        <v>17</v>
      </c>
      <c r="F1059" s="5">
        <v>17</v>
      </c>
      <c r="G1059" s="5">
        <v>15</v>
      </c>
      <c r="H1059" s="5">
        <v>16</v>
      </c>
      <c r="I1059" s="5"/>
    </row>
    <row r="1060" spans="1:9">
      <c r="A1060" s="5">
        <v>94903</v>
      </c>
      <c r="B1060" s="5">
        <v>77</v>
      </c>
      <c r="C1060" s="5">
        <v>15</v>
      </c>
      <c r="D1060" s="5">
        <v>13</v>
      </c>
      <c r="E1060" s="5">
        <v>11</v>
      </c>
      <c r="F1060" s="5">
        <v>13</v>
      </c>
      <c r="G1060" s="5">
        <v>10</v>
      </c>
      <c r="H1060" s="5">
        <v>15</v>
      </c>
      <c r="I1060" s="5"/>
    </row>
    <row r="1061" spans="1:9">
      <c r="A1061" s="5">
        <v>94904</v>
      </c>
      <c r="B1061" s="5">
        <v>30</v>
      </c>
      <c r="C1061" s="5">
        <v>5</v>
      </c>
      <c r="D1061" s="5">
        <v>4</v>
      </c>
      <c r="E1061" s="5">
        <v>3</v>
      </c>
      <c r="F1061" s="5">
        <v>2</v>
      </c>
      <c r="G1061" s="5">
        <v>6</v>
      </c>
      <c r="H1061" s="5">
        <v>10</v>
      </c>
      <c r="I1061" s="5"/>
    </row>
    <row r="1062" spans="1:9">
      <c r="A1062" s="5">
        <v>94920</v>
      </c>
      <c r="B1062" s="5">
        <v>14</v>
      </c>
      <c r="C1062" s="5">
        <v>3</v>
      </c>
      <c r="D1062" s="5">
        <v>3</v>
      </c>
      <c r="E1062" s="5">
        <v>2</v>
      </c>
      <c r="F1062" s="5" t="s">
        <v>177</v>
      </c>
      <c r="G1062" s="5">
        <v>2</v>
      </c>
      <c r="H1062" s="5">
        <v>4</v>
      </c>
      <c r="I1062" s="5"/>
    </row>
    <row r="1063" spans="1:9">
      <c r="A1063" s="5">
        <v>94925</v>
      </c>
      <c r="B1063" s="5">
        <v>22</v>
      </c>
      <c r="C1063" s="5">
        <v>3</v>
      </c>
      <c r="D1063" s="5">
        <v>2</v>
      </c>
      <c r="E1063" s="5">
        <v>4</v>
      </c>
      <c r="F1063" s="5">
        <v>5</v>
      </c>
      <c r="G1063" s="5">
        <v>3</v>
      </c>
      <c r="H1063" s="5">
        <v>5</v>
      </c>
      <c r="I1063" s="5"/>
    </row>
    <row r="1064" spans="1:9">
      <c r="A1064" s="5">
        <v>94930</v>
      </c>
      <c r="B1064" s="5">
        <v>11</v>
      </c>
      <c r="C1064" s="5">
        <v>2</v>
      </c>
      <c r="D1064" s="5" t="s">
        <v>177</v>
      </c>
      <c r="E1064" s="5">
        <v>2</v>
      </c>
      <c r="F1064" s="5">
        <v>3</v>
      </c>
      <c r="G1064" s="5">
        <v>1</v>
      </c>
      <c r="H1064" s="5">
        <v>3</v>
      </c>
      <c r="I1064" s="5"/>
    </row>
    <row r="1065" spans="1:9">
      <c r="A1065" s="5">
        <v>94939</v>
      </c>
      <c r="B1065" s="5">
        <v>19</v>
      </c>
      <c r="C1065" s="5" t="s">
        <v>177</v>
      </c>
      <c r="D1065" s="5">
        <v>3</v>
      </c>
      <c r="E1065" s="5">
        <v>3</v>
      </c>
      <c r="F1065" s="5">
        <v>4</v>
      </c>
      <c r="G1065" s="5">
        <v>4</v>
      </c>
      <c r="H1065" s="5">
        <v>5</v>
      </c>
      <c r="I1065" s="5"/>
    </row>
    <row r="1066" spans="1:9">
      <c r="A1066" s="5">
        <v>94941</v>
      </c>
      <c r="B1066" s="5">
        <v>74</v>
      </c>
      <c r="C1066" s="5">
        <v>8</v>
      </c>
      <c r="D1066" s="5">
        <v>13</v>
      </c>
      <c r="E1066" s="5">
        <v>2</v>
      </c>
      <c r="F1066" s="5">
        <v>12</v>
      </c>
      <c r="G1066" s="5">
        <v>18</v>
      </c>
      <c r="H1066" s="5">
        <v>21</v>
      </c>
      <c r="I1066" s="5"/>
    </row>
    <row r="1067" spans="1:9">
      <c r="A1067" s="5">
        <v>94945</v>
      </c>
      <c r="B1067" s="5">
        <v>47</v>
      </c>
      <c r="C1067" s="5">
        <v>3</v>
      </c>
      <c r="D1067" s="5">
        <v>11</v>
      </c>
      <c r="E1067" s="5">
        <v>5</v>
      </c>
      <c r="F1067" s="5">
        <v>8</v>
      </c>
      <c r="G1067" s="5">
        <v>9</v>
      </c>
      <c r="H1067" s="5">
        <v>11</v>
      </c>
      <c r="I1067" s="5"/>
    </row>
    <row r="1068" spans="1:9">
      <c r="A1068" s="5">
        <v>94947</v>
      </c>
      <c r="B1068" s="5">
        <v>67</v>
      </c>
      <c r="C1068" s="5">
        <v>12</v>
      </c>
      <c r="D1068" s="5">
        <v>6</v>
      </c>
      <c r="E1068" s="5">
        <v>11</v>
      </c>
      <c r="F1068" s="5">
        <v>11</v>
      </c>
      <c r="G1068" s="5">
        <v>17</v>
      </c>
      <c r="H1068" s="5">
        <v>10</v>
      </c>
      <c r="I1068" s="5"/>
    </row>
    <row r="1069" spans="1:9">
      <c r="A1069" s="5">
        <v>94949</v>
      </c>
      <c r="B1069" s="5">
        <v>24</v>
      </c>
      <c r="C1069" s="5">
        <v>3</v>
      </c>
      <c r="D1069" s="5">
        <v>4</v>
      </c>
      <c r="E1069" s="5">
        <v>1</v>
      </c>
      <c r="F1069" s="5">
        <v>6</v>
      </c>
      <c r="G1069" s="5">
        <v>3</v>
      </c>
      <c r="H1069" s="5">
        <v>7</v>
      </c>
      <c r="I1069" s="5"/>
    </row>
    <row r="1070" spans="1:9">
      <c r="A1070" s="5">
        <v>94957</v>
      </c>
      <c r="B1070" s="5">
        <v>2</v>
      </c>
      <c r="C1070" s="5">
        <v>1</v>
      </c>
      <c r="D1070" s="5">
        <v>1</v>
      </c>
      <c r="E1070" s="5" t="s">
        <v>177</v>
      </c>
      <c r="F1070" s="5" t="s">
        <v>177</v>
      </c>
      <c r="G1070" s="5" t="s">
        <v>177</v>
      </c>
      <c r="H1070" s="5" t="s">
        <v>177</v>
      </c>
      <c r="I1070" s="5"/>
    </row>
    <row r="1071" spans="1:9">
      <c r="A1071" s="5">
        <v>94960</v>
      </c>
      <c r="B1071" s="5">
        <v>24</v>
      </c>
      <c r="C1071" s="5">
        <v>5</v>
      </c>
      <c r="D1071" s="5">
        <v>2</v>
      </c>
      <c r="E1071" s="5">
        <v>2</v>
      </c>
      <c r="F1071" s="5">
        <v>6</v>
      </c>
      <c r="G1071" s="5">
        <v>4</v>
      </c>
      <c r="H1071" s="5">
        <v>5</v>
      </c>
      <c r="I1071" s="5"/>
    </row>
    <row r="1072" spans="1:9">
      <c r="A1072" s="5">
        <v>94965</v>
      </c>
      <c r="B1072" s="5">
        <v>21</v>
      </c>
      <c r="C1072" s="5">
        <v>4</v>
      </c>
      <c r="D1072" s="5">
        <v>2</v>
      </c>
      <c r="E1072" s="5">
        <v>2</v>
      </c>
      <c r="F1072" s="5">
        <v>3</v>
      </c>
      <c r="G1072" s="5">
        <v>4</v>
      </c>
      <c r="H1072" s="5">
        <v>6</v>
      </c>
      <c r="I1072" s="5"/>
    </row>
    <row r="1073" spans="1:9">
      <c r="A1073" s="5">
        <v>95002</v>
      </c>
      <c r="B1073" s="5">
        <v>1</v>
      </c>
      <c r="C1073" s="5" t="s">
        <v>177</v>
      </c>
      <c r="D1073" s="5" t="s">
        <v>177</v>
      </c>
      <c r="E1073" s="5">
        <v>1</v>
      </c>
      <c r="F1073" s="5" t="s">
        <v>177</v>
      </c>
      <c r="G1073" s="5" t="s">
        <v>177</v>
      </c>
      <c r="H1073" s="5" t="s">
        <v>177</v>
      </c>
      <c r="I1073" s="5"/>
    </row>
    <row r="1074" spans="1:9">
      <c r="A1074" s="5">
        <v>95003</v>
      </c>
      <c r="B1074" s="5">
        <v>60</v>
      </c>
      <c r="C1074" s="5">
        <v>12</v>
      </c>
      <c r="D1074" s="5">
        <v>13</v>
      </c>
      <c r="E1074" s="5">
        <v>11</v>
      </c>
      <c r="F1074" s="5">
        <v>8</v>
      </c>
      <c r="G1074" s="5">
        <v>8</v>
      </c>
      <c r="H1074" s="5">
        <v>8</v>
      </c>
      <c r="I1074" s="5"/>
    </row>
    <row r="1075" spans="1:9">
      <c r="A1075" s="5">
        <v>95005</v>
      </c>
      <c r="B1075" s="5">
        <v>26</v>
      </c>
      <c r="C1075" s="5">
        <v>2</v>
      </c>
      <c r="D1075" s="5" t="s">
        <v>177</v>
      </c>
      <c r="E1075" s="5">
        <v>7</v>
      </c>
      <c r="F1075" s="5">
        <v>5</v>
      </c>
      <c r="G1075" s="5">
        <v>7</v>
      </c>
      <c r="H1075" s="5">
        <v>5</v>
      </c>
      <c r="I1075" s="5"/>
    </row>
    <row r="1076" spans="1:9">
      <c r="A1076" s="5">
        <v>95008</v>
      </c>
      <c r="B1076" s="5">
        <v>109</v>
      </c>
      <c r="C1076" s="5">
        <v>13</v>
      </c>
      <c r="D1076" s="5">
        <v>18</v>
      </c>
      <c r="E1076" s="5">
        <v>13</v>
      </c>
      <c r="F1076" s="5">
        <v>24</v>
      </c>
      <c r="G1076" s="5">
        <v>14</v>
      </c>
      <c r="H1076" s="5">
        <v>27</v>
      </c>
      <c r="I1076" s="5"/>
    </row>
    <row r="1077" spans="1:9">
      <c r="A1077" s="5">
        <v>95010</v>
      </c>
      <c r="B1077" s="5">
        <v>20</v>
      </c>
      <c r="C1077" s="5">
        <v>5</v>
      </c>
      <c r="D1077" s="5">
        <v>4</v>
      </c>
      <c r="E1077" s="5">
        <v>3</v>
      </c>
      <c r="F1077" s="5">
        <v>3</v>
      </c>
      <c r="G1077" s="5">
        <v>2</v>
      </c>
      <c r="H1077" s="5">
        <v>3</v>
      </c>
      <c r="I1077" s="5"/>
    </row>
    <row r="1078" spans="1:9">
      <c r="A1078" s="5">
        <v>95012</v>
      </c>
      <c r="B1078" s="5">
        <v>63</v>
      </c>
      <c r="C1078" s="5">
        <v>11</v>
      </c>
      <c r="D1078" s="5">
        <v>12</v>
      </c>
      <c r="E1078" s="5">
        <v>11</v>
      </c>
      <c r="F1078" s="5">
        <v>3</v>
      </c>
      <c r="G1078" s="5">
        <v>14</v>
      </c>
      <c r="H1078" s="5">
        <v>12</v>
      </c>
      <c r="I1078" s="5"/>
    </row>
    <row r="1079" spans="1:9">
      <c r="A1079" s="5">
        <v>95014</v>
      </c>
      <c r="B1079" s="5">
        <v>126</v>
      </c>
      <c r="C1079" s="5">
        <v>25</v>
      </c>
      <c r="D1079" s="5">
        <v>14</v>
      </c>
      <c r="E1079" s="5">
        <v>14</v>
      </c>
      <c r="F1079" s="5">
        <v>26</v>
      </c>
      <c r="G1079" s="5">
        <v>18</v>
      </c>
      <c r="H1079" s="5">
        <v>29</v>
      </c>
      <c r="I1079" s="5"/>
    </row>
    <row r="1080" spans="1:9">
      <c r="A1080" s="5">
        <v>95018</v>
      </c>
      <c r="B1080" s="5">
        <v>17</v>
      </c>
      <c r="C1080" s="5">
        <v>3</v>
      </c>
      <c r="D1080" s="5">
        <v>3</v>
      </c>
      <c r="E1080" s="5">
        <v>2</v>
      </c>
      <c r="F1080" s="5">
        <v>6</v>
      </c>
      <c r="G1080" s="5">
        <v>2</v>
      </c>
      <c r="H1080" s="5">
        <v>1</v>
      </c>
      <c r="I1080" s="5"/>
    </row>
    <row r="1081" spans="1:9">
      <c r="A1081" s="5">
        <v>95019</v>
      </c>
      <c r="B1081" s="5">
        <v>26</v>
      </c>
      <c r="C1081" s="5">
        <v>5</v>
      </c>
      <c r="D1081" s="5">
        <v>3</v>
      </c>
      <c r="E1081" s="5">
        <v>4</v>
      </c>
      <c r="F1081" s="5" t="s">
        <v>177</v>
      </c>
      <c r="G1081" s="5">
        <v>2</v>
      </c>
      <c r="H1081" s="5">
        <v>12</v>
      </c>
      <c r="I1081" s="5"/>
    </row>
    <row r="1082" spans="1:9">
      <c r="A1082" s="5">
        <v>95020</v>
      </c>
      <c r="B1082" s="5">
        <v>95</v>
      </c>
      <c r="C1082" s="5">
        <v>12</v>
      </c>
      <c r="D1082" s="5">
        <v>13</v>
      </c>
      <c r="E1082" s="5">
        <v>8</v>
      </c>
      <c r="F1082" s="5">
        <v>16</v>
      </c>
      <c r="G1082" s="5">
        <v>15</v>
      </c>
      <c r="H1082" s="5">
        <v>31</v>
      </c>
      <c r="I1082" s="5"/>
    </row>
    <row r="1083" spans="1:9">
      <c r="A1083" s="5">
        <v>95023</v>
      </c>
      <c r="B1083" s="5">
        <v>82</v>
      </c>
      <c r="C1083" s="5">
        <v>5</v>
      </c>
      <c r="D1083" s="5">
        <v>14</v>
      </c>
      <c r="E1083" s="5">
        <v>11</v>
      </c>
      <c r="F1083" s="5">
        <v>21</v>
      </c>
      <c r="G1083" s="5">
        <v>10</v>
      </c>
      <c r="H1083" s="5">
        <v>21</v>
      </c>
      <c r="I1083" s="5"/>
    </row>
    <row r="1084" spans="1:9">
      <c r="A1084" s="5">
        <v>95030</v>
      </c>
      <c r="B1084" s="5">
        <v>11</v>
      </c>
      <c r="C1084" s="5">
        <v>2</v>
      </c>
      <c r="D1084" s="5">
        <v>1</v>
      </c>
      <c r="E1084" s="5">
        <v>1</v>
      </c>
      <c r="F1084" s="5">
        <v>4</v>
      </c>
      <c r="G1084" s="5">
        <v>1</v>
      </c>
      <c r="H1084" s="5">
        <v>2</v>
      </c>
      <c r="I1084" s="5"/>
    </row>
    <row r="1085" spans="1:9">
      <c r="A1085" s="5">
        <v>95032</v>
      </c>
      <c r="B1085" s="5">
        <v>55</v>
      </c>
      <c r="C1085" s="5">
        <v>11</v>
      </c>
      <c r="D1085" s="5">
        <v>10</v>
      </c>
      <c r="E1085" s="5">
        <v>3</v>
      </c>
      <c r="F1085" s="5">
        <v>11</v>
      </c>
      <c r="G1085" s="5">
        <v>8</v>
      </c>
      <c r="H1085" s="5">
        <v>12</v>
      </c>
      <c r="I1085" s="5"/>
    </row>
    <row r="1086" spans="1:9">
      <c r="A1086" s="5">
        <v>95035</v>
      </c>
      <c r="B1086" s="5">
        <v>214</v>
      </c>
      <c r="C1086" s="5">
        <v>48</v>
      </c>
      <c r="D1086" s="5">
        <v>39</v>
      </c>
      <c r="E1086" s="5">
        <v>16</v>
      </c>
      <c r="F1086" s="5">
        <v>54</v>
      </c>
      <c r="G1086" s="5">
        <v>14</v>
      </c>
      <c r="H1086" s="5">
        <v>43</v>
      </c>
      <c r="I1086" s="5"/>
    </row>
    <row r="1087" spans="1:9">
      <c r="A1087" s="5">
        <v>95037</v>
      </c>
      <c r="B1087" s="5">
        <v>123</v>
      </c>
      <c r="C1087" s="5">
        <v>17</v>
      </c>
      <c r="D1087" s="5">
        <v>23</v>
      </c>
      <c r="E1087" s="5">
        <v>8</v>
      </c>
      <c r="F1087" s="5">
        <v>25</v>
      </c>
      <c r="G1087" s="5">
        <v>18</v>
      </c>
      <c r="H1087" s="5">
        <v>32</v>
      </c>
      <c r="I1087" s="5"/>
    </row>
    <row r="1088" spans="1:9">
      <c r="A1088" s="5">
        <v>95039</v>
      </c>
      <c r="B1088" s="5">
        <v>12</v>
      </c>
      <c r="C1088" s="5">
        <v>2</v>
      </c>
      <c r="D1088" s="5" t="s">
        <v>177</v>
      </c>
      <c r="E1088" s="5" t="s">
        <v>177</v>
      </c>
      <c r="F1088" s="5">
        <v>2</v>
      </c>
      <c r="G1088" s="5">
        <v>2</v>
      </c>
      <c r="H1088" s="5">
        <v>6</v>
      </c>
      <c r="I1088" s="5"/>
    </row>
    <row r="1089" spans="1:9">
      <c r="A1089" s="5">
        <v>95050</v>
      </c>
      <c r="B1089" s="5">
        <v>81</v>
      </c>
      <c r="C1089" s="5">
        <v>15</v>
      </c>
      <c r="D1089" s="5">
        <v>5</v>
      </c>
      <c r="E1089" s="5">
        <v>9</v>
      </c>
      <c r="F1089" s="5">
        <v>15</v>
      </c>
      <c r="G1089" s="5">
        <v>13</v>
      </c>
      <c r="H1089" s="5">
        <v>24</v>
      </c>
      <c r="I1089" s="5"/>
    </row>
    <row r="1090" spans="1:9">
      <c r="A1090" s="5">
        <v>95051</v>
      </c>
      <c r="B1090" s="5">
        <v>100</v>
      </c>
      <c r="C1090" s="5">
        <v>11</v>
      </c>
      <c r="D1090" s="5">
        <v>19</v>
      </c>
      <c r="E1090" s="5">
        <v>8</v>
      </c>
      <c r="F1090" s="5">
        <v>24</v>
      </c>
      <c r="G1090" s="5">
        <v>11</v>
      </c>
      <c r="H1090" s="5">
        <v>27</v>
      </c>
      <c r="I1090" s="5"/>
    </row>
    <row r="1091" spans="1:9">
      <c r="A1091" s="5">
        <v>95054</v>
      </c>
      <c r="B1091" s="5">
        <v>80</v>
      </c>
      <c r="C1091" s="5">
        <v>13</v>
      </c>
      <c r="D1091" s="5">
        <v>10</v>
      </c>
      <c r="E1091" s="5">
        <v>8</v>
      </c>
      <c r="F1091" s="5">
        <v>12</v>
      </c>
      <c r="G1091" s="5">
        <v>9</v>
      </c>
      <c r="H1091" s="5">
        <v>28</v>
      </c>
      <c r="I1091" s="5"/>
    </row>
    <row r="1092" spans="1:9">
      <c r="A1092" s="5">
        <v>95060</v>
      </c>
      <c r="B1092" s="5">
        <v>212</v>
      </c>
      <c r="C1092" s="5">
        <v>39</v>
      </c>
      <c r="D1092" s="5">
        <v>29</v>
      </c>
      <c r="E1092" s="5">
        <v>36</v>
      </c>
      <c r="F1092" s="5">
        <v>23</v>
      </c>
      <c r="G1092" s="5">
        <v>31</v>
      </c>
      <c r="H1092" s="5">
        <v>54</v>
      </c>
      <c r="I1092" s="5"/>
    </row>
    <row r="1093" spans="1:9">
      <c r="A1093" s="5">
        <v>95062</v>
      </c>
      <c r="B1093" s="5">
        <v>71</v>
      </c>
      <c r="C1093" s="5">
        <v>16</v>
      </c>
      <c r="D1093" s="5">
        <v>9</v>
      </c>
      <c r="E1093" s="5">
        <v>13</v>
      </c>
      <c r="F1093" s="5">
        <v>15</v>
      </c>
      <c r="G1093" s="5">
        <v>10</v>
      </c>
      <c r="H1093" s="5">
        <v>8</v>
      </c>
      <c r="I1093" s="5"/>
    </row>
    <row r="1094" spans="1:9">
      <c r="A1094" s="5">
        <v>95064</v>
      </c>
      <c r="B1094" s="5">
        <v>7</v>
      </c>
      <c r="C1094" s="5" t="s">
        <v>177</v>
      </c>
      <c r="D1094" s="5">
        <v>2</v>
      </c>
      <c r="E1094" s="5" t="s">
        <v>177</v>
      </c>
      <c r="F1094" s="5">
        <v>1</v>
      </c>
      <c r="G1094" s="5">
        <v>1</v>
      </c>
      <c r="H1094" s="5">
        <v>3</v>
      </c>
      <c r="I1094" s="5"/>
    </row>
    <row r="1095" spans="1:9">
      <c r="A1095" s="5">
        <v>95065</v>
      </c>
      <c r="B1095" s="5">
        <v>22</v>
      </c>
      <c r="C1095" s="5">
        <v>3</v>
      </c>
      <c r="D1095" s="5">
        <v>3</v>
      </c>
      <c r="E1095" s="5">
        <v>6</v>
      </c>
      <c r="F1095" s="5">
        <v>4</v>
      </c>
      <c r="G1095" s="5">
        <v>1</v>
      </c>
      <c r="H1095" s="5">
        <v>5</v>
      </c>
      <c r="I1095" s="5"/>
    </row>
    <row r="1096" spans="1:9">
      <c r="A1096" s="5">
        <v>95066</v>
      </c>
      <c r="B1096" s="5">
        <v>75</v>
      </c>
      <c r="C1096" s="5">
        <v>12</v>
      </c>
      <c r="D1096" s="5">
        <v>13</v>
      </c>
      <c r="E1096" s="5">
        <v>15</v>
      </c>
      <c r="F1096" s="5">
        <v>6</v>
      </c>
      <c r="G1096" s="5">
        <v>9</v>
      </c>
      <c r="H1096" s="5">
        <v>20</v>
      </c>
      <c r="I1096" s="5"/>
    </row>
    <row r="1097" spans="1:9">
      <c r="A1097" s="5">
        <v>95070</v>
      </c>
      <c r="B1097" s="5">
        <v>75</v>
      </c>
      <c r="C1097" s="5">
        <v>3</v>
      </c>
      <c r="D1097" s="5">
        <v>9</v>
      </c>
      <c r="E1097" s="5">
        <v>14</v>
      </c>
      <c r="F1097" s="5">
        <v>15</v>
      </c>
      <c r="G1097" s="5">
        <v>19</v>
      </c>
      <c r="H1097" s="5">
        <v>15</v>
      </c>
      <c r="I1097" s="5"/>
    </row>
    <row r="1098" spans="1:9">
      <c r="A1098" s="5">
        <v>95076</v>
      </c>
      <c r="B1098" s="5">
        <v>293</v>
      </c>
      <c r="C1098" s="5">
        <v>64</v>
      </c>
      <c r="D1098" s="5">
        <v>33</v>
      </c>
      <c r="E1098" s="5">
        <v>41</v>
      </c>
      <c r="F1098" s="5">
        <v>40</v>
      </c>
      <c r="G1098" s="5">
        <v>28</v>
      </c>
      <c r="H1098" s="5">
        <v>87</v>
      </c>
      <c r="I1098" s="5"/>
    </row>
    <row r="1099" spans="1:9">
      <c r="A1099" s="5">
        <v>95110</v>
      </c>
      <c r="B1099" s="5">
        <v>36</v>
      </c>
      <c r="C1099" s="5">
        <v>5</v>
      </c>
      <c r="D1099" s="5">
        <v>7</v>
      </c>
      <c r="E1099" s="5">
        <v>6</v>
      </c>
      <c r="F1099" s="5">
        <v>11</v>
      </c>
      <c r="G1099" s="5">
        <v>2</v>
      </c>
      <c r="H1099" s="5">
        <v>5</v>
      </c>
      <c r="I1099" s="5"/>
    </row>
    <row r="1100" spans="1:9">
      <c r="A1100" s="5">
        <v>95111</v>
      </c>
      <c r="B1100" s="5">
        <v>155</v>
      </c>
      <c r="C1100" s="5">
        <v>34</v>
      </c>
      <c r="D1100" s="5">
        <v>29</v>
      </c>
      <c r="E1100" s="5">
        <v>15</v>
      </c>
      <c r="F1100" s="5">
        <v>28</v>
      </c>
      <c r="G1100" s="5">
        <v>11</v>
      </c>
      <c r="H1100" s="5">
        <v>38</v>
      </c>
      <c r="I1100" s="5"/>
    </row>
    <row r="1101" spans="1:9">
      <c r="A1101" s="5">
        <v>95112</v>
      </c>
      <c r="B1101" s="5">
        <v>123</v>
      </c>
      <c r="C1101" s="5">
        <v>21</v>
      </c>
      <c r="D1101" s="5">
        <v>16</v>
      </c>
      <c r="E1101" s="5">
        <v>15</v>
      </c>
      <c r="F1101" s="5">
        <v>19</v>
      </c>
      <c r="G1101" s="5">
        <v>20</v>
      </c>
      <c r="H1101" s="5">
        <v>32</v>
      </c>
      <c r="I1101" s="5"/>
    </row>
    <row r="1102" spans="1:9">
      <c r="A1102" s="5">
        <v>95113</v>
      </c>
      <c r="B1102" s="5">
        <v>8</v>
      </c>
      <c r="C1102" s="5">
        <v>1</v>
      </c>
      <c r="D1102" s="5" t="s">
        <v>177</v>
      </c>
      <c r="E1102" s="5">
        <v>1</v>
      </c>
      <c r="F1102" s="5">
        <v>1</v>
      </c>
      <c r="G1102" s="5">
        <v>2</v>
      </c>
      <c r="H1102" s="5">
        <v>3</v>
      </c>
      <c r="I1102" s="5"/>
    </row>
    <row r="1103" spans="1:9">
      <c r="A1103" s="5">
        <v>95116</v>
      </c>
      <c r="B1103" s="5">
        <v>97</v>
      </c>
      <c r="C1103" s="5">
        <v>13</v>
      </c>
      <c r="D1103" s="5">
        <v>15</v>
      </c>
      <c r="E1103" s="5">
        <v>9</v>
      </c>
      <c r="F1103" s="5">
        <v>17</v>
      </c>
      <c r="G1103" s="5">
        <v>13</v>
      </c>
      <c r="H1103" s="5">
        <v>30</v>
      </c>
      <c r="I1103" s="5"/>
    </row>
    <row r="1104" spans="1:9">
      <c r="A1104" s="5">
        <v>95117</v>
      </c>
      <c r="B1104" s="5">
        <v>56</v>
      </c>
      <c r="C1104" s="5">
        <v>10</v>
      </c>
      <c r="D1104" s="5">
        <v>8</v>
      </c>
      <c r="E1104" s="5">
        <v>4</v>
      </c>
      <c r="F1104" s="5">
        <v>14</v>
      </c>
      <c r="G1104" s="5">
        <v>7</v>
      </c>
      <c r="H1104" s="5">
        <v>13</v>
      </c>
      <c r="I1104" s="5"/>
    </row>
    <row r="1105" spans="1:9">
      <c r="A1105" s="5">
        <v>95118</v>
      </c>
      <c r="B1105" s="5">
        <v>57</v>
      </c>
      <c r="C1105" s="5">
        <v>9</v>
      </c>
      <c r="D1105" s="5">
        <v>11</v>
      </c>
      <c r="E1105" s="5">
        <v>9</v>
      </c>
      <c r="F1105" s="5">
        <v>8</v>
      </c>
      <c r="G1105" s="5">
        <v>7</v>
      </c>
      <c r="H1105" s="5">
        <v>13</v>
      </c>
      <c r="I1105" s="5"/>
    </row>
    <row r="1106" spans="1:9">
      <c r="A1106" s="5">
        <v>95119</v>
      </c>
      <c r="B1106" s="5">
        <v>25</v>
      </c>
      <c r="C1106" s="5">
        <v>3</v>
      </c>
      <c r="D1106" s="5">
        <v>3</v>
      </c>
      <c r="E1106" s="5">
        <v>4</v>
      </c>
      <c r="F1106" s="5">
        <v>4</v>
      </c>
      <c r="G1106" s="5">
        <v>2</v>
      </c>
      <c r="H1106" s="5">
        <v>9</v>
      </c>
      <c r="I1106" s="5"/>
    </row>
    <row r="1107" spans="1:9">
      <c r="A1107" s="5">
        <v>95120</v>
      </c>
      <c r="B1107" s="5">
        <v>77</v>
      </c>
      <c r="C1107" s="5">
        <v>10</v>
      </c>
      <c r="D1107" s="5">
        <v>12</v>
      </c>
      <c r="E1107" s="5">
        <v>9</v>
      </c>
      <c r="F1107" s="5">
        <v>16</v>
      </c>
      <c r="G1107" s="5">
        <v>11</v>
      </c>
      <c r="H1107" s="5">
        <v>19</v>
      </c>
      <c r="I1107" s="5"/>
    </row>
    <row r="1108" spans="1:9">
      <c r="A1108" s="5">
        <v>95121</v>
      </c>
      <c r="B1108" s="5">
        <v>122</v>
      </c>
      <c r="C1108" s="5">
        <v>23</v>
      </c>
      <c r="D1108" s="5">
        <v>21</v>
      </c>
      <c r="E1108" s="5">
        <v>11</v>
      </c>
      <c r="F1108" s="5">
        <v>22</v>
      </c>
      <c r="G1108" s="5">
        <v>15</v>
      </c>
      <c r="H1108" s="5">
        <v>30</v>
      </c>
      <c r="I1108" s="5"/>
    </row>
    <row r="1109" spans="1:9">
      <c r="A1109" s="5">
        <v>95122</v>
      </c>
      <c r="B1109" s="5">
        <v>132</v>
      </c>
      <c r="C1109" s="5">
        <v>17</v>
      </c>
      <c r="D1109" s="5">
        <v>27</v>
      </c>
      <c r="E1109" s="5">
        <v>12</v>
      </c>
      <c r="F1109" s="5">
        <v>22</v>
      </c>
      <c r="G1109" s="5">
        <v>21</v>
      </c>
      <c r="H1109" s="5">
        <v>33</v>
      </c>
      <c r="I1109" s="5"/>
    </row>
    <row r="1110" spans="1:9">
      <c r="A1110" s="5">
        <v>95123</v>
      </c>
      <c r="B1110" s="5">
        <v>117</v>
      </c>
      <c r="C1110" s="5">
        <v>19</v>
      </c>
      <c r="D1110" s="5">
        <v>20</v>
      </c>
      <c r="E1110" s="5">
        <v>12</v>
      </c>
      <c r="F1110" s="5">
        <v>25</v>
      </c>
      <c r="G1110" s="5">
        <v>16</v>
      </c>
      <c r="H1110" s="5">
        <v>25</v>
      </c>
      <c r="I1110" s="5"/>
    </row>
    <row r="1111" spans="1:9">
      <c r="A1111" s="5">
        <v>95124</v>
      </c>
      <c r="B1111" s="5">
        <v>74</v>
      </c>
      <c r="C1111" s="5">
        <v>11</v>
      </c>
      <c r="D1111" s="5">
        <v>7</v>
      </c>
      <c r="E1111" s="5">
        <v>6</v>
      </c>
      <c r="F1111" s="5">
        <v>20</v>
      </c>
      <c r="G1111" s="5">
        <v>11</v>
      </c>
      <c r="H1111" s="5">
        <v>19</v>
      </c>
      <c r="I1111" s="5"/>
    </row>
    <row r="1112" spans="1:9">
      <c r="A1112" s="5">
        <v>95125</v>
      </c>
      <c r="B1112" s="5">
        <v>89</v>
      </c>
      <c r="C1112" s="5">
        <v>20</v>
      </c>
      <c r="D1112" s="5">
        <v>8</v>
      </c>
      <c r="E1112" s="5">
        <v>6</v>
      </c>
      <c r="F1112" s="5">
        <v>22</v>
      </c>
      <c r="G1112" s="5">
        <v>13</v>
      </c>
      <c r="H1112" s="5">
        <v>20</v>
      </c>
      <c r="I1112" s="5"/>
    </row>
    <row r="1113" spans="1:9">
      <c r="A1113" s="5">
        <v>95126</v>
      </c>
      <c r="B1113" s="5">
        <v>66</v>
      </c>
      <c r="C1113" s="5">
        <v>13</v>
      </c>
      <c r="D1113" s="5">
        <v>11</v>
      </c>
      <c r="E1113" s="5">
        <v>9</v>
      </c>
      <c r="F1113" s="5">
        <v>11</v>
      </c>
      <c r="G1113" s="5">
        <v>7</v>
      </c>
      <c r="H1113" s="5">
        <v>15</v>
      </c>
      <c r="I1113" s="5"/>
    </row>
    <row r="1114" spans="1:9">
      <c r="A1114" s="5">
        <v>95127</v>
      </c>
      <c r="B1114" s="5">
        <v>140</v>
      </c>
      <c r="C1114" s="5">
        <v>27</v>
      </c>
      <c r="D1114" s="5">
        <v>19</v>
      </c>
      <c r="E1114" s="5">
        <v>16</v>
      </c>
      <c r="F1114" s="5">
        <v>28</v>
      </c>
      <c r="G1114" s="5">
        <v>19</v>
      </c>
      <c r="H1114" s="5">
        <v>31</v>
      </c>
      <c r="I1114" s="5"/>
    </row>
    <row r="1115" spans="1:9">
      <c r="A1115" s="5">
        <v>95128</v>
      </c>
      <c r="B1115" s="5">
        <v>64</v>
      </c>
      <c r="C1115" s="5">
        <v>9</v>
      </c>
      <c r="D1115" s="5">
        <v>9</v>
      </c>
      <c r="E1115" s="5">
        <v>8</v>
      </c>
      <c r="F1115" s="5">
        <v>17</v>
      </c>
      <c r="G1115" s="5">
        <v>4</v>
      </c>
      <c r="H1115" s="5">
        <v>17</v>
      </c>
      <c r="I1115" s="5"/>
    </row>
    <row r="1116" spans="1:9">
      <c r="A1116" s="5">
        <v>95129</v>
      </c>
      <c r="B1116" s="5">
        <v>103</v>
      </c>
      <c r="C1116" s="5">
        <v>16</v>
      </c>
      <c r="D1116" s="5">
        <v>14</v>
      </c>
      <c r="E1116" s="5">
        <v>10</v>
      </c>
      <c r="F1116" s="5">
        <v>15</v>
      </c>
      <c r="G1116" s="5">
        <v>18</v>
      </c>
      <c r="H1116" s="5">
        <v>30</v>
      </c>
      <c r="I1116" s="5"/>
    </row>
    <row r="1117" spans="1:9">
      <c r="A1117" s="5">
        <v>95130</v>
      </c>
      <c r="B1117" s="5">
        <v>31</v>
      </c>
      <c r="C1117" s="5">
        <v>5</v>
      </c>
      <c r="D1117" s="5">
        <v>4</v>
      </c>
      <c r="E1117" s="5" t="s">
        <v>177</v>
      </c>
      <c r="F1117" s="5">
        <v>8</v>
      </c>
      <c r="G1117" s="5">
        <v>4</v>
      </c>
      <c r="H1117" s="5">
        <v>10</v>
      </c>
      <c r="I1117" s="5"/>
    </row>
    <row r="1118" spans="1:9">
      <c r="A1118" s="5">
        <v>95131</v>
      </c>
      <c r="B1118" s="5">
        <v>102</v>
      </c>
      <c r="C1118" s="5">
        <v>17</v>
      </c>
      <c r="D1118" s="5">
        <v>15</v>
      </c>
      <c r="E1118" s="5">
        <v>11</v>
      </c>
      <c r="F1118" s="5">
        <v>22</v>
      </c>
      <c r="G1118" s="5">
        <v>8</v>
      </c>
      <c r="H1118" s="5">
        <v>29</v>
      </c>
      <c r="I1118" s="5"/>
    </row>
    <row r="1119" spans="1:9">
      <c r="A1119" s="5">
        <v>95132</v>
      </c>
      <c r="B1119" s="5">
        <v>104</v>
      </c>
      <c r="C1119" s="5">
        <v>13</v>
      </c>
      <c r="D1119" s="5">
        <v>21</v>
      </c>
      <c r="E1119" s="5">
        <v>10</v>
      </c>
      <c r="F1119" s="5">
        <v>23</v>
      </c>
      <c r="G1119" s="5">
        <v>9</v>
      </c>
      <c r="H1119" s="5">
        <v>28</v>
      </c>
      <c r="I1119" s="5"/>
    </row>
    <row r="1120" spans="1:9">
      <c r="A1120" s="5">
        <v>95133</v>
      </c>
      <c r="B1120" s="5">
        <v>63</v>
      </c>
      <c r="C1120" s="5">
        <v>11</v>
      </c>
      <c r="D1120" s="5">
        <v>6</v>
      </c>
      <c r="E1120" s="5">
        <v>3</v>
      </c>
      <c r="F1120" s="5">
        <v>17</v>
      </c>
      <c r="G1120" s="5">
        <v>8</v>
      </c>
      <c r="H1120" s="5">
        <v>18</v>
      </c>
      <c r="I1120" s="5"/>
    </row>
    <row r="1121" spans="1:9">
      <c r="A1121" s="5">
        <v>95134</v>
      </c>
      <c r="B1121" s="5">
        <v>60</v>
      </c>
      <c r="C1121" s="5">
        <v>11</v>
      </c>
      <c r="D1121" s="5">
        <v>10</v>
      </c>
      <c r="E1121" s="5">
        <v>3</v>
      </c>
      <c r="F1121" s="5">
        <v>9</v>
      </c>
      <c r="G1121" s="5">
        <v>11</v>
      </c>
      <c r="H1121" s="5">
        <v>16</v>
      </c>
      <c r="I1121" s="5"/>
    </row>
    <row r="1122" spans="1:9">
      <c r="A1122" s="5">
        <v>95135</v>
      </c>
      <c r="B1122" s="5">
        <v>27</v>
      </c>
      <c r="C1122" s="5">
        <v>4</v>
      </c>
      <c r="D1122" s="5">
        <v>5</v>
      </c>
      <c r="E1122" s="5">
        <v>1</v>
      </c>
      <c r="F1122" s="5">
        <v>7</v>
      </c>
      <c r="G1122" s="5">
        <v>1</v>
      </c>
      <c r="H1122" s="5">
        <v>9</v>
      </c>
      <c r="I1122" s="5"/>
    </row>
    <row r="1123" spans="1:9">
      <c r="A1123" s="5">
        <v>95136</v>
      </c>
      <c r="B1123" s="5">
        <v>106</v>
      </c>
      <c r="C1123" s="5">
        <v>11</v>
      </c>
      <c r="D1123" s="5">
        <v>10</v>
      </c>
      <c r="E1123" s="5">
        <v>16</v>
      </c>
      <c r="F1123" s="5">
        <v>21</v>
      </c>
      <c r="G1123" s="5">
        <v>10</v>
      </c>
      <c r="H1123" s="5">
        <v>38</v>
      </c>
      <c r="I1123" s="5"/>
    </row>
    <row r="1124" spans="1:9">
      <c r="A1124" s="5">
        <v>95138</v>
      </c>
      <c r="B1124" s="5">
        <v>51</v>
      </c>
      <c r="C1124" s="5">
        <v>3</v>
      </c>
      <c r="D1124" s="5">
        <v>8</v>
      </c>
      <c r="E1124" s="5">
        <v>6</v>
      </c>
      <c r="F1124" s="5">
        <v>10</v>
      </c>
      <c r="G1124" s="5">
        <v>10</v>
      </c>
      <c r="H1124" s="5">
        <v>14</v>
      </c>
      <c r="I1124" s="5"/>
    </row>
    <row r="1125" spans="1:9">
      <c r="A1125" s="5">
        <v>95139</v>
      </c>
      <c r="B1125" s="5">
        <v>15</v>
      </c>
      <c r="C1125" s="5">
        <v>1</v>
      </c>
      <c r="D1125" s="5">
        <v>3</v>
      </c>
      <c r="E1125" s="5">
        <v>1</v>
      </c>
      <c r="F1125" s="5">
        <v>2</v>
      </c>
      <c r="G1125" s="5">
        <v>1</v>
      </c>
      <c r="H1125" s="5">
        <v>7</v>
      </c>
      <c r="I1125" s="5"/>
    </row>
    <row r="1126" spans="1:9">
      <c r="A1126" s="5">
        <v>95140</v>
      </c>
      <c r="B1126" s="5">
        <v>2</v>
      </c>
      <c r="C1126" s="5" t="s">
        <v>177</v>
      </c>
      <c r="D1126" s="5" t="s">
        <v>177</v>
      </c>
      <c r="E1126" s="5">
        <v>1</v>
      </c>
      <c r="F1126" s="5" t="s">
        <v>177</v>
      </c>
      <c r="G1126" s="5" t="s">
        <v>177</v>
      </c>
      <c r="H1126" s="5">
        <v>1</v>
      </c>
      <c r="I1126" s="5"/>
    </row>
    <row r="1127" spans="1:9">
      <c r="A1127" s="5">
        <v>95148</v>
      </c>
      <c r="B1127" s="5">
        <v>131</v>
      </c>
      <c r="C1127" s="5">
        <v>22</v>
      </c>
      <c r="D1127" s="5">
        <v>19</v>
      </c>
      <c r="E1127" s="5">
        <v>11</v>
      </c>
      <c r="F1127" s="5">
        <v>32</v>
      </c>
      <c r="G1127" s="5">
        <v>14</v>
      </c>
      <c r="H1127" s="5">
        <v>33</v>
      </c>
      <c r="I1127" s="5"/>
    </row>
    <row r="1128" spans="1:9">
      <c r="A1128" s="5">
        <v>95202</v>
      </c>
      <c r="B1128" s="5">
        <v>4</v>
      </c>
      <c r="C1128" s="5" t="s">
        <v>177</v>
      </c>
      <c r="D1128" s="5">
        <v>1</v>
      </c>
      <c r="E1128" s="5" t="s">
        <v>177</v>
      </c>
      <c r="F1128" s="5">
        <v>1</v>
      </c>
      <c r="G1128" s="5">
        <v>1</v>
      </c>
      <c r="H1128" s="5">
        <v>1</v>
      </c>
      <c r="I1128" s="5"/>
    </row>
    <row r="1129" spans="1:9">
      <c r="A1129" s="5">
        <v>95203</v>
      </c>
      <c r="B1129" s="5">
        <v>20</v>
      </c>
      <c r="C1129" s="5">
        <v>3</v>
      </c>
      <c r="D1129" s="5">
        <v>2</v>
      </c>
      <c r="E1129" s="5">
        <v>2</v>
      </c>
      <c r="F1129" s="5">
        <v>6</v>
      </c>
      <c r="G1129" s="5">
        <v>2</v>
      </c>
      <c r="H1129" s="5">
        <v>5</v>
      </c>
      <c r="I1129" s="5"/>
    </row>
    <row r="1130" spans="1:9">
      <c r="A1130" s="5">
        <v>95204</v>
      </c>
      <c r="B1130" s="5">
        <v>41</v>
      </c>
      <c r="C1130" s="5">
        <v>4</v>
      </c>
      <c r="D1130" s="5">
        <v>8</v>
      </c>
      <c r="E1130" s="5">
        <v>4</v>
      </c>
      <c r="F1130" s="5">
        <v>10</v>
      </c>
      <c r="G1130" s="5">
        <v>8</v>
      </c>
      <c r="H1130" s="5">
        <v>7</v>
      </c>
      <c r="I1130" s="5"/>
    </row>
    <row r="1131" spans="1:9">
      <c r="A1131" s="5">
        <v>95205</v>
      </c>
      <c r="B1131" s="5">
        <v>75</v>
      </c>
      <c r="C1131" s="5">
        <v>10</v>
      </c>
      <c r="D1131" s="5">
        <v>13</v>
      </c>
      <c r="E1131" s="5">
        <v>14</v>
      </c>
      <c r="F1131" s="5">
        <v>13</v>
      </c>
      <c r="G1131" s="5">
        <v>13</v>
      </c>
      <c r="H1131" s="5">
        <v>12</v>
      </c>
      <c r="I1131" s="5"/>
    </row>
    <row r="1132" spans="1:9">
      <c r="A1132" s="5">
        <v>95206</v>
      </c>
      <c r="B1132" s="5">
        <v>125</v>
      </c>
      <c r="C1132" s="5">
        <v>16</v>
      </c>
      <c r="D1132" s="5">
        <v>14</v>
      </c>
      <c r="E1132" s="5">
        <v>11</v>
      </c>
      <c r="F1132" s="5">
        <v>26</v>
      </c>
      <c r="G1132" s="5">
        <v>24</v>
      </c>
      <c r="H1132" s="5">
        <v>34</v>
      </c>
      <c r="I1132" s="5"/>
    </row>
    <row r="1133" spans="1:9">
      <c r="A1133" s="5">
        <v>95207</v>
      </c>
      <c r="B1133" s="5">
        <v>78</v>
      </c>
      <c r="C1133" s="5">
        <v>11</v>
      </c>
      <c r="D1133" s="5">
        <v>13</v>
      </c>
      <c r="E1133" s="5">
        <v>9</v>
      </c>
      <c r="F1133" s="5">
        <v>23</v>
      </c>
      <c r="G1133" s="5">
        <v>8</v>
      </c>
      <c r="H1133" s="5">
        <v>14</v>
      </c>
      <c r="I1133" s="5"/>
    </row>
    <row r="1134" spans="1:9">
      <c r="A1134" s="5">
        <v>95209</v>
      </c>
      <c r="B1134" s="5">
        <v>63</v>
      </c>
      <c r="C1134" s="5">
        <v>8</v>
      </c>
      <c r="D1134" s="5">
        <v>8</v>
      </c>
      <c r="E1134" s="5">
        <v>10</v>
      </c>
      <c r="F1134" s="5">
        <v>17</v>
      </c>
      <c r="G1134" s="5">
        <v>9</v>
      </c>
      <c r="H1134" s="5">
        <v>11</v>
      </c>
      <c r="I1134" s="5"/>
    </row>
    <row r="1135" spans="1:9">
      <c r="A1135" s="5">
        <v>95210</v>
      </c>
      <c r="B1135" s="5">
        <v>56</v>
      </c>
      <c r="C1135" s="5">
        <v>11</v>
      </c>
      <c r="D1135" s="5">
        <v>7</v>
      </c>
      <c r="E1135" s="5">
        <v>6</v>
      </c>
      <c r="F1135" s="5">
        <v>14</v>
      </c>
      <c r="G1135" s="5">
        <v>7</v>
      </c>
      <c r="H1135" s="5">
        <v>11</v>
      </c>
      <c r="I1135" s="5"/>
    </row>
    <row r="1136" spans="1:9">
      <c r="A1136" s="5">
        <v>95211</v>
      </c>
      <c r="B1136" s="5">
        <v>2</v>
      </c>
      <c r="C1136" s="5">
        <v>1</v>
      </c>
      <c r="D1136" s="5" t="s">
        <v>177</v>
      </c>
      <c r="E1136" s="5" t="s">
        <v>177</v>
      </c>
      <c r="F1136" s="5" t="s">
        <v>177</v>
      </c>
      <c r="G1136" s="5" t="s">
        <v>177</v>
      </c>
      <c r="H1136" s="5">
        <v>1</v>
      </c>
      <c r="I1136" s="5"/>
    </row>
    <row r="1137" spans="1:9">
      <c r="A1137" s="5">
        <v>95212</v>
      </c>
      <c r="B1137" s="5">
        <v>71</v>
      </c>
      <c r="C1137" s="5">
        <v>12</v>
      </c>
      <c r="D1137" s="5">
        <v>12</v>
      </c>
      <c r="E1137" s="5">
        <v>4</v>
      </c>
      <c r="F1137" s="5">
        <v>20</v>
      </c>
      <c r="G1137" s="5">
        <v>7</v>
      </c>
      <c r="H1137" s="5">
        <v>16</v>
      </c>
      <c r="I1137" s="5"/>
    </row>
    <row r="1138" spans="1:9">
      <c r="A1138" s="5">
        <v>95215</v>
      </c>
      <c r="B1138" s="5">
        <v>32</v>
      </c>
      <c r="C1138" s="5">
        <v>3</v>
      </c>
      <c r="D1138" s="5">
        <v>7</v>
      </c>
      <c r="E1138" s="5">
        <v>3</v>
      </c>
      <c r="F1138" s="5">
        <v>4</v>
      </c>
      <c r="G1138" s="5">
        <v>3</v>
      </c>
      <c r="H1138" s="5">
        <v>12</v>
      </c>
      <c r="I1138" s="5"/>
    </row>
    <row r="1139" spans="1:9">
      <c r="A1139" s="5">
        <v>95219</v>
      </c>
      <c r="B1139" s="5">
        <v>92</v>
      </c>
      <c r="C1139" s="5">
        <v>13</v>
      </c>
      <c r="D1139" s="5">
        <v>8</v>
      </c>
      <c r="E1139" s="5">
        <v>26</v>
      </c>
      <c r="F1139" s="5">
        <v>15</v>
      </c>
      <c r="G1139" s="5">
        <v>12</v>
      </c>
      <c r="H1139" s="5">
        <v>18</v>
      </c>
      <c r="I1139" s="5"/>
    </row>
    <row r="1140" spans="1:9">
      <c r="A1140" s="5">
        <v>95220</v>
      </c>
      <c r="B1140" s="5">
        <v>22</v>
      </c>
      <c r="C1140" s="5">
        <v>3</v>
      </c>
      <c r="D1140" s="5">
        <v>2</v>
      </c>
      <c r="E1140" s="5">
        <v>2</v>
      </c>
      <c r="F1140" s="5">
        <v>2</v>
      </c>
      <c r="G1140" s="5">
        <v>6</v>
      </c>
      <c r="H1140" s="5">
        <v>7</v>
      </c>
      <c r="I1140" s="5"/>
    </row>
    <row r="1141" spans="1:9">
      <c r="A1141" s="5">
        <v>95230</v>
      </c>
      <c r="B1141" s="5">
        <v>7</v>
      </c>
      <c r="C1141" s="5">
        <v>2</v>
      </c>
      <c r="D1141" s="5">
        <v>1</v>
      </c>
      <c r="E1141" s="5">
        <v>1</v>
      </c>
      <c r="F1141" s="5">
        <v>1</v>
      </c>
      <c r="G1141" s="5">
        <v>1</v>
      </c>
      <c r="H1141" s="5">
        <v>1</v>
      </c>
      <c r="I1141" s="5"/>
    </row>
    <row r="1142" spans="1:9">
      <c r="A1142" s="5">
        <v>95231</v>
      </c>
      <c r="B1142" s="5">
        <v>10</v>
      </c>
      <c r="C1142" s="5">
        <v>2</v>
      </c>
      <c r="D1142" s="5">
        <v>2</v>
      </c>
      <c r="E1142" s="5" t="s">
        <v>177</v>
      </c>
      <c r="F1142" s="5">
        <v>2</v>
      </c>
      <c r="G1142" s="5">
        <v>1</v>
      </c>
      <c r="H1142" s="5">
        <v>3</v>
      </c>
      <c r="I1142" s="5"/>
    </row>
    <row r="1143" spans="1:9">
      <c r="A1143" s="5">
        <v>95236</v>
      </c>
      <c r="B1143" s="5">
        <v>6</v>
      </c>
      <c r="C1143" s="5" t="s">
        <v>177</v>
      </c>
      <c r="D1143" s="5" t="s">
        <v>177</v>
      </c>
      <c r="E1143" s="5">
        <v>2</v>
      </c>
      <c r="F1143" s="5">
        <v>2</v>
      </c>
      <c r="G1143" s="5">
        <v>1</v>
      </c>
      <c r="H1143" s="5">
        <v>1</v>
      </c>
      <c r="I1143" s="5"/>
    </row>
    <row r="1144" spans="1:9">
      <c r="A1144" s="5">
        <v>95237</v>
      </c>
      <c r="B1144" s="5">
        <v>1</v>
      </c>
      <c r="C1144" s="5" t="s">
        <v>177</v>
      </c>
      <c r="D1144" s="5" t="s">
        <v>177</v>
      </c>
      <c r="E1144" s="5">
        <v>1</v>
      </c>
      <c r="F1144" s="5" t="s">
        <v>177</v>
      </c>
      <c r="G1144" s="5" t="s">
        <v>177</v>
      </c>
      <c r="H1144" s="5" t="s">
        <v>177</v>
      </c>
      <c r="I1144" s="5"/>
    </row>
    <row r="1145" spans="1:9">
      <c r="A1145" s="5">
        <v>95240</v>
      </c>
      <c r="B1145" s="5">
        <v>137</v>
      </c>
      <c r="C1145" s="5">
        <v>24</v>
      </c>
      <c r="D1145" s="5">
        <v>16</v>
      </c>
      <c r="E1145" s="5">
        <v>26</v>
      </c>
      <c r="F1145" s="5">
        <v>22</v>
      </c>
      <c r="G1145" s="5">
        <v>22</v>
      </c>
      <c r="H1145" s="5">
        <v>27</v>
      </c>
      <c r="I1145" s="5"/>
    </row>
    <row r="1146" spans="1:9">
      <c r="A1146" s="5">
        <v>95242</v>
      </c>
      <c r="B1146" s="5">
        <v>73</v>
      </c>
      <c r="C1146" s="5">
        <v>10</v>
      </c>
      <c r="D1146" s="5">
        <v>6</v>
      </c>
      <c r="E1146" s="5">
        <v>14</v>
      </c>
      <c r="F1146" s="5">
        <v>11</v>
      </c>
      <c r="G1146" s="5">
        <v>13</v>
      </c>
      <c r="H1146" s="5">
        <v>19</v>
      </c>
      <c r="I1146" s="5"/>
    </row>
    <row r="1147" spans="1:9">
      <c r="A1147" s="5">
        <v>95258</v>
      </c>
      <c r="B1147" s="5">
        <v>4</v>
      </c>
      <c r="C1147" s="5">
        <v>2</v>
      </c>
      <c r="D1147" s="5" t="s">
        <v>177</v>
      </c>
      <c r="E1147" s="5">
        <v>1</v>
      </c>
      <c r="F1147" s="5" t="s">
        <v>177</v>
      </c>
      <c r="G1147" s="5" t="s">
        <v>177</v>
      </c>
      <c r="H1147" s="5">
        <v>1</v>
      </c>
      <c r="I1147" s="5"/>
    </row>
    <row r="1148" spans="1:9">
      <c r="A1148" s="5">
        <v>95301</v>
      </c>
      <c r="B1148" s="5">
        <v>85</v>
      </c>
      <c r="C1148" s="5">
        <v>9</v>
      </c>
      <c r="D1148" s="5">
        <v>13</v>
      </c>
      <c r="E1148" s="5">
        <v>3</v>
      </c>
      <c r="F1148" s="5">
        <v>16</v>
      </c>
      <c r="G1148" s="5">
        <v>32</v>
      </c>
      <c r="H1148" s="5">
        <v>12</v>
      </c>
      <c r="I1148" s="5"/>
    </row>
    <row r="1149" spans="1:9">
      <c r="A1149" s="5">
        <v>95304</v>
      </c>
      <c r="B1149" s="5">
        <v>13</v>
      </c>
      <c r="C1149" s="5" t="s">
        <v>177</v>
      </c>
      <c r="D1149" s="5">
        <v>1</v>
      </c>
      <c r="E1149" s="5">
        <v>1</v>
      </c>
      <c r="F1149" s="5">
        <v>5</v>
      </c>
      <c r="G1149" s="5">
        <v>2</v>
      </c>
      <c r="H1149" s="5">
        <v>4</v>
      </c>
      <c r="I1149" s="5"/>
    </row>
    <row r="1150" spans="1:9">
      <c r="A1150" s="5">
        <v>95307</v>
      </c>
      <c r="B1150" s="5">
        <v>63</v>
      </c>
      <c r="C1150" s="5">
        <v>8</v>
      </c>
      <c r="D1150" s="5">
        <v>8</v>
      </c>
      <c r="E1150" s="5">
        <v>7</v>
      </c>
      <c r="F1150" s="5">
        <v>16</v>
      </c>
      <c r="G1150" s="5">
        <v>7</v>
      </c>
      <c r="H1150" s="5">
        <v>17</v>
      </c>
      <c r="I1150" s="5"/>
    </row>
    <row r="1151" spans="1:9">
      <c r="A1151" s="5">
        <v>95315</v>
      </c>
      <c r="B1151" s="5">
        <v>21</v>
      </c>
      <c r="C1151" s="5">
        <v>5</v>
      </c>
      <c r="D1151" s="5">
        <v>5</v>
      </c>
      <c r="E1151" s="5">
        <v>1</v>
      </c>
      <c r="F1151" s="5">
        <v>4</v>
      </c>
      <c r="G1151" s="5">
        <v>1</v>
      </c>
      <c r="H1151" s="5">
        <v>5</v>
      </c>
      <c r="I1151" s="5"/>
    </row>
    <row r="1152" spans="1:9">
      <c r="A1152" s="5">
        <v>95316</v>
      </c>
      <c r="B1152" s="5">
        <v>35</v>
      </c>
      <c r="C1152" s="5">
        <v>8</v>
      </c>
      <c r="D1152" s="5">
        <v>4</v>
      </c>
      <c r="E1152" s="5">
        <v>5</v>
      </c>
      <c r="F1152" s="5">
        <v>3</v>
      </c>
      <c r="G1152" s="5">
        <v>4</v>
      </c>
      <c r="H1152" s="5">
        <v>11</v>
      </c>
      <c r="I1152" s="5"/>
    </row>
    <row r="1153" spans="1:9">
      <c r="A1153" s="5">
        <v>95319</v>
      </c>
      <c r="B1153" s="5">
        <v>2</v>
      </c>
      <c r="C1153" s="5" t="s">
        <v>177</v>
      </c>
      <c r="D1153" s="5" t="s">
        <v>177</v>
      </c>
      <c r="E1153" s="5" t="s">
        <v>177</v>
      </c>
      <c r="F1153" s="5">
        <v>1</v>
      </c>
      <c r="G1153" s="5">
        <v>1</v>
      </c>
      <c r="H1153" s="5" t="s">
        <v>177</v>
      </c>
      <c r="I1153" s="5"/>
    </row>
    <row r="1154" spans="1:9">
      <c r="A1154" s="5">
        <v>95320</v>
      </c>
      <c r="B1154" s="5">
        <v>10</v>
      </c>
      <c r="C1154" s="5" t="s">
        <v>177</v>
      </c>
      <c r="D1154" s="5">
        <v>1</v>
      </c>
      <c r="E1154" s="5">
        <v>1</v>
      </c>
      <c r="F1154" s="5">
        <v>3</v>
      </c>
      <c r="G1154" s="5">
        <v>3</v>
      </c>
      <c r="H1154" s="5">
        <v>2</v>
      </c>
      <c r="I1154" s="5"/>
    </row>
    <row r="1155" spans="1:9">
      <c r="A1155" s="5">
        <v>95323</v>
      </c>
      <c r="B1155" s="5">
        <v>10</v>
      </c>
      <c r="C1155" s="5">
        <v>2</v>
      </c>
      <c r="D1155" s="5">
        <v>3</v>
      </c>
      <c r="E1155" s="5" t="s">
        <v>177</v>
      </c>
      <c r="F1155" s="5" t="s">
        <v>177</v>
      </c>
      <c r="G1155" s="5">
        <v>1</v>
      </c>
      <c r="H1155" s="5">
        <v>4</v>
      </c>
      <c r="I1155" s="5"/>
    </row>
    <row r="1156" spans="1:9">
      <c r="A1156" s="5">
        <v>95324</v>
      </c>
      <c r="B1156" s="5">
        <v>3</v>
      </c>
      <c r="C1156" s="5" t="s">
        <v>177</v>
      </c>
      <c r="D1156" s="5">
        <v>1</v>
      </c>
      <c r="E1156" s="5" t="s">
        <v>177</v>
      </c>
      <c r="F1156" s="5">
        <v>2</v>
      </c>
      <c r="G1156" s="5" t="s">
        <v>177</v>
      </c>
      <c r="H1156" s="5" t="s">
        <v>177</v>
      </c>
      <c r="I1156" s="5"/>
    </row>
    <row r="1157" spans="1:9">
      <c r="A1157" s="5">
        <v>95326</v>
      </c>
      <c r="B1157" s="5">
        <v>8</v>
      </c>
      <c r="C1157" s="5">
        <v>1</v>
      </c>
      <c r="D1157" s="5" t="s">
        <v>177</v>
      </c>
      <c r="E1157" s="5" t="s">
        <v>177</v>
      </c>
      <c r="F1157" s="5">
        <v>2</v>
      </c>
      <c r="G1157" s="5">
        <v>4</v>
      </c>
      <c r="H1157" s="5">
        <v>1</v>
      </c>
      <c r="I1157" s="5"/>
    </row>
    <row r="1158" spans="1:9">
      <c r="A1158" s="5">
        <v>95328</v>
      </c>
      <c r="B1158" s="5">
        <v>8</v>
      </c>
      <c r="C1158" s="5">
        <v>1</v>
      </c>
      <c r="D1158" s="5">
        <v>2</v>
      </c>
      <c r="E1158" s="5">
        <v>1</v>
      </c>
      <c r="F1158" s="5">
        <v>1</v>
      </c>
      <c r="G1158" s="5">
        <v>2</v>
      </c>
      <c r="H1158" s="5">
        <v>1</v>
      </c>
      <c r="I1158" s="5"/>
    </row>
    <row r="1159" spans="1:9">
      <c r="A1159" s="5">
        <v>95330</v>
      </c>
      <c r="B1159" s="5">
        <v>60</v>
      </c>
      <c r="C1159" s="5">
        <v>7</v>
      </c>
      <c r="D1159" s="5">
        <v>6</v>
      </c>
      <c r="E1159" s="5">
        <v>5</v>
      </c>
      <c r="F1159" s="5">
        <v>20</v>
      </c>
      <c r="G1159" s="5">
        <v>8</v>
      </c>
      <c r="H1159" s="5">
        <v>14</v>
      </c>
      <c r="I1159" s="5"/>
    </row>
    <row r="1160" spans="1:9">
      <c r="A1160" s="5">
        <v>95334</v>
      </c>
      <c r="B1160" s="5">
        <v>18</v>
      </c>
      <c r="C1160" s="5">
        <v>5</v>
      </c>
      <c r="D1160" s="5">
        <v>4</v>
      </c>
      <c r="E1160" s="5">
        <v>1</v>
      </c>
      <c r="F1160" s="5">
        <v>4</v>
      </c>
      <c r="G1160" s="5">
        <v>2</v>
      </c>
      <c r="H1160" s="5">
        <v>2</v>
      </c>
      <c r="I1160" s="5"/>
    </row>
    <row r="1161" spans="1:9">
      <c r="A1161" s="5">
        <v>95336</v>
      </c>
      <c r="B1161" s="5">
        <v>71</v>
      </c>
      <c r="C1161" s="5">
        <v>8</v>
      </c>
      <c r="D1161" s="5">
        <v>10</v>
      </c>
      <c r="E1161" s="5">
        <v>13</v>
      </c>
      <c r="F1161" s="5">
        <v>15</v>
      </c>
      <c r="G1161" s="5">
        <v>10</v>
      </c>
      <c r="H1161" s="5">
        <v>15</v>
      </c>
      <c r="I1161" s="5"/>
    </row>
    <row r="1162" spans="1:9">
      <c r="A1162" s="5">
        <v>95337</v>
      </c>
      <c r="B1162" s="5">
        <v>74</v>
      </c>
      <c r="C1162" s="5">
        <v>12</v>
      </c>
      <c r="D1162" s="5">
        <v>10</v>
      </c>
      <c r="E1162" s="5">
        <v>7</v>
      </c>
      <c r="F1162" s="5">
        <v>17</v>
      </c>
      <c r="G1162" s="5">
        <v>11</v>
      </c>
      <c r="H1162" s="5">
        <v>17</v>
      </c>
      <c r="I1162" s="5"/>
    </row>
    <row r="1163" spans="1:9">
      <c r="A1163" s="5">
        <v>95340</v>
      </c>
      <c r="B1163" s="5">
        <v>41</v>
      </c>
      <c r="C1163" s="5">
        <v>6</v>
      </c>
      <c r="D1163" s="5">
        <v>7</v>
      </c>
      <c r="E1163" s="5">
        <v>2</v>
      </c>
      <c r="F1163" s="5">
        <v>9</v>
      </c>
      <c r="G1163" s="5">
        <v>8</v>
      </c>
      <c r="H1163" s="5">
        <v>9</v>
      </c>
      <c r="I1163" s="5"/>
    </row>
    <row r="1164" spans="1:9">
      <c r="A1164" s="5">
        <v>95341</v>
      </c>
      <c r="B1164" s="5">
        <v>53</v>
      </c>
      <c r="C1164" s="5">
        <v>8</v>
      </c>
      <c r="D1164" s="5">
        <v>7</v>
      </c>
      <c r="E1164" s="5">
        <v>9</v>
      </c>
      <c r="F1164" s="5">
        <v>7</v>
      </c>
      <c r="G1164" s="5">
        <v>9</v>
      </c>
      <c r="H1164" s="5">
        <v>13</v>
      </c>
      <c r="I1164" s="5"/>
    </row>
    <row r="1165" spans="1:9">
      <c r="A1165" s="5">
        <v>95348</v>
      </c>
      <c r="B1165" s="5">
        <v>71</v>
      </c>
      <c r="C1165" s="5">
        <v>9</v>
      </c>
      <c r="D1165" s="5">
        <v>13</v>
      </c>
      <c r="E1165" s="5">
        <v>4</v>
      </c>
      <c r="F1165" s="5">
        <v>15</v>
      </c>
      <c r="G1165" s="5">
        <v>14</v>
      </c>
      <c r="H1165" s="5">
        <v>16</v>
      </c>
      <c r="I1165" s="5"/>
    </row>
    <row r="1166" spans="1:9">
      <c r="A1166" s="5">
        <v>95350</v>
      </c>
      <c r="B1166" s="5">
        <v>77</v>
      </c>
      <c r="C1166" s="5">
        <v>12</v>
      </c>
      <c r="D1166" s="5">
        <v>10</v>
      </c>
      <c r="E1166" s="5">
        <v>9</v>
      </c>
      <c r="F1166" s="5">
        <v>22</v>
      </c>
      <c r="G1166" s="5">
        <v>11</v>
      </c>
      <c r="H1166" s="5">
        <v>13</v>
      </c>
      <c r="I1166" s="5"/>
    </row>
    <row r="1167" spans="1:9">
      <c r="A1167" s="5">
        <v>95351</v>
      </c>
      <c r="B1167" s="5">
        <v>62</v>
      </c>
      <c r="C1167" s="5">
        <v>10</v>
      </c>
      <c r="D1167" s="5">
        <v>8</v>
      </c>
      <c r="E1167" s="5">
        <v>12</v>
      </c>
      <c r="F1167" s="5">
        <v>16</v>
      </c>
      <c r="G1167" s="5">
        <v>4</v>
      </c>
      <c r="H1167" s="5">
        <v>12</v>
      </c>
      <c r="I1167" s="5"/>
    </row>
    <row r="1168" spans="1:9">
      <c r="A1168" s="5">
        <v>95354</v>
      </c>
      <c r="B1168" s="5">
        <v>35</v>
      </c>
      <c r="C1168" s="5">
        <v>3</v>
      </c>
      <c r="D1168" s="5">
        <v>6</v>
      </c>
      <c r="E1168" s="5">
        <v>2</v>
      </c>
      <c r="F1168" s="5">
        <v>9</v>
      </c>
      <c r="G1168" s="5">
        <v>5</v>
      </c>
      <c r="H1168" s="5">
        <v>10</v>
      </c>
      <c r="I1168" s="5"/>
    </row>
    <row r="1169" spans="1:9">
      <c r="A1169" s="5">
        <v>95355</v>
      </c>
      <c r="B1169" s="5">
        <v>98</v>
      </c>
      <c r="C1169" s="5">
        <v>16</v>
      </c>
      <c r="D1169" s="5">
        <v>10</v>
      </c>
      <c r="E1169" s="5">
        <v>12</v>
      </c>
      <c r="F1169" s="5">
        <v>17</v>
      </c>
      <c r="G1169" s="5">
        <v>11</v>
      </c>
      <c r="H1169" s="5">
        <v>32</v>
      </c>
      <c r="I1169" s="5"/>
    </row>
    <row r="1170" spans="1:9">
      <c r="A1170" s="5">
        <v>95356</v>
      </c>
      <c r="B1170" s="5">
        <v>62</v>
      </c>
      <c r="C1170" s="5">
        <v>6</v>
      </c>
      <c r="D1170" s="5">
        <v>14</v>
      </c>
      <c r="E1170" s="5">
        <v>4</v>
      </c>
      <c r="F1170" s="5">
        <v>13</v>
      </c>
      <c r="G1170" s="5">
        <v>11</v>
      </c>
      <c r="H1170" s="5">
        <v>14</v>
      </c>
      <c r="I1170" s="5"/>
    </row>
    <row r="1171" spans="1:9">
      <c r="A1171" s="5">
        <v>95357</v>
      </c>
      <c r="B1171" s="5">
        <v>11</v>
      </c>
      <c r="C1171" s="5">
        <v>2</v>
      </c>
      <c r="D1171" s="5">
        <v>2</v>
      </c>
      <c r="E1171" s="5" t="s">
        <v>177</v>
      </c>
      <c r="F1171" s="5">
        <v>1</v>
      </c>
      <c r="G1171" s="5">
        <v>2</v>
      </c>
      <c r="H1171" s="5">
        <v>4</v>
      </c>
      <c r="I1171" s="5"/>
    </row>
    <row r="1172" spans="1:9">
      <c r="A1172" s="5">
        <v>95358</v>
      </c>
      <c r="B1172" s="5">
        <v>53</v>
      </c>
      <c r="C1172" s="5">
        <v>8</v>
      </c>
      <c r="D1172" s="5">
        <v>4</v>
      </c>
      <c r="E1172" s="5">
        <v>7</v>
      </c>
      <c r="F1172" s="5">
        <v>9</v>
      </c>
      <c r="G1172" s="5">
        <v>12</v>
      </c>
      <c r="H1172" s="5">
        <v>13</v>
      </c>
      <c r="I1172" s="5"/>
    </row>
    <row r="1173" spans="1:9">
      <c r="A1173" s="5">
        <v>95360</v>
      </c>
      <c r="B1173" s="5">
        <v>45</v>
      </c>
      <c r="C1173" s="5">
        <v>5</v>
      </c>
      <c r="D1173" s="5">
        <v>8</v>
      </c>
      <c r="E1173" s="5">
        <v>8</v>
      </c>
      <c r="F1173" s="5">
        <v>2</v>
      </c>
      <c r="G1173" s="5">
        <v>8</v>
      </c>
      <c r="H1173" s="5">
        <v>14</v>
      </c>
      <c r="I1173" s="5"/>
    </row>
    <row r="1174" spans="1:9">
      <c r="A1174" s="5">
        <v>95361</v>
      </c>
      <c r="B1174" s="5">
        <v>138</v>
      </c>
      <c r="C1174" s="5">
        <v>35</v>
      </c>
      <c r="D1174" s="5">
        <v>26</v>
      </c>
      <c r="E1174" s="5">
        <v>19</v>
      </c>
      <c r="F1174" s="5">
        <v>15</v>
      </c>
      <c r="G1174" s="5">
        <v>13</v>
      </c>
      <c r="H1174" s="5">
        <v>30</v>
      </c>
      <c r="I1174" s="5"/>
    </row>
    <row r="1175" spans="1:9">
      <c r="A1175" s="5">
        <v>95363</v>
      </c>
      <c r="B1175" s="5">
        <v>292</v>
      </c>
      <c r="C1175" s="5">
        <v>71</v>
      </c>
      <c r="D1175" s="5">
        <v>33</v>
      </c>
      <c r="E1175" s="5">
        <v>45</v>
      </c>
      <c r="F1175" s="5">
        <v>38</v>
      </c>
      <c r="G1175" s="5">
        <v>36</v>
      </c>
      <c r="H1175" s="5">
        <v>69</v>
      </c>
      <c r="I1175" s="5"/>
    </row>
    <row r="1176" spans="1:9">
      <c r="A1176" s="5">
        <v>95366</v>
      </c>
      <c r="B1176" s="5">
        <v>16</v>
      </c>
      <c r="C1176" s="5">
        <v>3</v>
      </c>
      <c r="D1176" s="5">
        <v>1</v>
      </c>
      <c r="E1176" s="5">
        <v>3</v>
      </c>
      <c r="F1176" s="5">
        <v>3</v>
      </c>
      <c r="G1176" s="5">
        <v>2</v>
      </c>
      <c r="H1176" s="5">
        <v>4</v>
      </c>
      <c r="I1176" s="5"/>
    </row>
    <row r="1177" spans="1:9">
      <c r="A1177" s="5">
        <v>95367</v>
      </c>
      <c r="B1177" s="5">
        <v>55</v>
      </c>
      <c r="C1177" s="5">
        <v>10</v>
      </c>
      <c r="D1177" s="5">
        <v>8</v>
      </c>
      <c r="E1177" s="5">
        <v>2</v>
      </c>
      <c r="F1177" s="5">
        <v>11</v>
      </c>
      <c r="G1177" s="5">
        <v>6</v>
      </c>
      <c r="H1177" s="5">
        <v>18</v>
      </c>
      <c r="I1177" s="5"/>
    </row>
    <row r="1178" spans="1:9">
      <c r="A1178" s="5">
        <v>95368</v>
      </c>
      <c r="B1178" s="5">
        <v>36</v>
      </c>
      <c r="C1178" s="5">
        <v>3</v>
      </c>
      <c r="D1178" s="5">
        <v>9</v>
      </c>
      <c r="E1178" s="5">
        <v>3</v>
      </c>
      <c r="F1178" s="5">
        <v>6</v>
      </c>
      <c r="G1178" s="5">
        <v>5</v>
      </c>
      <c r="H1178" s="5">
        <v>10</v>
      </c>
      <c r="I1178" s="5"/>
    </row>
    <row r="1179" spans="1:9">
      <c r="A1179" s="5">
        <v>95374</v>
      </c>
      <c r="B1179" s="5">
        <v>7</v>
      </c>
      <c r="C1179" s="5" t="s">
        <v>177</v>
      </c>
      <c r="D1179" s="5">
        <v>2</v>
      </c>
      <c r="E1179" s="5">
        <v>3</v>
      </c>
      <c r="F1179" s="5" t="s">
        <v>177</v>
      </c>
      <c r="G1179" s="5" t="s">
        <v>177</v>
      </c>
      <c r="H1179" s="5">
        <v>2</v>
      </c>
      <c r="I1179" s="5"/>
    </row>
    <row r="1180" spans="1:9">
      <c r="A1180" s="5">
        <v>95376</v>
      </c>
      <c r="B1180" s="5">
        <v>80</v>
      </c>
      <c r="C1180" s="5">
        <v>11</v>
      </c>
      <c r="D1180" s="5">
        <v>14</v>
      </c>
      <c r="E1180" s="5">
        <v>5</v>
      </c>
      <c r="F1180" s="5">
        <v>17</v>
      </c>
      <c r="G1180" s="5">
        <v>6</v>
      </c>
      <c r="H1180" s="5">
        <v>27</v>
      </c>
      <c r="I1180" s="5"/>
    </row>
    <row r="1181" spans="1:9">
      <c r="A1181" s="5">
        <v>95377</v>
      </c>
      <c r="B1181" s="5">
        <v>149</v>
      </c>
      <c r="C1181" s="5">
        <v>24</v>
      </c>
      <c r="D1181" s="5">
        <v>12</v>
      </c>
      <c r="E1181" s="5">
        <v>29</v>
      </c>
      <c r="F1181" s="5">
        <v>16</v>
      </c>
      <c r="G1181" s="5">
        <v>30</v>
      </c>
      <c r="H1181" s="5">
        <v>38</v>
      </c>
      <c r="I1181" s="5"/>
    </row>
    <row r="1182" spans="1:9">
      <c r="A1182" s="5">
        <v>95380</v>
      </c>
      <c r="B1182" s="5">
        <v>49</v>
      </c>
      <c r="C1182" s="5">
        <v>8</v>
      </c>
      <c r="D1182" s="5">
        <v>6</v>
      </c>
      <c r="E1182" s="5">
        <v>6</v>
      </c>
      <c r="F1182" s="5">
        <v>7</v>
      </c>
      <c r="G1182" s="5">
        <v>12</v>
      </c>
      <c r="H1182" s="5">
        <v>10</v>
      </c>
      <c r="I1182" s="5"/>
    </row>
    <row r="1183" spans="1:9">
      <c r="A1183" s="5">
        <v>95382</v>
      </c>
      <c r="B1183" s="5">
        <v>64</v>
      </c>
      <c r="C1183" s="5">
        <v>10</v>
      </c>
      <c r="D1183" s="5">
        <v>7</v>
      </c>
      <c r="E1183" s="5">
        <v>10</v>
      </c>
      <c r="F1183" s="5">
        <v>13</v>
      </c>
      <c r="G1183" s="5">
        <v>11</v>
      </c>
      <c r="H1183" s="5">
        <v>13</v>
      </c>
      <c r="I1183" s="5"/>
    </row>
    <row r="1184" spans="1:9">
      <c r="A1184" s="5">
        <v>95386</v>
      </c>
      <c r="B1184" s="5">
        <v>53</v>
      </c>
      <c r="C1184" s="5">
        <v>6</v>
      </c>
      <c r="D1184" s="5">
        <v>5</v>
      </c>
      <c r="E1184" s="5">
        <v>6</v>
      </c>
      <c r="F1184" s="5">
        <v>11</v>
      </c>
      <c r="G1184" s="5">
        <v>9</v>
      </c>
      <c r="H1184" s="5">
        <v>16</v>
      </c>
      <c r="I1184" s="5"/>
    </row>
    <row r="1185" spans="1:9">
      <c r="A1185" s="5">
        <v>95388</v>
      </c>
      <c r="B1185" s="5">
        <v>19</v>
      </c>
      <c r="C1185" s="5">
        <v>5</v>
      </c>
      <c r="D1185" s="5">
        <v>2</v>
      </c>
      <c r="E1185" s="5">
        <v>3</v>
      </c>
      <c r="F1185" s="5">
        <v>5</v>
      </c>
      <c r="G1185" s="5">
        <v>1</v>
      </c>
      <c r="H1185" s="5">
        <v>3</v>
      </c>
      <c r="I1185" s="5"/>
    </row>
    <row r="1186" spans="1:9">
      <c r="A1186" s="5">
        <v>95391</v>
      </c>
      <c r="B1186" s="5">
        <v>56</v>
      </c>
      <c r="C1186" s="5">
        <v>9</v>
      </c>
      <c r="D1186" s="5">
        <v>5</v>
      </c>
      <c r="E1186" s="5">
        <v>9</v>
      </c>
      <c r="F1186" s="5">
        <v>11</v>
      </c>
      <c r="G1186" s="5">
        <v>10</v>
      </c>
      <c r="H1186" s="5">
        <v>12</v>
      </c>
      <c r="I1186" s="5"/>
    </row>
    <row r="1187" spans="1:9">
      <c r="A1187" s="5">
        <v>95602</v>
      </c>
      <c r="B1187" s="5">
        <v>136</v>
      </c>
      <c r="C1187" s="5">
        <v>25</v>
      </c>
      <c r="D1187" s="5">
        <v>19</v>
      </c>
      <c r="E1187" s="5">
        <v>19</v>
      </c>
      <c r="F1187" s="5">
        <v>13</v>
      </c>
      <c r="G1187" s="5">
        <v>13</v>
      </c>
      <c r="H1187" s="5">
        <v>47</v>
      </c>
      <c r="I1187" s="5"/>
    </row>
    <row r="1188" spans="1:9">
      <c r="A1188" s="5">
        <v>95603</v>
      </c>
      <c r="B1188" s="5">
        <v>41</v>
      </c>
      <c r="C1188" s="5">
        <v>5</v>
      </c>
      <c r="D1188" s="5">
        <v>1</v>
      </c>
      <c r="E1188" s="5">
        <v>15</v>
      </c>
      <c r="F1188" s="5">
        <v>4</v>
      </c>
      <c r="G1188" s="5">
        <v>10</v>
      </c>
      <c r="H1188" s="5">
        <v>6</v>
      </c>
      <c r="I1188" s="5"/>
    </row>
    <row r="1189" spans="1:9">
      <c r="A1189" s="5">
        <v>95605</v>
      </c>
      <c r="B1189" s="5">
        <v>5</v>
      </c>
      <c r="C1189" s="5">
        <v>4</v>
      </c>
      <c r="D1189" s="5" t="s">
        <v>177</v>
      </c>
      <c r="E1189" s="5">
        <v>1</v>
      </c>
      <c r="F1189" s="5" t="s">
        <v>177</v>
      </c>
      <c r="G1189" s="5" t="s">
        <v>177</v>
      </c>
      <c r="H1189" s="5" t="s">
        <v>177</v>
      </c>
      <c r="I1189" s="5"/>
    </row>
    <row r="1190" spans="1:9">
      <c r="A1190" s="5">
        <v>95608</v>
      </c>
      <c r="B1190" s="5">
        <v>6</v>
      </c>
      <c r="C1190" s="5">
        <v>2</v>
      </c>
      <c r="D1190" s="5">
        <v>1</v>
      </c>
      <c r="E1190" s="5">
        <v>1</v>
      </c>
      <c r="F1190" s="5" t="s">
        <v>177</v>
      </c>
      <c r="G1190" s="5">
        <v>2</v>
      </c>
      <c r="H1190" s="5" t="s">
        <v>177</v>
      </c>
      <c r="I1190" s="5"/>
    </row>
    <row r="1191" spans="1:9">
      <c r="A1191" s="5">
        <v>95610</v>
      </c>
      <c r="B1191" s="5">
        <v>8</v>
      </c>
      <c r="C1191" s="5">
        <v>1</v>
      </c>
      <c r="D1191" s="5" t="s">
        <v>177</v>
      </c>
      <c r="E1191" s="5">
        <v>3</v>
      </c>
      <c r="F1191" s="5">
        <v>1</v>
      </c>
      <c r="G1191" s="5">
        <v>3</v>
      </c>
      <c r="H1191" s="5" t="s">
        <v>177</v>
      </c>
      <c r="I1191" s="5"/>
    </row>
    <row r="1192" spans="1:9">
      <c r="A1192" s="5">
        <v>95616</v>
      </c>
      <c r="B1192" s="5">
        <v>68</v>
      </c>
      <c r="C1192" s="5">
        <v>16</v>
      </c>
      <c r="D1192" s="5">
        <v>9</v>
      </c>
      <c r="E1192" s="5">
        <v>7</v>
      </c>
      <c r="F1192" s="5">
        <v>14</v>
      </c>
      <c r="G1192" s="5">
        <v>7</v>
      </c>
      <c r="H1192" s="5">
        <v>15</v>
      </c>
      <c r="I1192" s="5"/>
    </row>
    <row r="1193" spans="1:9">
      <c r="A1193" s="5">
        <v>95618</v>
      </c>
      <c r="B1193" s="5">
        <v>3</v>
      </c>
      <c r="C1193" s="5" t="s">
        <v>177</v>
      </c>
      <c r="D1193" s="5" t="s">
        <v>177</v>
      </c>
      <c r="E1193" s="5">
        <v>2</v>
      </c>
      <c r="F1193" s="5">
        <v>1</v>
      </c>
      <c r="G1193" s="5" t="s">
        <v>177</v>
      </c>
      <c r="H1193" s="5" t="s">
        <v>177</v>
      </c>
      <c r="I1193" s="5"/>
    </row>
    <row r="1194" spans="1:9">
      <c r="A1194" s="5">
        <v>95620</v>
      </c>
      <c r="B1194" s="5">
        <v>48</v>
      </c>
      <c r="C1194" s="5">
        <v>7</v>
      </c>
      <c r="D1194" s="5">
        <v>7</v>
      </c>
      <c r="E1194" s="5">
        <v>6</v>
      </c>
      <c r="F1194" s="5">
        <v>11</v>
      </c>
      <c r="G1194" s="5">
        <v>2</v>
      </c>
      <c r="H1194" s="5">
        <v>15</v>
      </c>
      <c r="I1194" s="5"/>
    </row>
    <row r="1195" spans="1:9">
      <c r="A1195" s="5">
        <v>95621</v>
      </c>
      <c r="B1195" s="5">
        <v>3</v>
      </c>
      <c r="C1195" s="5">
        <v>1</v>
      </c>
      <c r="D1195" s="5" t="s">
        <v>177</v>
      </c>
      <c r="E1195" s="5">
        <v>1</v>
      </c>
      <c r="F1195" s="5">
        <v>1</v>
      </c>
      <c r="G1195" s="5" t="s">
        <v>177</v>
      </c>
      <c r="H1195" s="5" t="s">
        <v>177</v>
      </c>
      <c r="I1195" s="5"/>
    </row>
    <row r="1196" spans="1:9">
      <c r="A1196" s="5">
        <v>95624</v>
      </c>
      <c r="B1196" s="5">
        <v>10</v>
      </c>
      <c r="C1196" s="5">
        <v>4</v>
      </c>
      <c r="D1196" s="5">
        <v>1</v>
      </c>
      <c r="E1196" s="5">
        <v>1</v>
      </c>
      <c r="F1196" s="5">
        <v>1</v>
      </c>
      <c r="G1196" s="5">
        <v>2</v>
      </c>
      <c r="H1196" s="5">
        <v>1</v>
      </c>
      <c r="I1196" s="5"/>
    </row>
    <row r="1197" spans="1:9">
      <c r="A1197" s="5">
        <v>95626</v>
      </c>
      <c r="B1197" s="5">
        <v>1</v>
      </c>
      <c r="C1197" s="5" t="s">
        <v>177</v>
      </c>
      <c r="D1197" s="5" t="s">
        <v>177</v>
      </c>
      <c r="E1197" s="5">
        <v>1</v>
      </c>
      <c r="F1197" s="5" t="s">
        <v>177</v>
      </c>
      <c r="G1197" s="5" t="s">
        <v>177</v>
      </c>
      <c r="H1197" s="5" t="s">
        <v>177</v>
      </c>
      <c r="I1197" s="5"/>
    </row>
    <row r="1198" spans="1:9">
      <c r="A1198" s="5">
        <v>95628</v>
      </c>
      <c r="B1198" s="5">
        <v>7</v>
      </c>
      <c r="C1198" s="5" t="s">
        <v>177</v>
      </c>
      <c r="D1198" s="5">
        <v>1</v>
      </c>
      <c r="E1198" s="5">
        <v>1</v>
      </c>
      <c r="F1198" s="5">
        <v>2</v>
      </c>
      <c r="G1198" s="5" t="s">
        <v>177</v>
      </c>
      <c r="H1198" s="5">
        <v>3</v>
      </c>
      <c r="I1198" s="5"/>
    </row>
    <row r="1199" spans="1:9">
      <c r="A1199" s="5">
        <v>95630</v>
      </c>
      <c r="B1199" s="5">
        <v>8</v>
      </c>
      <c r="C1199" s="5">
        <v>3</v>
      </c>
      <c r="D1199" s="5">
        <v>1</v>
      </c>
      <c r="E1199" s="5">
        <v>2</v>
      </c>
      <c r="F1199" s="5">
        <v>1</v>
      </c>
      <c r="G1199" s="5" t="s">
        <v>177</v>
      </c>
      <c r="H1199" s="5">
        <v>1</v>
      </c>
      <c r="I1199" s="5"/>
    </row>
    <row r="1200" spans="1:9">
      <c r="A1200" s="5">
        <v>95632</v>
      </c>
      <c r="B1200" s="5">
        <v>8</v>
      </c>
      <c r="C1200" s="5">
        <v>3</v>
      </c>
      <c r="D1200" s="5">
        <v>1</v>
      </c>
      <c r="E1200" s="5" t="s">
        <v>177</v>
      </c>
      <c r="F1200" s="5">
        <v>1</v>
      </c>
      <c r="G1200" s="5">
        <v>1</v>
      </c>
      <c r="H1200" s="5">
        <v>2</v>
      </c>
      <c r="I1200" s="5"/>
    </row>
    <row r="1201" spans="1:9">
      <c r="A1201" s="5">
        <v>95648</v>
      </c>
      <c r="B1201" s="5">
        <v>13</v>
      </c>
      <c r="C1201" s="5">
        <v>1</v>
      </c>
      <c r="D1201" s="5">
        <v>2</v>
      </c>
      <c r="E1201" s="5">
        <v>2</v>
      </c>
      <c r="F1201" s="5">
        <v>7</v>
      </c>
      <c r="G1201" s="5">
        <v>1</v>
      </c>
      <c r="H1201" s="5" t="s">
        <v>177</v>
      </c>
      <c r="I1201" s="5"/>
    </row>
    <row r="1202" spans="1:9">
      <c r="A1202" s="5">
        <v>95650</v>
      </c>
      <c r="B1202" s="5">
        <v>4</v>
      </c>
      <c r="C1202" s="5">
        <v>2</v>
      </c>
      <c r="D1202" s="5" t="s">
        <v>177</v>
      </c>
      <c r="E1202" s="5" t="s">
        <v>177</v>
      </c>
      <c r="F1202" s="5" t="s">
        <v>177</v>
      </c>
      <c r="G1202" s="5">
        <v>2</v>
      </c>
      <c r="H1202" s="5" t="s">
        <v>177</v>
      </c>
      <c r="I1202" s="5"/>
    </row>
    <row r="1203" spans="1:9">
      <c r="A1203" s="5">
        <v>95652</v>
      </c>
      <c r="B1203" s="5">
        <v>1</v>
      </c>
      <c r="C1203" s="5" t="s">
        <v>177</v>
      </c>
      <c r="D1203" s="5" t="s">
        <v>177</v>
      </c>
      <c r="E1203" s="5" t="s">
        <v>177</v>
      </c>
      <c r="F1203" s="5" t="s">
        <v>177</v>
      </c>
      <c r="G1203" s="5" t="s">
        <v>177</v>
      </c>
      <c r="H1203" s="5">
        <v>1</v>
      </c>
      <c r="I1203" s="5"/>
    </row>
    <row r="1204" spans="1:9">
      <c r="A1204" s="5">
        <v>95660</v>
      </c>
      <c r="B1204" s="5">
        <v>1</v>
      </c>
      <c r="C1204" s="5" t="s">
        <v>177</v>
      </c>
      <c r="D1204" s="5">
        <v>1</v>
      </c>
      <c r="E1204" s="5" t="s">
        <v>177</v>
      </c>
      <c r="F1204" s="5" t="s">
        <v>177</v>
      </c>
      <c r="G1204" s="5" t="s">
        <v>177</v>
      </c>
      <c r="H1204" s="5" t="s">
        <v>177</v>
      </c>
      <c r="I1204" s="5"/>
    </row>
    <row r="1205" spans="1:9">
      <c r="A1205" s="5">
        <v>95661</v>
      </c>
      <c r="B1205" s="5">
        <v>1</v>
      </c>
      <c r="C1205" s="5">
        <v>1</v>
      </c>
      <c r="D1205" s="5" t="s">
        <v>177</v>
      </c>
      <c r="E1205" s="5" t="s">
        <v>177</v>
      </c>
      <c r="F1205" s="5" t="s">
        <v>177</v>
      </c>
      <c r="G1205" s="5" t="s">
        <v>177</v>
      </c>
      <c r="H1205" s="5" t="s">
        <v>177</v>
      </c>
      <c r="I1205" s="5"/>
    </row>
    <row r="1206" spans="1:9">
      <c r="A1206" s="5">
        <v>95662</v>
      </c>
      <c r="B1206" s="5">
        <v>3</v>
      </c>
      <c r="C1206" s="5">
        <v>1</v>
      </c>
      <c r="D1206" s="5" t="s">
        <v>177</v>
      </c>
      <c r="E1206" s="5" t="s">
        <v>177</v>
      </c>
      <c r="F1206" s="5">
        <v>1</v>
      </c>
      <c r="G1206" s="5" t="s">
        <v>177</v>
      </c>
      <c r="H1206" s="5">
        <v>1</v>
      </c>
      <c r="I1206" s="5"/>
    </row>
    <row r="1207" spans="1:9">
      <c r="A1207" s="5">
        <v>95670</v>
      </c>
      <c r="B1207" s="5">
        <v>2</v>
      </c>
      <c r="C1207" s="5">
        <v>1</v>
      </c>
      <c r="D1207" s="5">
        <v>1</v>
      </c>
      <c r="E1207" s="5" t="s">
        <v>177</v>
      </c>
      <c r="F1207" s="5" t="s">
        <v>177</v>
      </c>
      <c r="G1207" s="5" t="s">
        <v>177</v>
      </c>
      <c r="H1207" s="5" t="s">
        <v>177</v>
      </c>
      <c r="I1207" s="5"/>
    </row>
    <row r="1208" spans="1:9">
      <c r="A1208" s="5">
        <v>95673</v>
      </c>
      <c r="B1208" s="5">
        <v>2</v>
      </c>
      <c r="C1208" s="5" t="s">
        <v>177</v>
      </c>
      <c r="D1208" s="5">
        <v>1</v>
      </c>
      <c r="E1208" s="5">
        <v>1</v>
      </c>
      <c r="F1208" s="5" t="s">
        <v>177</v>
      </c>
      <c r="G1208" s="5" t="s">
        <v>177</v>
      </c>
      <c r="H1208" s="5" t="s">
        <v>177</v>
      </c>
      <c r="I1208" s="5"/>
    </row>
    <row r="1209" spans="1:9">
      <c r="A1209" s="5">
        <v>95677</v>
      </c>
      <c r="B1209" s="5">
        <v>5</v>
      </c>
      <c r="C1209" s="5">
        <v>2</v>
      </c>
      <c r="D1209" s="5" t="s">
        <v>177</v>
      </c>
      <c r="E1209" s="5">
        <v>1</v>
      </c>
      <c r="F1209" s="5">
        <v>1</v>
      </c>
      <c r="G1209" s="5">
        <v>1</v>
      </c>
      <c r="H1209" s="5" t="s">
        <v>177</v>
      </c>
      <c r="I1209" s="5"/>
    </row>
    <row r="1210" spans="1:9">
      <c r="A1210" s="5">
        <v>95678</v>
      </c>
      <c r="B1210" s="5">
        <v>10</v>
      </c>
      <c r="C1210" s="5">
        <v>3</v>
      </c>
      <c r="D1210" s="5">
        <v>3</v>
      </c>
      <c r="E1210" s="5">
        <v>1</v>
      </c>
      <c r="F1210" s="5">
        <v>1</v>
      </c>
      <c r="G1210" s="5">
        <v>2</v>
      </c>
      <c r="H1210" s="5" t="s">
        <v>177</v>
      </c>
      <c r="I1210" s="5"/>
    </row>
    <row r="1211" spans="1:9">
      <c r="A1211" s="5">
        <v>95682</v>
      </c>
      <c r="B1211" s="5">
        <v>41</v>
      </c>
      <c r="C1211" s="5">
        <v>4</v>
      </c>
      <c r="D1211" s="5">
        <v>11</v>
      </c>
      <c r="E1211" s="5">
        <v>4</v>
      </c>
      <c r="F1211" s="5">
        <v>5</v>
      </c>
      <c r="G1211" s="5">
        <v>9</v>
      </c>
      <c r="H1211" s="5">
        <v>8</v>
      </c>
      <c r="I1211" s="5"/>
    </row>
    <row r="1212" spans="1:9">
      <c r="A1212" s="5">
        <v>95683</v>
      </c>
      <c r="B1212" s="5">
        <v>6</v>
      </c>
      <c r="C1212" s="5">
        <v>1</v>
      </c>
      <c r="D1212" s="5">
        <v>1</v>
      </c>
      <c r="E1212" s="5" t="s">
        <v>177</v>
      </c>
      <c r="F1212" s="5" t="s">
        <v>177</v>
      </c>
      <c r="G1212" s="5">
        <v>1</v>
      </c>
      <c r="H1212" s="5">
        <v>3</v>
      </c>
      <c r="I1212" s="5"/>
    </row>
    <row r="1213" spans="1:9">
      <c r="A1213" s="5">
        <v>95686</v>
      </c>
      <c r="B1213" s="5">
        <v>3</v>
      </c>
      <c r="C1213" s="5">
        <v>2</v>
      </c>
      <c r="D1213" s="5" t="s">
        <v>177</v>
      </c>
      <c r="E1213" s="5" t="s">
        <v>177</v>
      </c>
      <c r="F1213" s="5" t="s">
        <v>177</v>
      </c>
      <c r="G1213" s="5" t="s">
        <v>177</v>
      </c>
      <c r="H1213" s="5">
        <v>1</v>
      </c>
      <c r="I1213" s="5"/>
    </row>
    <row r="1214" spans="1:9">
      <c r="A1214" s="5">
        <v>95687</v>
      </c>
      <c r="B1214" s="5">
        <v>115</v>
      </c>
      <c r="C1214" s="5">
        <v>21</v>
      </c>
      <c r="D1214" s="5">
        <v>20</v>
      </c>
      <c r="E1214" s="5">
        <v>5</v>
      </c>
      <c r="F1214" s="5">
        <v>21</v>
      </c>
      <c r="G1214" s="5">
        <v>19</v>
      </c>
      <c r="H1214" s="5">
        <v>29</v>
      </c>
      <c r="I1214" s="5"/>
    </row>
    <row r="1215" spans="1:9">
      <c r="A1215" s="5">
        <v>95688</v>
      </c>
      <c r="B1215" s="5">
        <v>68</v>
      </c>
      <c r="C1215" s="5">
        <v>9</v>
      </c>
      <c r="D1215" s="5">
        <v>12</v>
      </c>
      <c r="E1215" s="5">
        <v>9</v>
      </c>
      <c r="F1215" s="5">
        <v>11</v>
      </c>
      <c r="G1215" s="5">
        <v>10</v>
      </c>
      <c r="H1215" s="5">
        <v>17</v>
      </c>
      <c r="I1215" s="5"/>
    </row>
    <row r="1216" spans="1:9">
      <c r="A1216" s="5">
        <v>95691</v>
      </c>
      <c r="B1216" s="5">
        <v>2</v>
      </c>
      <c r="C1216" s="5" t="s">
        <v>177</v>
      </c>
      <c r="D1216" s="5" t="s">
        <v>177</v>
      </c>
      <c r="E1216" s="5" t="s">
        <v>177</v>
      </c>
      <c r="F1216" s="5">
        <v>1</v>
      </c>
      <c r="G1216" s="5" t="s">
        <v>177</v>
      </c>
      <c r="H1216" s="5">
        <v>1</v>
      </c>
      <c r="I1216" s="5"/>
    </row>
    <row r="1217" spans="1:9">
      <c r="A1217" s="5">
        <v>95694</v>
      </c>
      <c r="B1217" s="5">
        <v>11</v>
      </c>
      <c r="C1217" s="5">
        <v>1</v>
      </c>
      <c r="D1217" s="5">
        <v>2</v>
      </c>
      <c r="E1217" s="5" t="s">
        <v>177</v>
      </c>
      <c r="F1217" s="5">
        <v>1</v>
      </c>
      <c r="G1217" s="5">
        <v>1</v>
      </c>
      <c r="H1217" s="5">
        <v>6</v>
      </c>
      <c r="I1217" s="5"/>
    </row>
    <row r="1218" spans="1:9">
      <c r="A1218" s="5">
        <v>95695</v>
      </c>
      <c r="B1218" s="5">
        <v>69</v>
      </c>
      <c r="C1218" s="5">
        <v>12</v>
      </c>
      <c r="D1218" s="5">
        <v>6</v>
      </c>
      <c r="E1218" s="5">
        <v>22</v>
      </c>
      <c r="F1218" s="5">
        <v>8</v>
      </c>
      <c r="G1218" s="5">
        <v>15</v>
      </c>
      <c r="H1218" s="5">
        <v>6</v>
      </c>
      <c r="I1218" s="5"/>
    </row>
    <row r="1219" spans="1:9">
      <c r="A1219" s="5">
        <v>95703</v>
      </c>
      <c r="B1219" s="5">
        <v>10</v>
      </c>
      <c r="C1219" s="5">
        <v>3</v>
      </c>
      <c r="D1219" s="5">
        <v>1</v>
      </c>
      <c r="E1219" s="5">
        <v>4</v>
      </c>
      <c r="F1219" s="5" t="s">
        <v>177</v>
      </c>
      <c r="G1219" s="5" t="s">
        <v>177</v>
      </c>
      <c r="H1219" s="5">
        <v>2</v>
      </c>
      <c r="I1219" s="5"/>
    </row>
    <row r="1220" spans="1:9">
      <c r="A1220" s="5">
        <v>95722</v>
      </c>
      <c r="B1220" s="5">
        <v>42</v>
      </c>
      <c r="C1220" s="5">
        <v>9</v>
      </c>
      <c r="D1220" s="5">
        <v>4</v>
      </c>
      <c r="E1220" s="5">
        <v>6</v>
      </c>
      <c r="F1220" s="5">
        <v>3</v>
      </c>
      <c r="G1220" s="5">
        <v>6</v>
      </c>
      <c r="H1220" s="5">
        <v>14</v>
      </c>
      <c r="I1220" s="5"/>
    </row>
    <row r="1221" spans="1:9">
      <c r="A1221" s="5">
        <v>95742</v>
      </c>
      <c r="B1221" s="5">
        <v>5</v>
      </c>
      <c r="C1221" s="5">
        <v>2</v>
      </c>
      <c r="D1221" s="5">
        <v>1</v>
      </c>
      <c r="E1221" s="5">
        <v>2</v>
      </c>
      <c r="F1221" s="5" t="s">
        <v>177</v>
      </c>
      <c r="G1221" s="5" t="s">
        <v>177</v>
      </c>
      <c r="H1221" s="5" t="s">
        <v>177</v>
      </c>
      <c r="I1221" s="5"/>
    </row>
    <row r="1222" spans="1:9">
      <c r="A1222" s="5">
        <v>95747</v>
      </c>
      <c r="B1222" s="5">
        <v>12</v>
      </c>
      <c r="C1222" s="5">
        <v>3</v>
      </c>
      <c r="D1222" s="5">
        <v>3</v>
      </c>
      <c r="E1222" s="5">
        <v>2</v>
      </c>
      <c r="F1222" s="5">
        <v>1</v>
      </c>
      <c r="G1222" s="5">
        <v>1</v>
      </c>
      <c r="H1222" s="5">
        <v>2</v>
      </c>
      <c r="I1222" s="5"/>
    </row>
    <row r="1223" spans="1:9">
      <c r="A1223" s="5">
        <v>95757</v>
      </c>
      <c r="B1223" s="5">
        <v>8</v>
      </c>
      <c r="C1223" s="5">
        <v>1</v>
      </c>
      <c r="D1223" s="5">
        <v>1</v>
      </c>
      <c r="E1223" s="5">
        <v>2</v>
      </c>
      <c r="F1223" s="5">
        <v>3</v>
      </c>
      <c r="G1223" s="5" t="s">
        <v>177</v>
      </c>
      <c r="H1223" s="5">
        <v>1</v>
      </c>
      <c r="I1223" s="5"/>
    </row>
    <row r="1224" spans="1:9">
      <c r="A1224" s="5">
        <v>95758</v>
      </c>
      <c r="B1224" s="5">
        <v>8</v>
      </c>
      <c r="C1224" s="5">
        <v>2</v>
      </c>
      <c r="D1224" s="5" t="s">
        <v>177</v>
      </c>
      <c r="E1224" s="5">
        <v>2</v>
      </c>
      <c r="F1224" s="5">
        <v>1</v>
      </c>
      <c r="G1224" s="5" t="s">
        <v>177</v>
      </c>
      <c r="H1224" s="5">
        <v>3</v>
      </c>
      <c r="I1224" s="5"/>
    </row>
    <row r="1225" spans="1:9">
      <c r="A1225" s="5">
        <v>95762</v>
      </c>
      <c r="B1225" s="5">
        <v>67</v>
      </c>
      <c r="C1225" s="5">
        <v>10</v>
      </c>
      <c r="D1225" s="5">
        <v>10</v>
      </c>
      <c r="E1225" s="5">
        <v>7</v>
      </c>
      <c r="F1225" s="5">
        <v>15</v>
      </c>
      <c r="G1225" s="5">
        <v>8</v>
      </c>
      <c r="H1225" s="5">
        <v>17</v>
      </c>
      <c r="I1225" s="5"/>
    </row>
    <row r="1226" spans="1:9">
      <c r="A1226" s="5">
        <v>95765</v>
      </c>
      <c r="B1226" s="5">
        <v>4</v>
      </c>
      <c r="C1226" s="5">
        <v>1</v>
      </c>
      <c r="D1226" s="5" t="s">
        <v>177</v>
      </c>
      <c r="E1226" s="5">
        <v>1</v>
      </c>
      <c r="F1226" s="5">
        <v>1</v>
      </c>
      <c r="G1226" s="5">
        <v>1</v>
      </c>
      <c r="H1226" s="5" t="s">
        <v>177</v>
      </c>
      <c r="I1226" s="5"/>
    </row>
    <row r="1227" spans="1:9">
      <c r="A1227" s="5">
        <v>95776</v>
      </c>
      <c r="B1227" s="5">
        <v>47</v>
      </c>
      <c r="C1227" s="5">
        <v>6</v>
      </c>
      <c r="D1227" s="5">
        <v>6</v>
      </c>
      <c r="E1227" s="5">
        <v>10</v>
      </c>
      <c r="F1227" s="5">
        <v>5</v>
      </c>
      <c r="G1227" s="5">
        <v>12</v>
      </c>
      <c r="H1227" s="5">
        <v>8</v>
      </c>
      <c r="I1227" s="5"/>
    </row>
    <row r="1228" spans="1:9">
      <c r="A1228" s="5">
        <v>95811</v>
      </c>
      <c r="B1228" s="5">
        <v>1</v>
      </c>
      <c r="C1228" s="5" t="s">
        <v>177</v>
      </c>
      <c r="D1228" s="5" t="s">
        <v>177</v>
      </c>
      <c r="E1228" s="5">
        <v>1</v>
      </c>
      <c r="F1228" s="5" t="s">
        <v>177</v>
      </c>
      <c r="G1228" s="5" t="s">
        <v>177</v>
      </c>
      <c r="H1228" s="5" t="s">
        <v>177</v>
      </c>
      <c r="I1228" s="5"/>
    </row>
    <row r="1229" spans="1:9">
      <c r="A1229" s="5">
        <v>95814</v>
      </c>
      <c r="B1229" s="5">
        <v>1</v>
      </c>
      <c r="C1229" s="5" t="s">
        <v>177</v>
      </c>
      <c r="D1229" s="5" t="s">
        <v>177</v>
      </c>
      <c r="E1229" s="5" t="s">
        <v>177</v>
      </c>
      <c r="F1229" s="5" t="s">
        <v>177</v>
      </c>
      <c r="G1229" s="5" t="s">
        <v>177</v>
      </c>
      <c r="H1229" s="5">
        <v>1</v>
      </c>
      <c r="I1229" s="5"/>
    </row>
    <row r="1230" spans="1:9">
      <c r="A1230" s="5">
        <v>95815</v>
      </c>
      <c r="B1230" s="5">
        <v>3</v>
      </c>
      <c r="C1230" s="5">
        <v>1</v>
      </c>
      <c r="D1230" s="5">
        <v>1</v>
      </c>
      <c r="E1230" s="5" t="s">
        <v>177</v>
      </c>
      <c r="F1230" s="5" t="s">
        <v>177</v>
      </c>
      <c r="G1230" s="5" t="s">
        <v>177</v>
      </c>
      <c r="H1230" s="5">
        <v>1</v>
      </c>
      <c r="I1230" s="5"/>
    </row>
    <row r="1231" spans="1:9">
      <c r="A1231" s="5">
        <v>95817</v>
      </c>
      <c r="B1231" s="5">
        <v>1</v>
      </c>
      <c r="C1231" s="5" t="s">
        <v>177</v>
      </c>
      <c r="D1231" s="5" t="s">
        <v>177</v>
      </c>
      <c r="E1231" s="5" t="s">
        <v>177</v>
      </c>
      <c r="F1231" s="5" t="s">
        <v>177</v>
      </c>
      <c r="G1231" s="5">
        <v>1</v>
      </c>
      <c r="H1231" s="5" t="s">
        <v>177</v>
      </c>
      <c r="I1231" s="5"/>
    </row>
    <row r="1232" spans="1:9">
      <c r="A1232" s="5">
        <v>95818</v>
      </c>
      <c r="B1232" s="5">
        <v>1</v>
      </c>
      <c r="C1232" s="5" t="s">
        <v>177</v>
      </c>
      <c r="D1232" s="5" t="s">
        <v>177</v>
      </c>
      <c r="E1232" s="5" t="s">
        <v>177</v>
      </c>
      <c r="F1232" s="5">
        <v>1</v>
      </c>
      <c r="G1232" s="5" t="s">
        <v>177</v>
      </c>
      <c r="H1232" s="5" t="s">
        <v>177</v>
      </c>
      <c r="I1232" s="5"/>
    </row>
    <row r="1233" spans="1:9">
      <c r="A1233" s="5">
        <v>95819</v>
      </c>
      <c r="B1233" s="5">
        <v>2</v>
      </c>
      <c r="C1233" s="5" t="s">
        <v>177</v>
      </c>
      <c r="D1233" s="5">
        <v>1</v>
      </c>
      <c r="E1233" s="5" t="s">
        <v>177</v>
      </c>
      <c r="F1233" s="5" t="s">
        <v>177</v>
      </c>
      <c r="G1233" s="5" t="s">
        <v>177</v>
      </c>
      <c r="H1233" s="5">
        <v>1</v>
      </c>
      <c r="I1233" s="5"/>
    </row>
    <row r="1234" spans="1:9">
      <c r="A1234" s="5">
        <v>95820</v>
      </c>
      <c r="B1234" s="5">
        <v>4</v>
      </c>
      <c r="C1234" s="5">
        <v>3</v>
      </c>
      <c r="D1234" s="5" t="s">
        <v>177</v>
      </c>
      <c r="E1234" s="5">
        <v>1</v>
      </c>
      <c r="F1234" s="5" t="s">
        <v>177</v>
      </c>
      <c r="G1234" s="5" t="s">
        <v>177</v>
      </c>
      <c r="H1234" s="5" t="s">
        <v>177</v>
      </c>
      <c r="I1234" s="5"/>
    </row>
    <row r="1235" spans="1:9">
      <c r="A1235" s="5">
        <v>95821</v>
      </c>
      <c r="B1235" s="5">
        <v>4</v>
      </c>
      <c r="C1235" s="5">
        <v>1</v>
      </c>
      <c r="D1235" s="5">
        <v>1</v>
      </c>
      <c r="E1235" s="5" t="s">
        <v>177</v>
      </c>
      <c r="F1235" s="5">
        <v>1</v>
      </c>
      <c r="G1235" s="5">
        <v>1</v>
      </c>
      <c r="H1235" s="5" t="s">
        <v>177</v>
      </c>
      <c r="I1235" s="5"/>
    </row>
    <row r="1236" spans="1:9">
      <c r="A1236" s="5">
        <v>95822</v>
      </c>
      <c r="B1236" s="5">
        <v>4</v>
      </c>
      <c r="C1236" s="5" t="s">
        <v>177</v>
      </c>
      <c r="D1236" s="5" t="s">
        <v>177</v>
      </c>
      <c r="E1236" s="5">
        <v>3</v>
      </c>
      <c r="F1236" s="5" t="s">
        <v>177</v>
      </c>
      <c r="G1236" s="5" t="s">
        <v>177</v>
      </c>
      <c r="H1236" s="5">
        <v>1</v>
      </c>
      <c r="I1236" s="5"/>
    </row>
    <row r="1237" spans="1:9">
      <c r="A1237" s="5">
        <v>95823</v>
      </c>
      <c r="B1237" s="5">
        <v>12</v>
      </c>
      <c r="C1237" s="5">
        <v>2</v>
      </c>
      <c r="D1237" s="5">
        <v>2</v>
      </c>
      <c r="E1237" s="5">
        <v>1</v>
      </c>
      <c r="F1237" s="5">
        <v>2</v>
      </c>
      <c r="G1237" s="5">
        <v>2</v>
      </c>
      <c r="H1237" s="5">
        <v>3</v>
      </c>
      <c r="I1237" s="5"/>
    </row>
    <row r="1238" spans="1:9">
      <c r="A1238" s="5">
        <v>95824</v>
      </c>
      <c r="B1238" s="5">
        <v>2</v>
      </c>
      <c r="C1238" s="5">
        <v>1</v>
      </c>
      <c r="D1238" s="5" t="s">
        <v>177</v>
      </c>
      <c r="E1238" s="5" t="s">
        <v>177</v>
      </c>
      <c r="F1238" s="5">
        <v>1</v>
      </c>
      <c r="G1238" s="5" t="s">
        <v>177</v>
      </c>
      <c r="H1238" s="5" t="s">
        <v>177</v>
      </c>
      <c r="I1238" s="5"/>
    </row>
    <row r="1239" spans="1:9">
      <c r="A1239" s="5">
        <v>95825</v>
      </c>
      <c r="B1239" s="5">
        <v>1</v>
      </c>
      <c r="C1239" s="5">
        <v>1</v>
      </c>
      <c r="D1239" s="5" t="s">
        <v>177</v>
      </c>
      <c r="E1239" s="5" t="s">
        <v>177</v>
      </c>
      <c r="F1239" s="5" t="s">
        <v>177</v>
      </c>
      <c r="G1239" s="5" t="s">
        <v>177</v>
      </c>
      <c r="H1239" s="5" t="s">
        <v>177</v>
      </c>
      <c r="I1239" s="5"/>
    </row>
    <row r="1240" spans="1:9">
      <c r="A1240" s="5">
        <v>95826</v>
      </c>
      <c r="B1240" s="5">
        <v>1</v>
      </c>
      <c r="C1240" s="5" t="s">
        <v>177</v>
      </c>
      <c r="D1240" s="5" t="s">
        <v>177</v>
      </c>
      <c r="E1240" s="5" t="s">
        <v>177</v>
      </c>
      <c r="F1240" s="5">
        <v>1</v>
      </c>
      <c r="G1240" s="5" t="s">
        <v>177</v>
      </c>
      <c r="H1240" s="5" t="s">
        <v>177</v>
      </c>
      <c r="I1240" s="5"/>
    </row>
    <row r="1241" spans="1:9">
      <c r="A1241" s="5">
        <v>95827</v>
      </c>
      <c r="B1241" s="5">
        <v>1</v>
      </c>
      <c r="C1241" s="5" t="s">
        <v>177</v>
      </c>
      <c r="D1241" s="5" t="s">
        <v>177</v>
      </c>
      <c r="E1241" s="5" t="s">
        <v>177</v>
      </c>
      <c r="F1241" s="5" t="s">
        <v>177</v>
      </c>
      <c r="G1241" s="5">
        <v>1</v>
      </c>
      <c r="H1241" s="5" t="s">
        <v>177</v>
      </c>
      <c r="I1241" s="5"/>
    </row>
    <row r="1242" spans="1:9">
      <c r="A1242" s="5">
        <v>95828</v>
      </c>
      <c r="B1242" s="5">
        <v>16</v>
      </c>
      <c r="C1242" s="5">
        <v>2</v>
      </c>
      <c r="D1242" s="5">
        <v>4</v>
      </c>
      <c r="E1242" s="5">
        <v>1</v>
      </c>
      <c r="F1242" s="5">
        <v>1</v>
      </c>
      <c r="G1242" s="5">
        <v>4</v>
      </c>
      <c r="H1242" s="5">
        <v>4</v>
      </c>
      <c r="I1242" s="5"/>
    </row>
    <row r="1243" spans="1:9">
      <c r="A1243" s="5">
        <v>95829</v>
      </c>
      <c r="B1243" s="5">
        <v>11</v>
      </c>
      <c r="C1243" s="5">
        <v>4</v>
      </c>
      <c r="D1243" s="5">
        <v>1</v>
      </c>
      <c r="E1243" s="5">
        <v>3</v>
      </c>
      <c r="F1243" s="5">
        <v>3</v>
      </c>
      <c r="G1243" s="5" t="s">
        <v>177</v>
      </c>
      <c r="H1243" s="5" t="s">
        <v>177</v>
      </c>
      <c r="I1243" s="5"/>
    </row>
    <row r="1244" spans="1:9">
      <c r="A1244" s="5">
        <v>95831</v>
      </c>
      <c r="B1244" s="5">
        <v>1</v>
      </c>
      <c r="C1244" s="5">
        <v>1</v>
      </c>
      <c r="D1244" s="5" t="s">
        <v>177</v>
      </c>
      <c r="E1244" s="5" t="s">
        <v>177</v>
      </c>
      <c r="F1244" s="5" t="s">
        <v>177</v>
      </c>
      <c r="G1244" s="5" t="s">
        <v>177</v>
      </c>
      <c r="H1244" s="5" t="s">
        <v>177</v>
      </c>
      <c r="I1244" s="5"/>
    </row>
    <row r="1245" spans="1:9">
      <c r="A1245" s="5">
        <v>95832</v>
      </c>
      <c r="B1245" s="5">
        <v>2</v>
      </c>
      <c r="C1245" s="5" t="s">
        <v>177</v>
      </c>
      <c r="D1245" s="5" t="s">
        <v>177</v>
      </c>
      <c r="E1245" s="5">
        <v>1</v>
      </c>
      <c r="F1245" s="5" t="s">
        <v>177</v>
      </c>
      <c r="G1245" s="5">
        <v>1</v>
      </c>
      <c r="H1245" s="5" t="s">
        <v>177</v>
      </c>
      <c r="I1245" s="5"/>
    </row>
    <row r="1246" spans="1:9">
      <c r="A1246" s="5">
        <v>95833</v>
      </c>
      <c r="B1246" s="5">
        <v>5</v>
      </c>
      <c r="C1246" s="5">
        <v>1</v>
      </c>
      <c r="D1246" s="5" t="s">
        <v>177</v>
      </c>
      <c r="E1246" s="5" t="s">
        <v>177</v>
      </c>
      <c r="F1246" s="5">
        <v>1</v>
      </c>
      <c r="G1246" s="5">
        <v>3</v>
      </c>
      <c r="H1246" s="5" t="s">
        <v>177</v>
      </c>
      <c r="I1246" s="5"/>
    </row>
    <row r="1247" spans="1:9">
      <c r="A1247" s="5">
        <v>95834</v>
      </c>
      <c r="B1247" s="5">
        <v>6</v>
      </c>
      <c r="C1247" s="5" t="s">
        <v>177</v>
      </c>
      <c r="D1247" s="5" t="s">
        <v>177</v>
      </c>
      <c r="E1247" s="5">
        <v>1</v>
      </c>
      <c r="F1247" s="5">
        <v>1</v>
      </c>
      <c r="G1247" s="5">
        <v>3</v>
      </c>
      <c r="H1247" s="5">
        <v>1</v>
      </c>
      <c r="I1247" s="5"/>
    </row>
    <row r="1248" spans="1:9">
      <c r="A1248" s="5">
        <v>95835</v>
      </c>
      <c r="B1248" s="5">
        <v>5</v>
      </c>
      <c r="C1248" s="5" t="s">
        <v>177</v>
      </c>
      <c r="D1248" s="5">
        <v>2</v>
      </c>
      <c r="E1248" s="5">
        <v>2</v>
      </c>
      <c r="F1248" s="5" t="s">
        <v>177</v>
      </c>
      <c r="G1248" s="5" t="s">
        <v>177</v>
      </c>
      <c r="H1248" s="5">
        <v>1</v>
      </c>
      <c r="I1248" s="5"/>
    </row>
    <row r="1249" spans="1:9">
      <c r="A1249" s="5">
        <v>95837</v>
      </c>
      <c r="B1249" s="5">
        <v>9</v>
      </c>
      <c r="C1249" s="5">
        <v>3</v>
      </c>
      <c r="D1249" s="5">
        <v>2</v>
      </c>
      <c r="E1249" s="5">
        <v>1</v>
      </c>
      <c r="F1249" s="5" t="s">
        <v>177</v>
      </c>
      <c r="G1249" s="5" t="s">
        <v>177</v>
      </c>
      <c r="H1249" s="5">
        <v>3</v>
      </c>
      <c r="I1249" s="5"/>
    </row>
    <row r="1250" spans="1:9">
      <c r="A1250" s="5">
        <v>95838</v>
      </c>
      <c r="B1250" s="5">
        <v>4</v>
      </c>
      <c r="C1250" s="5" t="s">
        <v>177</v>
      </c>
      <c r="D1250" s="5" t="s">
        <v>177</v>
      </c>
      <c r="E1250" s="5">
        <v>2</v>
      </c>
      <c r="F1250" s="5" t="s">
        <v>177</v>
      </c>
      <c r="G1250" s="5">
        <v>2</v>
      </c>
      <c r="H1250" s="5" t="s">
        <v>177</v>
      </c>
      <c r="I1250" s="5"/>
    </row>
    <row r="1251" spans="1:9">
      <c r="A1251" s="5">
        <v>95841</v>
      </c>
      <c r="B1251" s="5">
        <v>3</v>
      </c>
      <c r="C1251" s="5" t="s">
        <v>177</v>
      </c>
      <c r="D1251" s="5">
        <v>1</v>
      </c>
      <c r="E1251" s="5">
        <v>1</v>
      </c>
      <c r="F1251" s="5">
        <v>1</v>
      </c>
      <c r="G1251" s="5" t="s">
        <v>177</v>
      </c>
      <c r="H1251" s="5" t="s">
        <v>177</v>
      </c>
      <c r="I1251" s="5"/>
    </row>
    <row r="1252" spans="1:9">
      <c r="A1252" s="5">
        <v>95842</v>
      </c>
      <c r="B1252" s="5">
        <v>7</v>
      </c>
      <c r="C1252" s="5">
        <v>1</v>
      </c>
      <c r="D1252" s="5">
        <v>1</v>
      </c>
      <c r="E1252" s="5">
        <v>1</v>
      </c>
      <c r="F1252" s="5">
        <v>1</v>
      </c>
      <c r="G1252" s="5">
        <v>2</v>
      </c>
      <c r="H1252" s="5">
        <v>1</v>
      </c>
      <c r="I1252" s="5"/>
    </row>
    <row r="1253" spans="1:9">
      <c r="A1253" s="5">
        <v>95843</v>
      </c>
      <c r="B1253" s="5">
        <v>4</v>
      </c>
      <c r="C1253" s="5" t="s">
        <v>177</v>
      </c>
      <c r="D1253" s="5">
        <v>1</v>
      </c>
      <c r="E1253" s="5" t="s">
        <v>177</v>
      </c>
      <c r="F1253" s="5">
        <v>1</v>
      </c>
      <c r="G1253" s="5">
        <v>1</v>
      </c>
      <c r="H1253" s="5">
        <v>1</v>
      </c>
      <c r="I1253" s="5"/>
    </row>
    <row r="1254" spans="1:9">
      <c r="A1254" s="5">
        <v>95864</v>
      </c>
      <c r="B1254" s="5">
        <v>1</v>
      </c>
      <c r="C1254" s="5" t="s">
        <v>177</v>
      </c>
      <c r="D1254" s="5" t="s">
        <v>177</v>
      </c>
      <c r="E1254" s="5" t="s">
        <v>177</v>
      </c>
      <c r="F1254" s="5" t="s">
        <v>177</v>
      </c>
      <c r="G1254" s="5" t="s">
        <v>177</v>
      </c>
      <c r="H1254" s="5">
        <v>1</v>
      </c>
      <c r="I1254" s="5"/>
    </row>
    <row r="1255" spans="1:9">
      <c r="A1255" s="5">
        <v>95901</v>
      </c>
      <c r="B1255" s="5">
        <v>65</v>
      </c>
      <c r="C1255" s="5">
        <v>9</v>
      </c>
      <c r="D1255" s="5">
        <v>5</v>
      </c>
      <c r="E1255" s="5">
        <v>18</v>
      </c>
      <c r="F1255" s="5">
        <v>4</v>
      </c>
      <c r="G1255" s="5">
        <v>13</v>
      </c>
      <c r="H1255" s="5">
        <v>16</v>
      </c>
      <c r="I1255" s="5"/>
    </row>
    <row r="1256" spans="1:9">
      <c r="A1256" s="5">
        <v>95961</v>
      </c>
      <c r="B1256" s="5">
        <v>89</v>
      </c>
      <c r="C1256" s="5">
        <v>15</v>
      </c>
      <c r="D1256" s="5">
        <v>11</v>
      </c>
      <c r="E1256" s="5">
        <v>16</v>
      </c>
      <c r="F1256" s="5">
        <v>13</v>
      </c>
      <c r="G1256" s="5">
        <v>18</v>
      </c>
      <c r="H1256" s="5">
        <v>16</v>
      </c>
      <c r="I1256" s="5"/>
    </row>
    <row r="1257" spans="1:9">
      <c r="A1257" s="5">
        <v>95991</v>
      </c>
      <c r="B1257" s="5">
        <v>71</v>
      </c>
      <c r="C1257" s="5">
        <v>11</v>
      </c>
      <c r="D1257" s="5">
        <v>12</v>
      </c>
      <c r="E1257" s="5">
        <v>17</v>
      </c>
      <c r="F1257" s="5">
        <v>10</v>
      </c>
      <c r="G1257" s="5">
        <v>12</v>
      </c>
      <c r="H1257" s="5">
        <v>9</v>
      </c>
      <c r="I1257" s="5"/>
    </row>
    <row r="1258" spans="1:9">
      <c r="A1258" s="5">
        <v>95993</v>
      </c>
      <c r="B1258" s="5">
        <v>73</v>
      </c>
      <c r="C1258" s="5">
        <v>9</v>
      </c>
      <c r="D1258" s="5">
        <v>9</v>
      </c>
      <c r="E1258" s="5">
        <v>9</v>
      </c>
      <c r="F1258" s="5">
        <v>8</v>
      </c>
      <c r="G1258" s="5">
        <v>25</v>
      </c>
      <c r="H1258" s="5">
        <v>13</v>
      </c>
      <c r="I1258" s="5"/>
    </row>
    <row r="1259" spans="1:9">
      <c r="A1259" s="5">
        <v>97003</v>
      </c>
      <c r="B1259" s="5">
        <v>56</v>
      </c>
      <c r="C1259" s="5">
        <v>9</v>
      </c>
      <c r="D1259" s="5">
        <v>9</v>
      </c>
      <c r="E1259" s="5">
        <v>4</v>
      </c>
      <c r="F1259" s="5">
        <v>11</v>
      </c>
      <c r="G1259" s="5">
        <v>7</v>
      </c>
      <c r="H1259" s="5">
        <v>16</v>
      </c>
      <c r="I1259" s="5"/>
    </row>
    <row r="1260" spans="1:9">
      <c r="A1260" s="5">
        <v>97005</v>
      </c>
      <c r="B1260" s="5">
        <v>65</v>
      </c>
      <c r="C1260" s="5">
        <v>5</v>
      </c>
      <c r="D1260" s="5">
        <v>9</v>
      </c>
      <c r="E1260" s="5">
        <v>6</v>
      </c>
      <c r="F1260" s="5">
        <v>15</v>
      </c>
      <c r="G1260" s="5">
        <v>9</v>
      </c>
      <c r="H1260" s="5">
        <v>21</v>
      </c>
      <c r="I1260" s="5"/>
    </row>
    <row r="1261" spans="1:9">
      <c r="A1261" s="5">
        <v>97007</v>
      </c>
      <c r="B1261" s="5">
        <v>96</v>
      </c>
      <c r="C1261" s="5">
        <v>22</v>
      </c>
      <c r="D1261" s="5">
        <v>17</v>
      </c>
      <c r="E1261" s="5">
        <v>10</v>
      </c>
      <c r="F1261" s="5">
        <v>12</v>
      </c>
      <c r="G1261" s="5">
        <v>12</v>
      </c>
      <c r="H1261" s="5">
        <v>23</v>
      </c>
      <c r="I1261" s="5"/>
    </row>
    <row r="1262" spans="1:9">
      <c r="A1262" s="5">
        <v>97009</v>
      </c>
      <c r="B1262" s="5">
        <v>13</v>
      </c>
      <c r="C1262" s="5">
        <v>3</v>
      </c>
      <c r="D1262" s="5">
        <v>1</v>
      </c>
      <c r="E1262" s="5">
        <v>2</v>
      </c>
      <c r="F1262" s="5">
        <v>2</v>
      </c>
      <c r="G1262" s="5">
        <v>2</v>
      </c>
      <c r="H1262" s="5">
        <v>3</v>
      </c>
      <c r="I1262" s="5"/>
    </row>
    <row r="1263" spans="1:9">
      <c r="A1263" s="5">
        <v>97015</v>
      </c>
      <c r="B1263" s="5">
        <v>51</v>
      </c>
      <c r="C1263" s="5">
        <v>5</v>
      </c>
      <c r="D1263" s="5">
        <v>10</v>
      </c>
      <c r="E1263" s="5">
        <v>8</v>
      </c>
      <c r="F1263" s="5">
        <v>8</v>
      </c>
      <c r="G1263" s="5">
        <v>5</v>
      </c>
      <c r="H1263" s="5">
        <v>15</v>
      </c>
      <c r="I1263" s="5"/>
    </row>
    <row r="1264" spans="1:9">
      <c r="A1264" s="5">
        <v>97024</v>
      </c>
      <c r="B1264" s="5">
        <v>18</v>
      </c>
      <c r="C1264" s="5">
        <v>3</v>
      </c>
      <c r="D1264" s="5">
        <v>3</v>
      </c>
      <c r="E1264" s="5">
        <v>3</v>
      </c>
      <c r="F1264" s="5">
        <v>4</v>
      </c>
      <c r="G1264" s="5" t="s">
        <v>177</v>
      </c>
      <c r="H1264" s="5">
        <v>5</v>
      </c>
      <c r="I1264" s="5"/>
    </row>
    <row r="1265" spans="1:9">
      <c r="A1265" s="5">
        <v>97027</v>
      </c>
      <c r="B1265" s="5">
        <v>23</v>
      </c>
      <c r="C1265" s="5">
        <v>2</v>
      </c>
      <c r="D1265" s="5">
        <v>4</v>
      </c>
      <c r="E1265" s="5" t="s">
        <v>177</v>
      </c>
      <c r="F1265" s="5">
        <v>6</v>
      </c>
      <c r="G1265" s="5">
        <v>3</v>
      </c>
      <c r="H1265" s="5">
        <v>8</v>
      </c>
      <c r="I1265" s="5"/>
    </row>
    <row r="1266" spans="1:9">
      <c r="A1266" s="5">
        <v>97030</v>
      </c>
      <c r="B1266" s="5">
        <v>77</v>
      </c>
      <c r="C1266" s="5">
        <v>13</v>
      </c>
      <c r="D1266" s="5">
        <v>19</v>
      </c>
      <c r="E1266" s="5">
        <v>10</v>
      </c>
      <c r="F1266" s="5">
        <v>6</v>
      </c>
      <c r="G1266" s="5">
        <v>12</v>
      </c>
      <c r="H1266" s="5">
        <v>17</v>
      </c>
      <c r="I1266" s="5"/>
    </row>
    <row r="1267" spans="1:9">
      <c r="A1267" s="5">
        <v>97034</v>
      </c>
      <c r="B1267" s="5">
        <v>19</v>
      </c>
      <c r="C1267" s="5">
        <v>2</v>
      </c>
      <c r="D1267" s="5">
        <v>2</v>
      </c>
      <c r="E1267" s="5">
        <v>1</v>
      </c>
      <c r="F1267" s="5">
        <v>4</v>
      </c>
      <c r="G1267" s="5">
        <v>4</v>
      </c>
      <c r="H1267" s="5">
        <v>6</v>
      </c>
      <c r="I1267" s="5"/>
    </row>
    <row r="1268" spans="1:9">
      <c r="A1268" s="5">
        <v>97035</v>
      </c>
      <c r="B1268" s="5">
        <v>40</v>
      </c>
      <c r="C1268" s="5">
        <v>6</v>
      </c>
      <c r="D1268" s="5">
        <v>8</v>
      </c>
      <c r="E1268" s="5">
        <v>4</v>
      </c>
      <c r="F1268" s="5">
        <v>9</v>
      </c>
      <c r="G1268" s="5" t="s">
        <v>177</v>
      </c>
      <c r="H1268" s="5">
        <v>13</v>
      </c>
      <c r="I1268" s="5"/>
    </row>
    <row r="1269" spans="1:9">
      <c r="A1269" s="5">
        <v>97045</v>
      </c>
      <c r="B1269" s="5">
        <v>81</v>
      </c>
      <c r="C1269" s="5">
        <v>9</v>
      </c>
      <c r="D1269" s="5">
        <v>10</v>
      </c>
      <c r="E1269" s="5">
        <v>11</v>
      </c>
      <c r="F1269" s="5">
        <v>12</v>
      </c>
      <c r="G1269" s="5">
        <v>12</v>
      </c>
      <c r="H1269" s="5">
        <v>27</v>
      </c>
      <c r="I1269" s="5"/>
    </row>
    <row r="1270" spans="1:9">
      <c r="A1270" s="5">
        <v>97060</v>
      </c>
      <c r="B1270" s="5">
        <v>36</v>
      </c>
      <c r="C1270" s="5">
        <v>10</v>
      </c>
      <c r="D1270" s="5">
        <v>3</v>
      </c>
      <c r="E1270" s="5">
        <v>3</v>
      </c>
      <c r="F1270" s="5">
        <v>8</v>
      </c>
      <c r="G1270" s="5">
        <v>5</v>
      </c>
      <c r="H1270" s="5">
        <v>7</v>
      </c>
      <c r="I1270" s="5"/>
    </row>
    <row r="1271" spans="1:9">
      <c r="A1271" s="5">
        <v>97062</v>
      </c>
      <c r="B1271" s="5">
        <v>58</v>
      </c>
      <c r="C1271" s="5">
        <v>10</v>
      </c>
      <c r="D1271" s="5">
        <v>7</v>
      </c>
      <c r="E1271" s="5">
        <v>6</v>
      </c>
      <c r="F1271" s="5">
        <v>10</v>
      </c>
      <c r="G1271" s="5">
        <v>6</v>
      </c>
      <c r="H1271" s="5">
        <v>19</v>
      </c>
      <c r="I1271" s="5"/>
    </row>
    <row r="1272" spans="1:9">
      <c r="A1272" s="5">
        <v>97068</v>
      </c>
      <c r="B1272" s="5">
        <v>37</v>
      </c>
      <c r="C1272" s="5">
        <v>6</v>
      </c>
      <c r="D1272" s="5">
        <v>5</v>
      </c>
      <c r="E1272" s="5">
        <v>3</v>
      </c>
      <c r="F1272" s="5">
        <v>11</v>
      </c>
      <c r="G1272" s="5">
        <v>4</v>
      </c>
      <c r="H1272" s="5">
        <v>8</v>
      </c>
      <c r="I1272" s="5"/>
    </row>
    <row r="1273" spans="1:9">
      <c r="A1273" s="5">
        <v>97070</v>
      </c>
      <c r="B1273" s="5">
        <v>27</v>
      </c>
      <c r="C1273" s="5">
        <v>2</v>
      </c>
      <c r="D1273" s="5">
        <v>6</v>
      </c>
      <c r="E1273" s="5">
        <v>5</v>
      </c>
      <c r="F1273" s="5">
        <v>6</v>
      </c>
      <c r="G1273" s="5">
        <v>4</v>
      </c>
      <c r="H1273" s="5">
        <v>4</v>
      </c>
      <c r="I1273" s="5"/>
    </row>
    <row r="1274" spans="1:9">
      <c r="A1274" s="5">
        <v>97080</v>
      </c>
      <c r="B1274" s="5">
        <v>72</v>
      </c>
      <c r="C1274" s="5">
        <v>9</v>
      </c>
      <c r="D1274" s="5">
        <v>12</v>
      </c>
      <c r="E1274" s="5">
        <v>5</v>
      </c>
      <c r="F1274" s="5">
        <v>12</v>
      </c>
      <c r="G1274" s="5">
        <v>10</v>
      </c>
      <c r="H1274" s="5">
        <v>24</v>
      </c>
      <c r="I1274" s="5"/>
    </row>
    <row r="1275" spans="1:9">
      <c r="A1275" s="5">
        <v>97086</v>
      </c>
      <c r="B1275" s="5">
        <v>82</v>
      </c>
      <c r="C1275" s="5">
        <v>11</v>
      </c>
      <c r="D1275" s="5">
        <v>11</v>
      </c>
      <c r="E1275" s="5">
        <v>7</v>
      </c>
      <c r="F1275" s="5">
        <v>20</v>
      </c>
      <c r="G1275" s="5">
        <v>12</v>
      </c>
      <c r="H1275" s="5">
        <v>21</v>
      </c>
      <c r="I1275" s="5"/>
    </row>
    <row r="1276" spans="1:9">
      <c r="A1276" s="5">
        <v>97089</v>
      </c>
      <c r="B1276" s="5">
        <v>20</v>
      </c>
      <c r="C1276" s="5">
        <v>6</v>
      </c>
      <c r="D1276" s="5">
        <v>1</v>
      </c>
      <c r="E1276" s="5">
        <v>4</v>
      </c>
      <c r="F1276" s="5">
        <v>4</v>
      </c>
      <c r="G1276" s="5">
        <v>1</v>
      </c>
      <c r="H1276" s="5">
        <v>4</v>
      </c>
      <c r="I1276" s="5"/>
    </row>
    <row r="1277" spans="1:9">
      <c r="A1277" s="5">
        <v>97140</v>
      </c>
      <c r="B1277" s="5">
        <v>21</v>
      </c>
      <c r="C1277" s="5">
        <v>2</v>
      </c>
      <c r="D1277" s="5">
        <v>4</v>
      </c>
      <c r="E1277" s="5">
        <v>2</v>
      </c>
      <c r="F1277" s="5">
        <v>5</v>
      </c>
      <c r="G1277" s="5">
        <v>1</v>
      </c>
      <c r="H1277" s="5">
        <v>7</v>
      </c>
      <c r="I1277" s="5"/>
    </row>
    <row r="1278" spans="1:9">
      <c r="A1278" s="5">
        <v>97201</v>
      </c>
      <c r="B1278" s="5">
        <v>47</v>
      </c>
      <c r="C1278" s="5">
        <v>5</v>
      </c>
      <c r="D1278" s="5">
        <v>7</v>
      </c>
      <c r="E1278" s="5">
        <v>7</v>
      </c>
      <c r="F1278" s="5">
        <v>10</v>
      </c>
      <c r="G1278" s="5">
        <v>7</v>
      </c>
      <c r="H1278" s="5">
        <v>11</v>
      </c>
      <c r="I1278" s="5"/>
    </row>
    <row r="1279" spans="1:9">
      <c r="A1279" s="5">
        <v>97202</v>
      </c>
      <c r="B1279" s="5">
        <v>76</v>
      </c>
      <c r="C1279" s="5">
        <v>16</v>
      </c>
      <c r="D1279" s="5">
        <v>7</v>
      </c>
      <c r="E1279" s="5">
        <v>9</v>
      </c>
      <c r="F1279" s="5">
        <v>12</v>
      </c>
      <c r="G1279" s="5">
        <v>11</v>
      </c>
      <c r="H1279" s="5">
        <v>21</v>
      </c>
      <c r="I1279" s="5"/>
    </row>
    <row r="1280" spans="1:9">
      <c r="A1280" s="5">
        <v>97203</v>
      </c>
      <c r="B1280" s="5">
        <v>58</v>
      </c>
      <c r="C1280" s="5">
        <v>10</v>
      </c>
      <c r="D1280" s="5">
        <v>7</v>
      </c>
      <c r="E1280" s="5">
        <v>4</v>
      </c>
      <c r="F1280" s="5">
        <v>15</v>
      </c>
      <c r="G1280" s="5">
        <v>4</v>
      </c>
      <c r="H1280" s="5">
        <v>18</v>
      </c>
      <c r="I1280" s="5"/>
    </row>
    <row r="1281" spans="1:9">
      <c r="A1281" s="5">
        <v>97205</v>
      </c>
      <c r="B1281" s="5">
        <v>18</v>
      </c>
      <c r="C1281" s="5">
        <v>1</v>
      </c>
      <c r="D1281" s="5" t="s">
        <v>177</v>
      </c>
      <c r="E1281" s="5">
        <v>5</v>
      </c>
      <c r="F1281" s="5">
        <v>5</v>
      </c>
      <c r="G1281" s="5">
        <v>2</v>
      </c>
      <c r="H1281" s="5">
        <v>5</v>
      </c>
      <c r="I1281" s="5"/>
    </row>
    <row r="1282" spans="1:9">
      <c r="A1282" s="5">
        <v>97206</v>
      </c>
      <c r="B1282" s="5">
        <v>111</v>
      </c>
      <c r="C1282" s="5">
        <v>14</v>
      </c>
      <c r="D1282" s="5">
        <v>14</v>
      </c>
      <c r="E1282" s="5">
        <v>10</v>
      </c>
      <c r="F1282" s="5">
        <v>30</v>
      </c>
      <c r="G1282" s="5">
        <v>16</v>
      </c>
      <c r="H1282" s="5">
        <v>27</v>
      </c>
      <c r="I1282" s="5"/>
    </row>
    <row r="1283" spans="1:9">
      <c r="A1283" s="5">
        <v>97210</v>
      </c>
      <c r="B1283" s="5">
        <v>29</v>
      </c>
      <c r="C1283" s="5">
        <v>4</v>
      </c>
      <c r="D1283" s="5">
        <v>4</v>
      </c>
      <c r="E1283" s="5">
        <v>3</v>
      </c>
      <c r="F1283" s="5">
        <v>3</v>
      </c>
      <c r="G1283" s="5">
        <v>6</v>
      </c>
      <c r="H1283" s="5">
        <v>9</v>
      </c>
      <c r="I1283" s="5"/>
    </row>
    <row r="1284" spans="1:9">
      <c r="A1284" s="5">
        <v>97211</v>
      </c>
      <c r="B1284" s="5">
        <v>53</v>
      </c>
      <c r="C1284" s="5">
        <v>4</v>
      </c>
      <c r="D1284" s="5">
        <v>5</v>
      </c>
      <c r="E1284" s="5">
        <v>8</v>
      </c>
      <c r="F1284" s="5">
        <v>17</v>
      </c>
      <c r="G1284" s="5">
        <v>7</v>
      </c>
      <c r="H1284" s="5">
        <v>12</v>
      </c>
      <c r="I1284" s="5"/>
    </row>
    <row r="1285" spans="1:9">
      <c r="A1285" s="5">
        <v>97212</v>
      </c>
      <c r="B1285" s="5">
        <v>33</v>
      </c>
      <c r="C1285" s="5">
        <v>6</v>
      </c>
      <c r="D1285" s="5">
        <v>5</v>
      </c>
      <c r="E1285" s="5">
        <v>1</v>
      </c>
      <c r="F1285" s="5">
        <v>6</v>
      </c>
      <c r="G1285" s="5">
        <v>6</v>
      </c>
      <c r="H1285" s="5">
        <v>9</v>
      </c>
      <c r="I1285" s="5"/>
    </row>
    <row r="1286" spans="1:9">
      <c r="A1286" s="5">
        <v>97213</v>
      </c>
      <c r="B1286" s="5">
        <v>55</v>
      </c>
      <c r="C1286" s="5">
        <v>3</v>
      </c>
      <c r="D1286" s="5">
        <v>12</v>
      </c>
      <c r="E1286" s="5">
        <v>11</v>
      </c>
      <c r="F1286" s="5">
        <v>8</v>
      </c>
      <c r="G1286" s="5">
        <v>8</v>
      </c>
      <c r="H1286" s="5">
        <v>13</v>
      </c>
      <c r="I1286" s="5"/>
    </row>
    <row r="1287" spans="1:9">
      <c r="A1287" s="5">
        <v>97216</v>
      </c>
      <c r="B1287" s="5">
        <v>40</v>
      </c>
      <c r="C1287" s="5">
        <v>7</v>
      </c>
      <c r="D1287" s="5">
        <v>5</v>
      </c>
      <c r="E1287" s="5">
        <v>5</v>
      </c>
      <c r="F1287" s="5">
        <v>8</v>
      </c>
      <c r="G1287" s="5">
        <v>5</v>
      </c>
      <c r="H1287" s="5">
        <v>10</v>
      </c>
      <c r="I1287" s="5"/>
    </row>
    <row r="1288" spans="1:9">
      <c r="A1288" s="5">
        <v>97217</v>
      </c>
      <c r="B1288" s="5">
        <v>55</v>
      </c>
      <c r="C1288" s="5">
        <v>8</v>
      </c>
      <c r="D1288" s="5">
        <v>10</v>
      </c>
      <c r="E1288" s="5">
        <v>6</v>
      </c>
      <c r="F1288" s="5">
        <v>8</v>
      </c>
      <c r="G1288" s="5">
        <v>10</v>
      </c>
      <c r="H1288" s="5">
        <v>13</v>
      </c>
      <c r="I1288" s="5"/>
    </row>
    <row r="1289" spans="1:9">
      <c r="A1289" s="5">
        <v>97218</v>
      </c>
      <c r="B1289" s="5">
        <v>28</v>
      </c>
      <c r="C1289" s="5">
        <v>4</v>
      </c>
      <c r="D1289" s="5">
        <v>6</v>
      </c>
      <c r="E1289" s="5">
        <v>4</v>
      </c>
      <c r="F1289" s="5">
        <v>4</v>
      </c>
      <c r="G1289" s="5">
        <v>2</v>
      </c>
      <c r="H1289" s="5">
        <v>8</v>
      </c>
      <c r="I1289" s="5"/>
    </row>
    <row r="1290" spans="1:9">
      <c r="A1290" s="5">
        <v>97219</v>
      </c>
      <c r="B1290" s="5">
        <v>72</v>
      </c>
      <c r="C1290" s="5">
        <v>11</v>
      </c>
      <c r="D1290" s="5">
        <v>15</v>
      </c>
      <c r="E1290" s="5">
        <v>7</v>
      </c>
      <c r="F1290" s="5">
        <v>14</v>
      </c>
      <c r="G1290" s="5">
        <v>8</v>
      </c>
      <c r="H1290" s="5">
        <v>17</v>
      </c>
      <c r="I1290" s="5"/>
    </row>
    <row r="1291" spans="1:9">
      <c r="A1291" s="5">
        <v>97220</v>
      </c>
      <c r="B1291" s="5">
        <v>70</v>
      </c>
      <c r="C1291" s="5">
        <v>12</v>
      </c>
      <c r="D1291" s="5">
        <v>12</v>
      </c>
      <c r="E1291" s="5">
        <v>13</v>
      </c>
      <c r="F1291" s="5">
        <v>8</v>
      </c>
      <c r="G1291" s="5">
        <v>12</v>
      </c>
      <c r="H1291" s="5">
        <v>13</v>
      </c>
      <c r="I1291" s="5"/>
    </row>
    <row r="1292" spans="1:9">
      <c r="A1292" s="5">
        <v>97221</v>
      </c>
      <c r="B1292" s="5">
        <v>9</v>
      </c>
      <c r="C1292" s="5" t="s">
        <v>177</v>
      </c>
      <c r="D1292" s="5">
        <v>2</v>
      </c>
      <c r="E1292" s="5">
        <v>2</v>
      </c>
      <c r="F1292" s="5">
        <v>3</v>
      </c>
      <c r="G1292" s="5" t="s">
        <v>177</v>
      </c>
      <c r="H1292" s="5">
        <v>2</v>
      </c>
      <c r="I1292" s="5"/>
    </row>
    <row r="1293" spans="1:9">
      <c r="A1293" s="5">
        <v>97222</v>
      </c>
      <c r="B1293" s="5">
        <v>64</v>
      </c>
      <c r="C1293" s="5">
        <v>7</v>
      </c>
      <c r="D1293" s="5">
        <v>8</v>
      </c>
      <c r="E1293" s="5">
        <v>4</v>
      </c>
      <c r="F1293" s="5">
        <v>16</v>
      </c>
      <c r="G1293" s="5">
        <v>11</v>
      </c>
      <c r="H1293" s="5">
        <v>18</v>
      </c>
      <c r="I1293" s="5"/>
    </row>
    <row r="1294" spans="1:9">
      <c r="A1294" s="5">
        <v>97223</v>
      </c>
      <c r="B1294" s="5">
        <v>81</v>
      </c>
      <c r="C1294" s="5">
        <v>15</v>
      </c>
      <c r="D1294" s="5">
        <v>12</v>
      </c>
      <c r="E1294" s="5">
        <v>6</v>
      </c>
      <c r="F1294" s="5">
        <v>15</v>
      </c>
      <c r="G1294" s="5">
        <v>16</v>
      </c>
      <c r="H1294" s="5">
        <v>17</v>
      </c>
      <c r="I1294" s="5"/>
    </row>
    <row r="1295" spans="1:9">
      <c r="A1295" s="5">
        <v>97224</v>
      </c>
      <c r="B1295" s="5">
        <v>67</v>
      </c>
      <c r="C1295" s="5">
        <v>5</v>
      </c>
      <c r="D1295" s="5">
        <v>6</v>
      </c>
      <c r="E1295" s="5">
        <v>9</v>
      </c>
      <c r="F1295" s="5">
        <v>10</v>
      </c>
      <c r="G1295" s="5">
        <v>10</v>
      </c>
      <c r="H1295" s="5">
        <v>27</v>
      </c>
      <c r="I1295" s="5"/>
    </row>
    <row r="1296" spans="1:9">
      <c r="A1296" s="5">
        <v>97225</v>
      </c>
      <c r="B1296" s="5">
        <v>34</v>
      </c>
      <c r="C1296" s="5">
        <v>8</v>
      </c>
      <c r="D1296" s="5">
        <v>5</v>
      </c>
      <c r="E1296" s="5">
        <v>3</v>
      </c>
      <c r="F1296" s="5">
        <v>7</v>
      </c>
      <c r="G1296" s="5">
        <v>4</v>
      </c>
      <c r="H1296" s="5">
        <v>7</v>
      </c>
      <c r="I1296" s="5"/>
    </row>
    <row r="1297" spans="1:9">
      <c r="A1297" s="5">
        <v>97227</v>
      </c>
      <c r="B1297" s="5">
        <v>7</v>
      </c>
      <c r="C1297" s="5" t="s">
        <v>177</v>
      </c>
      <c r="D1297" s="5" t="s">
        <v>177</v>
      </c>
      <c r="E1297" s="5" t="s">
        <v>177</v>
      </c>
      <c r="F1297" s="5">
        <v>2</v>
      </c>
      <c r="G1297" s="5">
        <v>2</v>
      </c>
      <c r="H1297" s="5">
        <v>3</v>
      </c>
      <c r="I1297" s="5"/>
    </row>
    <row r="1298" spans="1:9">
      <c r="A1298" s="5">
        <v>97229</v>
      </c>
      <c r="B1298" s="5">
        <v>140</v>
      </c>
      <c r="C1298" s="5">
        <v>16</v>
      </c>
      <c r="D1298" s="5">
        <v>19</v>
      </c>
      <c r="E1298" s="5">
        <v>15</v>
      </c>
      <c r="F1298" s="5">
        <v>25</v>
      </c>
      <c r="G1298" s="5">
        <v>26</v>
      </c>
      <c r="H1298" s="5">
        <v>39</v>
      </c>
      <c r="I1298" s="5"/>
    </row>
    <row r="1299" spans="1:9">
      <c r="A1299" s="5">
        <v>97230</v>
      </c>
      <c r="B1299" s="5">
        <v>80</v>
      </c>
      <c r="C1299" s="5">
        <v>15</v>
      </c>
      <c r="D1299" s="5">
        <v>11</v>
      </c>
      <c r="E1299" s="5">
        <v>10</v>
      </c>
      <c r="F1299" s="5">
        <v>14</v>
      </c>
      <c r="G1299" s="5">
        <v>15</v>
      </c>
      <c r="H1299" s="5">
        <v>15</v>
      </c>
      <c r="I1299" s="5"/>
    </row>
    <row r="1300" spans="1:9">
      <c r="A1300" s="5">
        <v>97233</v>
      </c>
      <c r="B1300" s="5">
        <v>64</v>
      </c>
      <c r="C1300" s="5">
        <v>9</v>
      </c>
      <c r="D1300" s="5">
        <v>11</v>
      </c>
      <c r="E1300" s="5">
        <v>5</v>
      </c>
      <c r="F1300" s="5">
        <v>9</v>
      </c>
      <c r="G1300" s="5">
        <v>12</v>
      </c>
      <c r="H1300" s="5">
        <v>18</v>
      </c>
      <c r="I1300" s="5"/>
    </row>
    <row r="1301" spans="1:9">
      <c r="A1301" s="5">
        <v>97236</v>
      </c>
      <c r="B1301" s="5">
        <v>71</v>
      </c>
      <c r="C1301" s="5">
        <v>4</v>
      </c>
      <c r="D1301" s="5">
        <v>10</v>
      </c>
      <c r="E1301" s="5">
        <v>7</v>
      </c>
      <c r="F1301" s="5">
        <v>14</v>
      </c>
      <c r="G1301" s="5">
        <v>11</v>
      </c>
      <c r="H1301" s="5">
        <v>25</v>
      </c>
      <c r="I1301" s="5"/>
    </row>
    <row r="1302" spans="1:9">
      <c r="A1302" s="5">
        <v>97239</v>
      </c>
      <c r="B1302" s="5">
        <v>29</v>
      </c>
      <c r="C1302" s="5">
        <v>4</v>
      </c>
      <c r="D1302" s="5">
        <v>4</v>
      </c>
      <c r="E1302" s="5">
        <v>4</v>
      </c>
      <c r="F1302" s="5">
        <v>10</v>
      </c>
      <c r="G1302" s="5">
        <v>3</v>
      </c>
      <c r="H1302" s="5">
        <v>4</v>
      </c>
      <c r="I1302" s="5"/>
    </row>
    <row r="1303" spans="1:9">
      <c r="A1303" s="5">
        <v>97266</v>
      </c>
      <c r="B1303" s="5">
        <v>72</v>
      </c>
      <c r="C1303" s="5">
        <v>19</v>
      </c>
      <c r="D1303" s="5">
        <v>12</v>
      </c>
      <c r="E1303" s="5">
        <v>8</v>
      </c>
      <c r="F1303" s="5">
        <v>9</v>
      </c>
      <c r="G1303" s="5">
        <v>8</v>
      </c>
      <c r="H1303" s="5">
        <v>16</v>
      </c>
      <c r="I1303" s="5"/>
    </row>
    <row r="1304" spans="1:9">
      <c r="A1304" s="5">
        <v>97267</v>
      </c>
      <c r="B1304" s="5">
        <v>75</v>
      </c>
      <c r="C1304" s="5">
        <v>11</v>
      </c>
      <c r="D1304" s="5">
        <v>9</v>
      </c>
      <c r="E1304" s="5">
        <v>8</v>
      </c>
      <c r="F1304" s="5">
        <v>17</v>
      </c>
      <c r="G1304" s="5">
        <v>17</v>
      </c>
      <c r="H1304" s="5">
        <v>13</v>
      </c>
      <c r="I1304" s="5"/>
    </row>
    <row r="1305" spans="1:9">
      <c r="A1305" s="5">
        <v>97301</v>
      </c>
      <c r="B1305" s="5">
        <v>89</v>
      </c>
      <c r="C1305" s="5">
        <v>13</v>
      </c>
      <c r="D1305" s="5">
        <v>18</v>
      </c>
      <c r="E1305" s="5">
        <v>5</v>
      </c>
      <c r="F1305" s="5">
        <v>14</v>
      </c>
      <c r="G1305" s="5">
        <v>11</v>
      </c>
      <c r="H1305" s="5">
        <v>28</v>
      </c>
      <c r="I1305" s="5"/>
    </row>
    <row r="1306" spans="1:9">
      <c r="A1306" s="5">
        <v>97302</v>
      </c>
      <c r="B1306" s="5">
        <v>60</v>
      </c>
      <c r="C1306" s="5">
        <v>8</v>
      </c>
      <c r="D1306" s="5">
        <v>12</v>
      </c>
      <c r="E1306" s="5">
        <v>6</v>
      </c>
      <c r="F1306" s="5">
        <v>11</v>
      </c>
      <c r="G1306" s="5">
        <v>10</v>
      </c>
      <c r="H1306" s="5">
        <v>13</v>
      </c>
      <c r="I1306" s="5"/>
    </row>
    <row r="1307" spans="1:9">
      <c r="A1307" s="5">
        <v>97303</v>
      </c>
      <c r="B1307" s="5">
        <v>55</v>
      </c>
      <c r="C1307" s="5">
        <v>9</v>
      </c>
      <c r="D1307" s="5">
        <v>10</v>
      </c>
      <c r="E1307" s="5">
        <v>5</v>
      </c>
      <c r="F1307" s="5">
        <v>8</v>
      </c>
      <c r="G1307" s="5">
        <v>8</v>
      </c>
      <c r="H1307" s="5">
        <v>15</v>
      </c>
      <c r="I1307" s="5"/>
    </row>
    <row r="1308" spans="1:9">
      <c r="A1308" s="5">
        <v>97304</v>
      </c>
      <c r="B1308" s="5">
        <v>53</v>
      </c>
      <c r="C1308" s="5">
        <v>11</v>
      </c>
      <c r="D1308" s="5">
        <v>7</v>
      </c>
      <c r="E1308" s="5">
        <v>3</v>
      </c>
      <c r="F1308" s="5">
        <v>9</v>
      </c>
      <c r="G1308" s="5">
        <v>7</v>
      </c>
      <c r="H1308" s="5">
        <v>16</v>
      </c>
      <c r="I1308" s="5"/>
    </row>
    <row r="1309" spans="1:9">
      <c r="A1309" s="5">
        <v>97305</v>
      </c>
      <c r="B1309" s="5">
        <v>75</v>
      </c>
      <c r="C1309" s="5">
        <v>9</v>
      </c>
      <c r="D1309" s="5">
        <v>9</v>
      </c>
      <c r="E1309" s="5">
        <v>8</v>
      </c>
      <c r="F1309" s="5">
        <v>15</v>
      </c>
      <c r="G1309" s="5">
        <v>8</v>
      </c>
      <c r="H1309" s="5">
        <v>26</v>
      </c>
      <c r="I1309" s="5"/>
    </row>
    <row r="1310" spans="1:9">
      <c r="A1310" s="5">
        <v>97306</v>
      </c>
      <c r="B1310" s="5">
        <v>49</v>
      </c>
      <c r="C1310" s="5">
        <v>7</v>
      </c>
      <c r="D1310" s="5">
        <v>11</v>
      </c>
      <c r="E1310" s="5">
        <v>6</v>
      </c>
      <c r="F1310" s="5">
        <v>10</v>
      </c>
      <c r="G1310" s="5">
        <v>7</v>
      </c>
      <c r="H1310" s="5">
        <v>8</v>
      </c>
      <c r="I1310" s="5"/>
    </row>
    <row r="1311" spans="1:9">
      <c r="A1311" s="5">
        <v>97317</v>
      </c>
      <c r="B1311" s="5">
        <v>28</v>
      </c>
      <c r="C1311" s="5">
        <v>6</v>
      </c>
      <c r="D1311" s="5">
        <v>6</v>
      </c>
      <c r="E1311" s="5" t="s">
        <v>177</v>
      </c>
      <c r="F1311" s="5">
        <v>2</v>
      </c>
      <c r="G1311" s="5">
        <v>2</v>
      </c>
      <c r="H1311" s="5">
        <v>12</v>
      </c>
      <c r="I1311" s="5"/>
    </row>
    <row r="1312" spans="1:9">
      <c r="A1312" s="5">
        <v>97401</v>
      </c>
      <c r="B1312" s="5">
        <v>66</v>
      </c>
      <c r="C1312" s="5">
        <v>5</v>
      </c>
      <c r="D1312" s="5">
        <v>14</v>
      </c>
      <c r="E1312" s="5">
        <v>9</v>
      </c>
      <c r="F1312" s="5">
        <v>11</v>
      </c>
      <c r="G1312" s="5">
        <v>14</v>
      </c>
      <c r="H1312" s="5">
        <v>13</v>
      </c>
      <c r="I1312" s="5"/>
    </row>
    <row r="1313" spans="1:9">
      <c r="A1313" s="5">
        <v>97402</v>
      </c>
      <c r="B1313" s="5">
        <v>79</v>
      </c>
      <c r="C1313" s="5">
        <v>14</v>
      </c>
      <c r="D1313" s="5">
        <v>8</v>
      </c>
      <c r="E1313" s="5">
        <v>6</v>
      </c>
      <c r="F1313" s="5">
        <v>17</v>
      </c>
      <c r="G1313" s="5">
        <v>13</v>
      </c>
      <c r="H1313" s="5">
        <v>21</v>
      </c>
      <c r="I1313" s="5"/>
    </row>
    <row r="1314" spans="1:9">
      <c r="A1314" s="5">
        <v>97404</v>
      </c>
      <c r="B1314" s="5">
        <v>58</v>
      </c>
      <c r="C1314" s="5">
        <v>10</v>
      </c>
      <c r="D1314" s="5">
        <v>7</v>
      </c>
      <c r="E1314" s="5">
        <v>7</v>
      </c>
      <c r="F1314" s="5">
        <v>8</v>
      </c>
      <c r="G1314" s="5">
        <v>7</v>
      </c>
      <c r="H1314" s="5">
        <v>19</v>
      </c>
      <c r="I1314" s="5"/>
    </row>
    <row r="1315" spans="1:9">
      <c r="A1315" s="5">
        <v>97405</v>
      </c>
      <c r="B1315" s="5">
        <v>79</v>
      </c>
      <c r="C1315" s="5">
        <v>10</v>
      </c>
      <c r="D1315" s="5">
        <v>11</v>
      </c>
      <c r="E1315" s="5">
        <v>5</v>
      </c>
      <c r="F1315" s="5">
        <v>19</v>
      </c>
      <c r="G1315" s="5">
        <v>13</v>
      </c>
      <c r="H1315" s="5">
        <v>21</v>
      </c>
      <c r="I1315" s="5"/>
    </row>
    <row r="1316" spans="1:9">
      <c r="A1316" s="5">
        <v>97408</v>
      </c>
      <c r="B1316" s="5">
        <v>12</v>
      </c>
      <c r="C1316" s="5" t="s">
        <v>177</v>
      </c>
      <c r="D1316" s="5">
        <v>3</v>
      </c>
      <c r="E1316" s="5">
        <v>3</v>
      </c>
      <c r="F1316" s="5" t="s">
        <v>177</v>
      </c>
      <c r="G1316" s="5">
        <v>5</v>
      </c>
      <c r="H1316" s="5">
        <v>1</v>
      </c>
      <c r="I1316" s="5"/>
    </row>
    <row r="1317" spans="1:9">
      <c r="A1317" s="5">
        <v>97477</v>
      </c>
      <c r="B1317" s="5">
        <v>62</v>
      </c>
      <c r="C1317" s="5">
        <v>8</v>
      </c>
      <c r="D1317" s="5">
        <v>8</v>
      </c>
      <c r="E1317" s="5">
        <v>5</v>
      </c>
      <c r="F1317" s="5">
        <v>13</v>
      </c>
      <c r="G1317" s="5">
        <v>15</v>
      </c>
      <c r="H1317" s="5">
        <v>13</v>
      </c>
      <c r="I1317" s="5"/>
    </row>
    <row r="1318" spans="1:9">
      <c r="A1318" s="5">
        <v>97478</v>
      </c>
      <c r="B1318" s="5">
        <v>52</v>
      </c>
      <c r="C1318" s="5">
        <v>3</v>
      </c>
      <c r="D1318" s="5">
        <v>6</v>
      </c>
      <c r="E1318" s="5">
        <v>4</v>
      </c>
      <c r="F1318" s="5">
        <v>10</v>
      </c>
      <c r="G1318" s="5">
        <v>10</v>
      </c>
      <c r="H1318" s="5">
        <v>19</v>
      </c>
      <c r="I1318" s="5"/>
    </row>
    <row r="1319" spans="1:9">
      <c r="A1319" s="5" t="s">
        <v>174</v>
      </c>
      <c r="B1319" s="7">
        <v>55235</v>
      </c>
      <c r="C1319" s="7">
        <v>8940</v>
      </c>
      <c r="D1319" s="7">
        <v>7980</v>
      </c>
      <c r="E1319" s="7">
        <v>7032</v>
      </c>
      <c r="F1319" s="7">
        <v>9822</v>
      </c>
      <c r="G1319" s="7">
        <v>7854</v>
      </c>
      <c r="H1319" s="7">
        <v>13607</v>
      </c>
      <c r="I1319" s="5"/>
    </row>
    <row r="1320" spans="1:9">
      <c r="A1320" s="5"/>
      <c r="B1320" s="5"/>
      <c r="C1320" s="5"/>
      <c r="D1320" s="5"/>
      <c r="E1320" s="5"/>
      <c r="F1320" s="5"/>
      <c r="G1320" s="5"/>
      <c r="H1320" s="5"/>
      <c r="I1320" s="5"/>
    </row>
    <row r="1321" spans="1:9">
      <c r="A1321" s="5"/>
      <c r="B1321" s="5"/>
      <c r="C1321" s="5"/>
      <c r="D1321" s="5"/>
      <c r="E1321" s="5"/>
      <c r="F1321" s="5"/>
      <c r="G1321" s="5"/>
      <c r="H1321" s="5"/>
      <c r="I1321" s="5"/>
    </row>
    <row r="1322" spans="1:9">
      <c r="A1322" s="5"/>
      <c r="B1322" s="5"/>
      <c r="C1322" s="5"/>
      <c r="D1322" s="5"/>
      <c r="E1322" s="5"/>
      <c r="F1322" s="5"/>
      <c r="G1322" s="5"/>
      <c r="H1322" s="5"/>
      <c r="I1322" s="5"/>
    </row>
    <row r="1323" spans="1:9">
      <c r="A1323" s="5"/>
      <c r="B1323" s="5"/>
      <c r="C1323" s="5"/>
      <c r="D1323" s="5"/>
      <c r="E1323" s="5"/>
      <c r="F1323" s="5"/>
      <c r="G1323" s="5"/>
      <c r="H1323" s="5"/>
      <c r="I1323" s="5"/>
    </row>
    <row r="1324" spans="1:9">
      <c r="A1324" s="5"/>
      <c r="B1324" s="5"/>
      <c r="C1324" s="5"/>
      <c r="D1324" s="5"/>
      <c r="E1324" s="5"/>
      <c r="F1324" s="5"/>
      <c r="G1324" s="5"/>
      <c r="H1324" s="5"/>
      <c r="I1324" s="5"/>
    </row>
    <row r="1325" spans="1:9">
      <c r="A1325" s="5"/>
      <c r="B1325" s="5"/>
      <c r="C1325" s="5"/>
      <c r="D1325" s="5"/>
      <c r="E1325" s="5"/>
      <c r="F1325" s="5"/>
      <c r="G1325" s="5"/>
      <c r="H1325" s="5"/>
      <c r="I1325" s="5"/>
    </row>
    <row r="1326" spans="1:9">
      <c r="A1326" s="5"/>
      <c r="B1326" s="5"/>
      <c r="C1326" s="5"/>
      <c r="D1326" s="5"/>
      <c r="E1326" s="5"/>
      <c r="F1326" s="5"/>
      <c r="G1326" s="5"/>
      <c r="H1326" s="5"/>
      <c r="I1326" s="5"/>
    </row>
    <row r="1327" spans="1:9">
      <c r="A1327" s="5"/>
      <c r="B1327" s="5"/>
      <c r="C1327" s="5"/>
      <c r="D1327" s="5"/>
      <c r="E1327" s="5"/>
      <c r="F1327" s="5"/>
      <c r="G1327" s="5"/>
      <c r="H1327" s="5"/>
      <c r="I1327" s="5"/>
    </row>
    <row r="1328" spans="1:9">
      <c r="A1328" s="5"/>
      <c r="B1328" s="5"/>
      <c r="C1328" s="5"/>
      <c r="D1328" s="5"/>
      <c r="E1328" s="5"/>
      <c r="F1328" s="5"/>
      <c r="G1328" s="5"/>
      <c r="H1328" s="5"/>
      <c r="I1328" s="5"/>
    </row>
    <row r="1329" spans="1:9">
      <c r="A1329" s="5"/>
      <c r="B1329" s="5"/>
      <c r="C1329" s="5"/>
      <c r="D1329" s="5"/>
      <c r="E1329" s="5"/>
      <c r="F1329" s="5"/>
      <c r="G1329" s="5"/>
      <c r="H1329" s="5"/>
      <c r="I1329" s="5"/>
    </row>
    <row r="1330" spans="1:9">
      <c r="A1330" s="5"/>
      <c r="B1330" s="5"/>
      <c r="C1330" s="5"/>
      <c r="D1330" s="5"/>
      <c r="E1330" s="5"/>
      <c r="F1330" s="5"/>
      <c r="G1330" s="5"/>
      <c r="H1330" s="5"/>
      <c r="I1330" s="5"/>
    </row>
    <row r="1331" spans="1:9">
      <c r="A1331" s="5"/>
      <c r="B1331" s="5"/>
      <c r="C1331" s="5"/>
      <c r="D1331" s="5"/>
      <c r="E1331" s="5"/>
      <c r="F1331" s="5"/>
      <c r="G1331" s="5"/>
      <c r="H1331" s="5"/>
      <c r="I1331" s="5"/>
    </row>
    <row r="1332" spans="1:9">
      <c r="A1332" s="5"/>
      <c r="B1332" s="5"/>
      <c r="C1332" s="5"/>
      <c r="D1332" s="5"/>
      <c r="E1332" s="5"/>
      <c r="F1332" s="5"/>
      <c r="G1332" s="5"/>
      <c r="H1332" s="5"/>
      <c r="I1332" s="5"/>
    </row>
    <row r="1333" spans="1:9">
      <c r="A1333" s="5"/>
      <c r="B1333" s="5"/>
      <c r="C1333" s="5"/>
      <c r="D1333" s="5"/>
      <c r="E1333" s="5"/>
      <c r="F1333" s="5"/>
      <c r="G1333" s="5"/>
      <c r="H1333" s="5"/>
      <c r="I1333" s="5"/>
    </row>
    <row r="1334" spans="1:9">
      <c r="A1334" s="5"/>
      <c r="B1334" s="5"/>
      <c r="C1334" s="5"/>
      <c r="D1334" s="5"/>
      <c r="E1334" s="5"/>
      <c r="F1334" s="5"/>
      <c r="G1334" s="5"/>
      <c r="H1334" s="5"/>
      <c r="I1334" s="5"/>
    </row>
    <row r="1335" spans="1:9">
      <c r="A1335" s="5"/>
      <c r="B1335" s="5"/>
      <c r="C1335" s="5"/>
      <c r="D1335" s="5"/>
      <c r="E1335" s="5"/>
      <c r="F1335" s="5"/>
      <c r="G1335" s="5"/>
      <c r="H1335" s="5"/>
      <c r="I1335" s="5"/>
    </row>
    <row r="1336" spans="1:9">
      <c r="A1336" s="5"/>
      <c r="B1336" s="5"/>
      <c r="C1336" s="5"/>
      <c r="D1336" s="5"/>
      <c r="E1336" s="5"/>
      <c r="F1336" s="5"/>
      <c r="G1336" s="5"/>
      <c r="H1336" s="5"/>
      <c r="I1336" s="5"/>
    </row>
    <row r="1337" spans="1:9">
      <c r="A1337" s="5"/>
      <c r="B1337" s="5"/>
      <c r="C1337" s="5"/>
      <c r="D1337" s="5"/>
      <c r="E1337" s="5"/>
      <c r="F1337" s="5"/>
      <c r="G1337" s="5"/>
      <c r="H1337" s="5"/>
      <c r="I1337" s="5"/>
    </row>
    <row r="1338" spans="1:9">
      <c r="A1338" s="5"/>
      <c r="B1338" s="5"/>
      <c r="C1338" s="5"/>
      <c r="D1338" s="5"/>
      <c r="E1338" s="5"/>
      <c r="F1338" s="5"/>
      <c r="G1338" s="5"/>
      <c r="H1338" s="5"/>
      <c r="I1338" s="5"/>
    </row>
    <row r="1339" spans="1:9">
      <c r="A1339" s="5"/>
      <c r="B1339" s="5"/>
      <c r="C1339" s="5"/>
      <c r="D1339" s="5"/>
      <c r="E1339" s="5"/>
      <c r="F1339" s="5"/>
      <c r="G1339" s="5"/>
      <c r="H1339" s="5"/>
      <c r="I1339" s="5"/>
    </row>
    <row r="1340" spans="1:9">
      <c r="A1340" s="5"/>
      <c r="B1340" s="5"/>
      <c r="C1340" s="5"/>
      <c r="D1340" s="5"/>
      <c r="E1340" s="5"/>
      <c r="F1340" s="5"/>
      <c r="G1340" s="5"/>
      <c r="H1340" s="5"/>
      <c r="I1340" s="5"/>
    </row>
    <row r="1341" spans="1:9">
      <c r="A1341" s="5"/>
      <c r="B1341" s="5"/>
      <c r="C1341" s="5"/>
      <c r="D1341" s="5"/>
      <c r="E1341" s="5"/>
      <c r="F1341" s="5"/>
      <c r="G1341" s="5"/>
      <c r="H1341" s="5"/>
      <c r="I1341" s="5"/>
    </row>
    <row r="1342" spans="1:9">
      <c r="A1342" s="5"/>
      <c r="B1342" s="5"/>
      <c r="C1342" s="5"/>
      <c r="D1342" s="5"/>
      <c r="E1342" s="5"/>
      <c r="F1342" s="5"/>
      <c r="G1342" s="5"/>
      <c r="H1342" s="5"/>
      <c r="I1342" s="5"/>
    </row>
    <row r="1343" spans="1:9">
      <c r="A1343" s="5"/>
      <c r="B1343" s="5"/>
      <c r="C1343" s="5"/>
      <c r="D1343" s="5"/>
      <c r="E1343" s="5"/>
      <c r="F1343" s="5"/>
      <c r="G1343" s="5"/>
      <c r="H1343" s="5"/>
      <c r="I1343" s="5"/>
    </row>
    <row r="1344" spans="1:9">
      <c r="A1344" s="5"/>
      <c r="B1344" s="5"/>
      <c r="C1344" s="5"/>
      <c r="D1344" s="5"/>
      <c r="E1344" s="5"/>
      <c r="F1344" s="5"/>
      <c r="G1344" s="5"/>
      <c r="H1344" s="5"/>
      <c r="I1344" s="5"/>
    </row>
    <row r="1345" spans="1:9">
      <c r="A1345" s="5"/>
      <c r="B1345" s="5"/>
      <c r="C1345" s="5"/>
      <c r="D1345" s="5"/>
      <c r="E1345" s="5"/>
      <c r="F1345" s="5"/>
      <c r="G1345" s="5"/>
      <c r="H1345" s="5"/>
      <c r="I1345" s="5"/>
    </row>
    <row r="1346" spans="1:9">
      <c r="A1346" s="5"/>
      <c r="B1346" s="5"/>
      <c r="C1346" s="5"/>
      <c r="D1346" s="5"/>
      <c r="E1346" s="5"/>
      <c r="F1346" s="5"/>
      <c r="G1346" s="5"/>
      <c r="H1346" s="5"/>
      <c r="I1346" s="5"/>
    </row>
    <row r="1347" spans="1:9">
      <c r="A1347" s="5"/>
      <c r="B1347" s="5"/>
      <c r="C1347" s="5"/>
      <c r="D1347" s="5"/>
      <c r="E1347" s="5"/>
      <c r="F1347" s="5"/>
      <c r="G1347" s="5"/>
      <c r="H1347" s="5"/>
      <c r="I1347" s="5"/>
    </row>
    <row r="1348" spans="1:9">
      <c r="A1348" s="5"/>
      <c r="B1348" s="5"/>
      <c r="C1348" s="5"/>
      <c r="D1348" s="5"/>
      <c r="E1348" s="5"/>
      <c r="F1348" s="5"/>
      <c r="G1348" s="5"/>
      <c r="H1348" s="5"/>
      <c r="I1348" s="5"/>
    </row>
    <row r="1349" spans="1:9">
      <c r="A1349" s="5"/>
      <c r="B1349" s="5"/>
      <c r="C1349" s="5"/>
      <c r="D1349" s="5"/>
      <c r="E1349" s="5"/>
      <c r="F1349" s="5"/>
      <c r="G1349" s="5"/>
      <c r="H1349" s="5"/>
      <c r="I1349" s="5"/>
    </row>
    <row r="1350" spans="1:9">
      <c r="A1350" s="5"/>
      <c r="B1350" s="5"/>
      <c r="C1350" s="5"/>
      <c r="D1350" s="5"/>
      <c r="E1350" s="5"/>
      <c r="F1350" s="5"/>
      <c r="G1350" s="5"/>
      <c r="H1350" s="5"/>
      <c r="I1350" s="5"/>
    </row>
    <row r="1351" spans="1:9">
      <c r="A1351" s="5"/>
      <c r="B1351" s="5"/>
      <c r="C1351" s="5"/>
      <c r="D1351" s="5"/>
      <c r="E1351" s="5"/>
      <c r="F1351" s="5"/>
      <c r="G1351" s="5"/>
      <c r="H1351" s="5"/>
      <c r="I1351" s="5"/>
    </row>
    <row r="1352" spans="1:9">
      <c r="A1352" s="5"/>
      <c r="B1352" s="5"/>
      <c r="C1352" s="5"/>
      <c r="D1352" s="5"/>
      <c r="E1352" s="5"/>
      <c r="F1352" s="5"/>
      <c r="G1352" s="5"/>
      <c r="H1352" s="5"/>
      <c r="I1352" s="5"/>
    </row>
    <row r="1353" spans="1:9">
      <c r="A1353" s="5"/>
      <c r="B1353" s="5"/>
      <c r="C1353" s="5"/>
      <c r="D1353" s="5"/>
      <c r="E1353" s="5"/>
      <c r="F1353" s="5"/>
      <c r="G1353" s="5"/>
      <c r="H1353" s="5"/>
      <c r="I1353" s="5"/>
    </row>
    <row r="1354" spans="1:9">
      <c r="A1354" s="5"/>
      <c r="B1354" s="5"/>
      <c r="C1354" s="5"/>
      <c r="D1354" s="5"/>
      <c r="E1354" s="5"/>
      <c r="F1354" s="5"/>
      <c r="G1354" s="5"/>
      <c r="H1354" s="5"/>
      <c r="I1354" s="5"/>
    </row>
    <row r="1355" spans="1:9">
      <c r="A1355" s="5"/>
      <c r="B1355" s="5"/>
      <c r="C1355" s="5"/>
      <c r="D1355" s="5"/>
      <c r="E1355" s="5"/>
      <c r="F1355" s="5"/>
      <c r="G1355" s="5"/>
      <c r="H1355" s="5"/>
      <c r="I1355" s="5"/>
    </row>
    <row r="1356" spans="1:9">
      <c r="A1356" s="5"/>
      <c r="B1356" s="5"/>
      <c r="C1356" s="5"/>
      <c r="D1356" s="5"/>
      <c r="E1356" s="5"/>
      <c r="F1356" s="5"/>
      <c r="G1356" s="5"/>
      <c r="H1356" s="5"/>
      <c r="I1356" s="5"/>
    </row>
    <row r="1357" spans="1:9">
      <c r="A1357" s="5"/>
      <c r="B1357" s="5"/>
      <c r="C1357" s="5"/>
      <c r="D1357" s="5"/>
      <c r="E1357" s="5"/>
      <c r="F1357" s="5"/>
      <c r="G1357" s="5"/>
      <c r="H1357" s="5"/>
      <c r="I1357" s="5"/>
    </row>
    <row r="1358" spans="1:9">
      <c r="A1358" s="5"/>
      <c r="B1358" s="5"/>
      <c r="C1358" s="5"/>
      <c r="D1358" s="5"/>
      <c r="E1358" s="5"/>
      <c r="F1358" s="5"/>
      <c r="G1358" s="5"/>
      <c r="H1358" s="5"/>
      <c r="I1358" s="5"/>
    </row>
    <row r="1359" spans="1:9">
      <c r="A1359" s="5"/>
      <c r="B1359" s="5"/>
      <c r="C1359" s="5"/>
      <c r="D1359" s="5"/>
      <c r="E1359" s="5"/>
      <c r="F1359" s="5"/>
      <c r="G1359" s="5"/>
      <c r="H1359" s="5"/>
      <c r="I1359" s="5"/>
    </row>
    <row r="1360" spans="1:9">
      <c r="A1360" s="5"/>
      <c r="B1360" s="5"/>
      <c r="C1360" s="5"/>
      <c r="D1360" s="5"/>
      <c r="E1360" s="5"/>
      <c r="F1360" s="5"/>
      <c r="G1360" s="5"/>
      <c r="H1360" s="5"/>
      <c r="I1360" s="5"/>
    </row>
    <row r="1361" spans="1:9">
      <c r="A1361" s="5"/>
      <c r="B1361" s="5"/>
      <c r="C1361" s="5"/>
      <c r="D1361" s="5"/>
      <c r="E1361" s="5"/>
      <c r="F1361" s="5"/>
      <c r="G1361" s="5"/>
      <c r="H1361" s="5"/>
      <c r="I1361" s="5"/>
    </row>
    <row r="1362" spans="1:9">
      <c r="A1362" s="5"/>
      <c r="B1362" s="5"/>
      <c r="C1362" s="5"/>
      <c r="D1362" s="5"/>
      <c r="E1362" s="5"/>
      <c r="F1362" s="5"/>
      <c r="G1362" s="5"/>
      <c r="H1362" s="5"/>
      <c r="I1362" s="5"/>
    </row>
    <row r="1363" spans="1:9">
      <c r="A1363" s="5"/>
      <c r="B1363" s="5"/>
      <c r="C1363" s="5"/>
      <c r="D1363" s="5"/>
      <c r="E1363" s="5"/>
      <c r="F1363" s="5"/>
      <c r="G1363" s="5"/>
      <c r="H1363" s="5"/>
      <c r="I1363" s="5"/>
    </row>
    <row r="1364" spans="1:9">
      <c r="A1364" s="5"/>
      <c r="B1364" s="5"/>
      <c r="C1364" s="5"/>
      <c r="D1364" s="5"/>
      <c r="E1364" s="5"/>
      <c r="F1364" s="5"/>
      <c r="G1364" s="5"/>
      <c r="H1364" s="5"/>
      <c r="I1364" s="5"/>
    </row>
    <row r="1365" spans="1:9">
      <c r="A1365" s="5"/>
      <c r="B1365" s="5"/>
      <c r="C1365" s="5"/>
      <c r="D1365" s="5"/>
      <c r="E1365" s="5"/>
      <c r="F1365" s="5"/>
      <c r="G1365" s="5"/>
      <c r="H1365" s="5"/>
      <c r="I1365" s="5"/>
    </row>
    <row r="1366" spans="1:9">
      <c r="A1366" s="5"/>
      <c r="B1366" s="5"/>
      <c r="C1366" s="5"/>
      <c r="D1366" s="5"/>
      <c r="E1366" s="5"/>
      <c r="F1366" s="5"/>
      <c r="G1366" s="5"/>
      <c r="H1366" s="5"/>
      <c r="I1366" s="5"/>
    </row>
    <row r="1367" spans="1:9">
      <c r="A1367" s="5"/>
      <c r="B1367" s="5"/>
      <c r="C1367" s="5"/>
      <c r="D1367" s="5"/>
      <c r="E1367" s="5"/>
      <c r="F1367" s="5"/>
      <c r="G1367" s="5"/>
      <c r="H1367" s="5"/>
      <c r="I1367" s="5"/>
    </row>
    <row r="1368" spans="1:9">
      <c r="A1368" s="5"/>
      <c r="B1368" s="5"/>
      <c r="C1368" s="5"/>
      <c r="D1368" s="5"/>
      <c r="E1368" s="5"/>
      <c r="F1368" s="5"/>
      <c r="G1368" s="5"/>
      <c r="H1368" s="5"/>
      <c r="I1368" s="5"/>
    </row>
    <row r="1369" spans="1:9">
      <c r="A1369" s="5"/>
      <c r="B1369" s="5"/>
      <c r="C1369" s="5"/>
      <c r="D1369" s="5"/>
      <c r="E1369" s="5"/>
      <c r="F1369" s="5"/>
      <c r="G1369" s="5"/>
      <c r="H1369" s="5"/>
      <c r="I1369" s="5"/>
    </row>
    <row r="1370" spans="1:9">
      <c r="A1370" s="5"/>
      <c r="B1370" s="5"/>
      <c r="C1370" s="5"/>
      <c r="D1370" s="5"/>
      <c r="E1370" s="5"/>
      <c r="F1370" s="5"/>
      <c r="G1370" s="5"/>
      <c r="H1370" s="5"/>
      <c r="I1370" s="5"/>
    </row>
    <row r="1371" spans="1:9">
      <c r="A1371" s="5"/>
      <c r="B1371" s="5"/>
      <c r="C1371" s="5"/>
      <c r="D1371" s="5"/>
      <c r="E1371" s="5"/>
      <c r="F1371" s="5"/>
      <c r="G1371" s="5"/>
      <c r="H1371" s="5"/>
      <c r="I1371" s="5"/>
    </row>
    <row r="1372" spans="1:9">
      <c r="A1372" s="5"/>
      <c r="B1372" s="5"/>
      <c r="C1372" s="5"/>
      <c r="D1372" s="5"/>
      <c r="E1372" s="5"/>
      <c r="F1372" s="5"/>
      <c r="G1372" s="5"/>
      <c r="H1372" s="5"/>
      <c r="I1372" s="5"/>
    </row>
    <row r="1373" spans="1:9">
      <c r="A1373" s="5"/>
      <c r="B1373" s="5"/>
      <c r="C1373" s="5"/>
      <c r="D1373" s="5"/>
      <c r="E1373" s="5"/>
      <c r="F1373" s="5"/>
      <c r="G1373" s="5"/>
      <c r="H1373" s="5"/>
      <c r="I1373" s="5"/>
    </row>
    <row r="1374" spans="1:9">
      <c r="A1374" s="5"/>
      <c r="B1374" s="5"/>
      <c r="C1374" s="5"/>
      <c r="D1374" s="5"/>
      <c r="E1374" s="5"/>
      <c r="F1374" s="5"/>
      <c r="G1374" s="5"/>
      <c r="H1374" s="5"/>
      <c r="I1374" s="5"/>
    </row>
    <row r="1375" spans="1:9">
      <c r="A1375" s="5"/>
      <c r="B1375" s="5"/>
      <c r="C1375" s="5"/>
      <c r="D1375" s="5"/>
      <c r="E1375" s="5"/>
      <c r="F1375" s="5"/>
      <c r="G1375" s="5"/>
      <c r="H1375" s="5"/>
      <c r="I1375" s="5"/>
    </row>
    <row r="1376" spans="1:9">
      <c r="A1376" s="5"/>
      <c r="B1376" s="7"/>
      <c r="C1376" s="7"/>
      <c r="D1376" s="7"/>
      <c r="E1376" s="7"/>
      <c r="F1376" s="7"/>
      <c r="G1376" s="7"/>
      <c r="H1376" s="5"/>
      <c r="I1376" s="7"/>
    </row>
    <row r="1377" spans="1:9">
      <c r="A1377" s="5"/>
      <c r="B1377" s="5"/>
      <c r="C1377" s="5"/>
      <c r="D1377" s="5"/>
      <c r="E1377" s="5"/>
      <c r="F1377" s="5"/>
      <c r="G1377" s="5"/>
      <c r="H1377" s="5"/>
      <c r="I1377" s="5"/>
    </row>
    <row r="1378" spans="1:9">
      <c r="A1378" s="5"/>
      <c r="B1378" s="5"/>
      <c r="C1378" s="5"/>
      <c r="D1378" s="5"/>
      <c r="E1378" s="5"/>
      <c r="F1378" s="5"/>
      <c r="G1378" s="5"/>
      <c r="H1378" s="5"/>
      <c r="I1378" s="5"/>
    </row>
    <row r="1379" spans="1:9">
      <c r="A1379" s="5"/>
      <c r="B1379" s="5"/>
      <c r="C1379" s="5"/>
      <c r="D1379" s="5"/>
      <c r="E1379" s="5"/>
      <c r="F1379" s="5"/>
      <c r="G1379" s="5"/>
      <c r="H1379" s="5"/>
      <c r="I1379" s="5"/>
    </row>
    <row r="1380" spans="1:9">
      <c r="A1380" s="5"/>
      <c r="B1380" s="5"/>
      <c r="C1380" s="5"/>
      <c r="D1380" s="5"/>
      <c r="E1380" s="5"/>
      <c r="F1380" s="5"/>
      <c r="G1380" s="5"/>
      <c r="H1380" s="5"/>
      <c r="I1380" s="5"/>
    </row>
    <row r="1381" spans="1:9">
      <c r="A1381" s="5"/>
      <c r="B1381" s="5"/>
      <c r="C1381" s="5"/>
      <c r="D1381" s="5"/>
      <c r="E1381" s="5"/>
      <c r="F1381" s="5"/>
      <c r="G1381" s="5"/>
      <c r="H1381" s="5"/>
      <c r="I1381" s="5"/>
    </row>
    <row r="1382" spans="1:9">
      <c r="A1382" s="5"/>
      <c r="B1382" s="5"/>
      <c r="C1382" s="5"/>
      <c r="D1382" s="5"/>
      <c r="E1382" s="5"/>
      <c r="F1382" s="5"/>
      <c r="G1382" s="5"/>
      <c r="H1382" s="5"/>
      <c r="I1382" s="5"/>
    </row>
    <row r="1383" spans="1:9">
      <c r="A1383" s="5"/>
      <c r="B1383" s="5"/>
      <c r="C1383" s="5"/>
      <c r="D1383" s="5"/>
      <c r="E1383" s="5"/>
      <c r="F1383" s="5"/>
      <c r="G1383" s="5"/>
      <c r="H1383" s="5"/>
      <c r="I1383" s="5"/>
    </row>
    <row r="1384" spans="1:9">
      <c r="A1384" s="5"/>
      <c r="B1384" s="5"/>
      <c r="C1384" s="5"/>
      <c r="D1384" s="5"/>
      <c r="E1384" s="5"/>
      <c r="F1384" s="5"/>
      <c r="G1384" s="5"/>
      <c r="H1384" s="5"/>
      <c r="I1384" s="5"/>
    </row>
    <row r="1385" spans="1:9">
      <c r="A1385" s="5"/>
      <c r="B1385" s="5"/>
      <c r="C1385" s="5"/>
      <c r="D1385" s="5"/>
      <c r="E1385" s="5"/>
      <c r="F1385" s="5"/>
      <c r="G1385" s="5"/>
      <c r="H1385" s="5"/>
      <c r="I1385" s="5"/>
    </row>
    <row r="1386" spans="1:9">
      <c r="A1386" s="5"/>
      <c r="B1386" s="5"/>
      <c r="C1386" s="5"/>
      <c r="D1386" s="5"/>
      <c r="E1386" s="5"/>
      <c r="F1386" s="5"/>
      <c r="G1386" s="5"/>
      <c r="H1386" s="5"/>
      <c r="I1386" s="5"/>
    </row>
    <row r="1387" spans="1:9">
      <c r="A1387" s="5"/>
      <c r="B1387" s="5"/>
      <c r="C1387" s="5"/>
      <c r="D1387" s="5"/>
      <c r="E1387" s="5"/>
      <c r="F1387" s="5"/>
      <c r="G1387" s="5"/>
      <c r="H1387" s="5"/>
      <c r="I1387" s="5"/>
    </row>
    <row r="1388" spans="1:9">
      <c r="A1388" s="5"/>
      <c r="B1388" s="5"/>
      <c r="C1388" s="5"/>
      <c r="D1388" s="5"/>
      <c r="E1388" s="5"/>
      <c r="F1388" s="5"/>
      <c r="G1388" s="5"/>
      <c r="H1388" s="5"/>
      <c r="I1388" s="5"/>
    </row>
    <row r="1389" spans="1:9">
      <c r="A1389" s="5"/>
      <c r="B1389" s="5"/>
      <c r="C1389" s="5"/>
      <c r="D1389" s="5"/>
      <c r="E1389" s="5"/>
      <c r="F1389" s="5"/>
      <c r="G1389" s="5"/>
      <c r="H1389" s="5"/>
      <c r="I1389" s="5"/>
    </row>
    <row r="1390" spans="1:9">
      <c r="A1390" s="5"/>
      <c r="B1390" s="5"/>
      <c r="C1390" s="5"/>
      <c r="D1390" s="5"/>
      <c r="E1390" s="5"/>
      <c r="F1390" s="5"/>
      <c r="G1390" s="5"/>
      <c r="H1390" s="5"/>
      <c r="I1390" s="5"/>
    </row>
    <row r="1391" spans="1:9">
      <c r="A1391" s="5"/>
      <c r="B1391" s="5"/>
      <c r="C1391" s="5"/>
      <c r="D1391" s="5"/>
      <c r="E1391" s="5"/>
      <c r="F1391" s="5"/>
      <c r="G1391" s="5"/>
      <c r="H1391" s="5"/>
      <c r="I1391" s="5"/>
    </row>
    <row r="1392" spans="1:9">
      <c r="A1392" s="5"/>
      <c r="B1392" s="5"/>
      <c r="C1392" s="5"/>
      <c r="D1392" s="5"/>
      <c r="E1392" s="5"/>
      <c r="F1392" s="5"/>
      <c r="G1392" s="5"/>
      <c r="H1392" s="5"/>
      <c r="I1392" s="5"/>
    </row>
    <row r="1393" spans="1:9">
      <c r="A1393" s="5"/>
      <c r="B1393" s="5"/>
      <c r="C1393" s="5"/>
      <c r="D1393" s="5"/>
      <c r="E1393" s="5"/>
      <c r="F1393" s="5"/>
      <c r="G1393" s="5"/>
      <c r="H1393" s="5"/>
      <c r="I1393" s="5"/>
    </row>
    <row r="1394" spans="1:9">
      <c r="A1394" s="5"/>
      <c r="B1394" s="7"/>
      <c r="C1394" s="7"/>
      <c r="D1394" s="7"/>
      <c r="E1394" s="7"/>
      <c r="F1394" s="7"/>
      <c r="G1394" s="7"/>
      <c r="H1394" s="5"/>
      <c r="I1394" s="7"/>
    </row>
    <row r="1395" spans="1:9">
      <c r="A1395" s="5"/>
      <c r="B1395" s="5"/>
      <c r="C1395" s="5"/>
      <c r="D1395" s="5"/>
      <c r="E1395" s="5"/>
      <c r="F1395" s="5"/>
      <c r="G1395" s="5"/>
      <c r="H1395" s="5"/>
    </row>
    <row r="1396" spans="1:9">
      <c r="A1396" s="5"/>
      <c r="B1396" s="5"/>
      <c r="C1396" s="5"/>
      <c r="D1396" s="5"/>
      <c r="E1396" s="5"/>
      <c r="F1396" s="5"/>
      <c r="G1396" s="5"/>
      <c r="H1396" s="5"/>
    </row>
    <row r="1397" spans="1:9">
      <c r="A1397" s="5"/>
      <c r="B1397" s="5"/>
      <c r="C1397" s="5"/>
      <c r="D1397" s="5"/>
      <c r="E1397" s="5"/>
      <c r="F1397" s="5"/>
      <c r="G1397" s="5"/>
      <c r="H1397" s="5"/>
    </row>
    <row r="1398" spans="1:9">
      <c r="A1398" s="5"/>
      <c r="B1398" s="5"/>
      <c r="C1398" s="5"/>
      <c r="D1398" s="5"/>
      <c r="E1398" s="5"/>
      <c r="F1398" s="5"/>
      <c r="G1398" s="5"/>
      <c r="H1398" s="5"/>
    </row>
    <row r="1399" spans="1:9">
      <c r="A1399" s="5"/>
      <c r="B1399" s="5"/>
      <c r="C1399" s="5"/>
      <c r="D1399" s="5"/>
      <c r="E1399" s="5"/>
      <c r="F1399" s="5"/>
      <c r="G1399" s="5"/>
      <c r="H1399" s="5"/>
    </row>
    <row r="1400" spans="1:9">
      <c r="A1400" s="5"/>
      <c r="B1400" s="5"/>
      <c r="C1400" s="5"/>
      <c r="D1400" s="5"/>
      <c r="E1400" s="5"/>
      <c r="F1400" s="5"/>
      <c r="G1400" s="5"/>
      <c r="H1400" s="5"/>
    </row>
    <row r="1401" spans="1:9">
      <c r="A1401" s="5"/>
      <c r="B1401" s="5"/>
      <c r="C1401" s="5"/>
      <c r="D1401" s="5"/>
      <c r="E1401" s="5"/>
      <c r="F1401" s="5"/>
      <c r="G1401" s="5"/>
      <c r="H1401" s="5"/>
    </row>
    <row r="1402" spans="1:9">
      <c r="A1402" s="5"/>
      <c r="B1402" s="5"/>
      <c r="C1402" s="5"/>
      <c r="D1402" s="5"/>
      <c r="E1402" s="5"/>
      <c r="F1402" s="5"/>
      <c r="G1402" s="5"/>
      <c r="H1402" s="5"/>
    </row>
    <row r="1403" spans="1:9">
      <c r="A1403" s="5"/>
      <c r="B1403" s="5"/>
      <c r="C1403" s="5"/>
      <c r="D1403" s="5"/>
      <c r="E1403" s="5"/>
      <c r="F1403" s="5"/>
      <c r="G1403" s="5"/>
      <c r="H1403" s="5"/>
    </row>
    <row r="1404" spans="1:9">
      <c r="A1404" s="5"/>
      <c r="B1404" s="5"/>
      <c r="C1404" s="5"/>
      <c r="D1404" s="5"/>
      <c r="E1404" s="5"/>
      <c r="F1404" s="5"/>
      <c r="G1404" s="5"/>
      <c r="H1404" s="5"/>
    </row>
    <row r="1405" spans="1:9">
      <c r="A1405" s="5"/>
      <c r="B1405" s="5"/>
      <c r="C1405" s="5"/>
      <c r="D1405" s="5"/>
      <c r="E1405" s="5"/>
      <c r="F1405" s="5"/>
      <c r="G1405" s="5"/>
      <c r="H1405" s="5"/>
    </row>
    <row r="1406" spans="1:9">
      <c r="A1406" s="5"/>
      <c r="B1406" s="5"/>
      <c r="C1406" s="5"/>
      <c r="D1406" s="5"/>
      <c r="E1406" s="5"/>
      <c r="F1406" s="5"/>
      <c r="G1406" s="5"/>
      <c r="H1406" s="5"/>
    </row>
    <row r="1407" spans="1:9">
      <c r="A1407" s="5"/>
      <c r="B1407" s="5"/>
      <c r="C1407" s="5"/>
      <c r="D1407" s="5"/>
      <c r="E1407" s="5"/>
      <c r="F1407" s="5"/>
      <c r="G1407" s="5"/>
      <c r="H1407" s="5"/>
    </row>
    <row r="1408" spans="1:9">
      <c r="A1408" s="5"/>
      <c r="B1408" s="5"/>
      <c r="C1408" s="5"/>
      <c r="D1408" s="5"/>
      <c r="E1408" s="5"/>
      <c r="F1408" s="5"/>
      <c r="G1408" s="5"/>
      <c r="H1408" s="5"/>
    </row>
    <row r="1409" spans="1:8">
      <c r="A1409" s="5"/>
      <c r="B1409" s="5"/>
      <c r="C1409" s="5"/>
      <c r="D1409" s="5"/>
      <c r="E1409" s="5"/>
      <c r="F1409" s="5"/>
      <c r="G1409" s="5"/>
      <c r="H1409" s="5"/>
    </row>
    <row r="1410" spans="1:8">
      <c r="A1410" s="5"/>
      <c r="B1410" s="5"/>
      <c r="C1410" s="5"/>
      <c r="D1410" s="5"/>
      <c r="E1410" s="5"/>
      <c r="F1410" s="5"/>
      <c r="G1410" s="5"/>
      <c r="H1410" s="5"/>
    </row>
    <row r="1411" spans="1:8">
      <c r="A1411" s="5"/>
      <c r="B1411" s="5"/>
      <c r="C1411" s="5"/>
      <c r="D1411" s="5"/>
      <c r="E1411" s="5"/>
      <c r="F1411" s="5"/>
      <c r="G1411" s="5"/>
      <c r="H1411" s="5"/>
    </row>
    <row r="1412" spans="1:8">
      <c r="A1412" s="5"/>
      <c r="B1412" s="5"/>
      <c r="C1412" s="5"/>
      <c r="D1412" s="5"/>
      <c r="E1412" s="5"/>
      <c r="F1412" s="5"/>
      <c r="G1412" s="5"/>
      <c r="H1412" s="5"/>
    </row>
    <row r="1413" spans="1:8">
      <c r="A1413" s="5"/>
      <c r="B1413" s="5"/>
      <c r="C1413" s="5"/>
      <c r="D1413" s="5"/>
      <c r="E1413" s="5"/>
      <c r="F1413" s="5"/>
      <c r="G1413" s="5"/>
      <c r="H1413" s="5"/>
    </row>
    <row r="1414" spans="1:8">
      <c r="A1414" s="5"/>
      <c r="B1414" s="5"/>
      <c r="C1414" s="5"/>
      <c r="D1414" s="5"/>
      <c r="E1414" s="5"/>
      <c r="F1414" s="5"/>
      <c r="G1414" s="5"/>
      <c r="H1414" s="5"/>
    </row>
    <row r="1415" spans="1:8">
      <c r="A1415" s="5"/>
      <c r="B1415" s="5"/>
      <c r="C1415" s="5"/>
      <c r="D1415" s="5"/>
      <c r="E1415" s="5"/>
      <c r="F1415" s="5"/>
      <c r="G1415" s="5"/>
      <c r="H1415" s="5"/>
    </row>
    <row r="1416" spans="1:8">
      <c r="A1416" s="5"/>
      <c r="B1416" s="5"/>
      <c r="C1416" s="5"/>
      <c r="D1416" s="5"/>
      <c r="E1416" s="5"/>
      <c r="F1416" s="5"/>
      <c r="G1416" s="5"/>
      <c r="H1416" s="5"/>
    </row>
    <row r="1417" spans="1:8">
      <c r="A1417" s="5"/>
      <c r="B1417" s="5"/>
      <c r="C1417" s="5"/>
      <c r="D1417" s="5"/>
      <c r="E1417" s="5"/>
      <c r="F1417" s="5"/>
      <c r="G1417" s="5"/>
      <c r="H1417" s="5"/>
    </row>
    <row r="1418" spans="1:8">
      <c r="A1418" s="5"/>
      <c r="B1418" s="5"/>
      <c r="C1418" s="5"/>
      <c r="D1418" s="5"/>
      <c r="E1418" s="5"/>
      <c r="F1418" s="5"/>
      <c r="G1418" s="5"/>
      <c r="H1418" s="5"/>
    </row>
    <row r="1419" spans="1:8">
      <c r="A1419" s="5"/>
      <c r="B1419" s="5"/>
      <c r="C1419" s="5"/>
      <c r="D1419" s="5"/>
      <c r="E1419" s="5"/>
      <c r="F1419" s="5"/>
      <c r="G1419" s="5"/>
      <c r="H1419" s="5"/>
    </row>
    <row r="1420" spans="1:8">
      <c r="A1420" s="5"/>
      <c r="B1420" s="5"/>
      <c r="C1420" s="5"/>
      <c r="D1420" s="5"/>
      <c r="E1420" s="5"/>
      <c r="F1420" s="5"/>
      <c r="G1420" s="5"/>
      <c r="H1420" s="5"/>
    </row>
    <row r="1421" spans="1:8">
      <c r="A1421" s="5"/>
      <c r="B1421" s="5"/>
      <c r="C1421" s="5"/>
      <c r="D1421" s="5"/>
      <c r="E1421" s="5"/>
      <c r="F1421" s="5"/>
      <c r="G1421" s="5"/>
      <c r="H1421" s="5"/>
    </row>
    <row r="1422" spans="1:8">
      <c r="A1422" s="5"/>
      <c r="B1422" s="7"/>
      <c r="C1422" s="7"/>
      <c r="D1422" s="7"/>
      <c r="E1422" s="7"/>
      <c r="F1422" s="7"/>
      <c r="G1422" s="7"/>
      <c r="H1422" s="7"/>
    </row>
    <row r="1423" spans="1:8">
      <c r="A1423" s="5"/>
      <c r="B1423" s="5"/>
      <c r="C1423" s="5"/>
      <c r="D1423" s="5"/>
      <c r="E1423" s="5"/>
      <c r="F1423" s="5"/>
      <c r="G1423" s="5"/>
      <c r="H1423" s="5"/>
    </row>
    <row r="1424" spans="1:8">
      <c r="A1424" s="5"/>
      <c r="B1424" s="5"/>
      <c r="C1424" s="5"/>
      <c r="D1424" s="5"/>
      <c r="E1424" s="5"/>
      <c r="F1424" s="5"/>
      <c r="G1424" s="5"/>
      <c r="H1424" s="5"/>
    </row>
    <row r="1425" spans="1:8">
      <c r="A1425" s="5"/>
      <c r="B1425" s="5"/>
      <c r="C1425" s="5"/>
      <c r="D1425" s="5"/>
      <c r="E1425" s="5"/>
      <c r="F1425" s="5"/>
      <c r="G1425" s="5"/>
      <c r="H1425" s="5"/>
    </row>
    <row r="1426" spans="1:8">
      <c r="A1426" s="5"/>
      <c r="B1426" s="5"/>
      <c r="C1426" s="5"/>
      <c r="D1426" s="5"/>
      <c r="E1426" s="5"/>
      <c r="F1426" s="5"/>
      <c r="G1426" s="5"/>
      <c r="H1426" s="5"/>
    </row>
    <row r="1427" spans="1:8">
      <c r="A1427" s="5"/>
      <c r="B1427" s="5"/>
      <c r="C1427" s="5"/>
      <c r="D1427" s="5"/>
      <c r="E1427" s="5"/>
      <c r="F1427" s="5"/>
      <c r="G1427" s="5"/>
      <c r="H1427" s="5"/>
    </row>
    <row r="1428" spans="1:8">
      <c r="A1428" s="5"/>
      <c r="B1428" s="5"/>
      <c r="C1428" s="5"/>
      <c r="D1428" s="5"/>
      <c r="E1428" s="5"/>
      <c r="F1428" s="5"/>
      <c r="G1428" s="5"/>
      <c r="H1428" s="5"/>
    </row>
    <row r="1429" spans="1:8">
      <c r="A1429" s="5"/>
      <c r="B1429" s="5"/>
      <c r="C1429" s="5"/>
      <c r="D1429" s="5"/>
      <c r="E1429" s="5"/>
      <c r="F1429" s="5"/>
      <c r="G1429" s="5"/>
      <c r="H1429" s="5"/>
    </row>
    <row r="1430" spans="1:8">
      <c r="A1430" s="5"/>
      <c r="B1430" s="5"/>
      <c r="C1430" s="5"/>
      <c r="D1430" s="5"/>
      <c r="E1430" s="5"/>
      <c r="F1430" s="5"/>
      <c r="G1430" s="5"/>
      <c r="H1430" s="5"/>
    </row>
    <row r="1431" spans="1:8">
      <c r="A1431" s="5"/>
      <c r="B1431" s="5"/>
      <c r="C1431" s="5"/>
      <c r="D1431" s="5"/>
      <c r="E1431" s="5"/>
      <c r="F1431" s="5"/>
      <c r="G1431" s="5"/>
      <c r="H1431" s="5"/>
    </row>
    <row r="1432" spans="1:8">
      <c r="A1432" s="5"/>
      <c r="B1432" s="5"/>
      <c r="C1432" s="5"/>
      <c r="D1432" s="5"/>
      <c r="E1432" s="5"/>
      <c r="F1432" s="5"/>
      <c r="G1432" s="5"/>
      <c r="H1432" s="5"/>
    </row>
    <row r="1433" spans="1:8">
      <c r="A1433" s="5"/>
      <c r="B1433" s="5"/>
      <c r="C1433" s="5"/>
      <c r="D1433" s="5"/>
      <c r="E1433" s="5"/>
      <c r="F1433" s="5"/>
      <c r="G1433" s="5"/>
      <c r="H1433" s="5"/>
    </row>
    <row r="1434" spans="1:8">
      <c r="A1434" s="5"/>
      <c r="B1434" s="5"/>
      <c r="C1434" s="5"/>
      <c r="D1434" s="5"/>
      <c r="E1434" s="5"/>
      <c r="F1434" s="5"/>
      <c r="G1434" s="5"/>
      <c r="H1434" s="5"/>
    </row>
    <row r="1435" spans="1:8">
      <c r="A1435" s="5"/>
      <c r="B1435" s="5"/>
      <c r="C1435" s="5"/>
      <c r="D1435" s="5"/>
      <c r="E1435" s="5"/>
      <c r="F1435" s="5"/>
      <c r="G1435" s="5"/>
      <c r="H1435" s="5"/>
    </row>
    <row r="1436" spans="1:8">
      <c r="A1436" s="5"/>
      <c r="B1436" s="5"/>
      <c r="C1436" s="5"/>
      <c r="D1436" s="5"/>
      <c r="E1436" s="5"/>
      <c r="F1436" s="5"/>
      <c r="G1436" s="5"/>
      <c r="H1436" s="5"/>
    </row>
    <row r="1437" spans="1:8">
      <c r="A1437" s="5"/>
      <c r="B1437" s="5"/>
      <c r="C1437" s="5"/>
      <c r="D1437" s="5"/>
      <c r="E1437" s="5"/>
      <c r="F1437" s="5"/>
      <c r="G1437" s="5"/>
      <c r="H1437" s="5"/>
    </row>
    <row r="1438" spans="1:8">
      <c r="A1438" s="5"/>
      <c r="B1438" s="5"/>
      <c r="C1438" s="5"/>
      <c r="D1438" s="5"/>
      <c r="E1438" s="5"/>
      <c r="F1438" s="5"/>
      <c r="G1438" s="5"/>
      <c r="H1438" s="5"/>
    </row>
    <row r="1439" spans="1:8">
      <c r="A1439" s="5"/>
      <c r="B1439" s="5"/>
      <c r="C1439" s="5"/>
      <c r="D1439" s="5"/>
      <c r="E1439" s="5"/>
      <c r="F1439" s="5"/>
      <c r="G1439" s="5"/>
      <c r="H1439" s="5"/>
    </row>
    <row r="1440" spans="1:8">
      <c r="A1440" s="5"/>
      <c r="B1440" s="5"/>
      <c r="C1440" s="5"/>
      <c r="D1440" s="5"/>
      <c r="E1440" s="5"/>
      <c r="F1440" s="5"/>
      <c r="G1440" s="5"/>
      <c r="H1440" s="5"/>
    </row>
    <row r="1441" spans="1:8">
      <c r="A1441" s="5"/>
      <c r="B1441" s="5"/>
      <c r="C1441" s="5"/>
      <c r="D1441" s="5"/>
      <c r="E1441" s="5"/>
      <c r="F1441" s="5"/>
      <c r="G1441" s="5"/>
      <c r="H1441" s="5"/>
    </row>
    <row r="1442" spans="1:8">
      <c r="A1442" s="5"/>
      <c r="B1442" s="5"/>
      <c r="C1442" s="5"/>
      <c r="D1442" s="5"/>
      <c r="E1442" s="5"/>
      <c r="F1442" s="5"/>
      <c r="G1442" s="5"/>
      <c r="H1442" s="5"/>
    </row>
    <row r="1443" spans="1:8">
      <c r="A1443" s="5"/>
      <c r="B1443" s="5"/>
      <c r="C1443" s="5"/>
      <c r="D1443" s="5"/>
      <c r="E1443" s="5"/>
      <c r="F1443" s="5"/>
      <c r="G1443" s="5"/>
      <c r="H1443" s="5"/>
    </row>
    <row r="1444" spans="1:8">
      <c r="A1444" s="5"/>
      <c r="B1444" s="5"/>
      <c r="C1444" s="5"/>
      <c r="D1444" s="5"/>
      <c r="E1444" s="5"/>
      <c r="F1444" s="5"/>
      <c r="G1444" s="5"/>
      <c r="H1444" s="5"/>
    </row>
    <row r="1445" spans="1:8">
      <c r="A1445" s="5"/>
      <c r="B1445" s="5"/>
      <c r="C1445" s="5"/>
      <c r="D1445" s="5"/>
      <c r="E1445" s="5"/>
      <c r="F1445" s="5"/>
      <c r="G1445" s="5"/>
      <c r="H1445" s="5"/>
    </row>
    <row r="1446" spans="1:8">
      <c r="A1446" s="5"/>
      <c r="B1446" s="5"/>
      <c r="C1446" s="5"/>
      <c r="D1446" s="5"/>
      <c r="E1446" s="5"/>
      <c r="F1446" s="5"/>
      <c r="G1446" s="5"/>
      <c r="H1446" s="5"/>
    </row>
    <row r="1447" spans="1:8">
      <c r="A1447" s="5"/>
      <c r="B1447" s="5"/>
      <c r="C1447" s="5"/>
      <c r="D1447" s="5"/>
      <c r="E1447" s="5"/>
      <c r="F1447" s="5"/>
      <c r="G1447" s="5"/>
      <c r="H1447" s="5"/>
    </row>
    <row r="1448" spans="1:8">
      <c r="A1448" s="5"/>
      <c r="B1448" s="5"/>
      <c r="C1448" s="5"/>
      <c r="D1448" s="5"/>
      <c r="E1448" s="5"/>
      <c r="F1448" s="5"/>
      <c r="G1448" s="5"/>
      <c r="H1448" s="5"/>
    </row>
    <row r="1449" spans="1:8">
      <c r="A1449" s="5"/>
      <c r="B1449" s="5"/>
      <c r="C1449" s="5"/>
      <c r="D1449" s="5"/>
      <c r="E1449" s="5"/>
      <c r="F1449" s="5"/>
      <c r="G1449" s="5"/>
      <c r="H1449" s="5"/>
    </row>
    <row r="1450" spans="1:8">
      <c r="A1450" s="5"/>
      <c r="B1450" s="5"/>
      <c r="C1450" s="5"/>
      <c r="D1450" s="5"/>
      <c r="E1450" s="5"/>
      <c r="F1450" s="5"/>
      <c r="G1450" s="5"/>
      <c r="H1450" s="5"/>
    </row>
    <row r="1451" spans="1:8">
      <c r="A1451" s="5"/>
      <c r="B1451" s="5"/>
      <c r="C1451" s="5"/>
      <c r="D1451" s="5"/>
      <c r="E1451" s="5"/>
      <c r="F1451" s="5"/>
      <c r="G1451" s="5"/>
      <c r="H1451" s="5"/>
    </row>
    <row r="1452" spans="1:8">
      <c r="A1452" s="5"/>
      <c r="B1452" s="5"/>
      <c r="C1452" s="5"/>
      <c r="D1452" s="5"/>
      <c r="E1452" s="5"/>
      <c r="F1452" s="5"/>
      <c r="G1452" s="5"/>
      <c r="H1452" s="5"/>
    </row>
    <row r="1453" spans="1:8">
      <c r="A1453" s="5"/>
      <c r="B1453" s="5"/>
      <c r="C1453" s="5"/>
      <c r="D1453" s="5"/>
      <c r="E1453" s="5"/>
      <c r="F1453" s="5"/>
      <c r="G1453" s="5"/>
      <c r="H1453" s="5"/>
    </row>
    <row r="1454" spans="1:8">
      <c r="A1454" s="5"/>
      <c r="B1454" s="5"/>
      <c r="C1454" s="5"/>
      <c r="D1454" s="5"/>
      <c r="E1454" s="5"/>
      <c r="F1454" s="5"/>
      <c r="G1454" s="5"/>
      <c r="H1454" s="5"/>
    </row>
    <row r="1455" spans="1:8">
      <c r="A1455" s="5"/>
      <c r="B1455" s="5"/>
      <c r="C1455" s="5"/>
      <c r="D1455" s="5"/>
      <c r="E1455" s="5"/>
      <c r="F1455" s="5"/>
      <c r="G1455" s="5"/>
      <c r="H1455" s="5"/>
    </row>
    <row r="1456" spans="1:8">
      <c r="A1456" s="5"/>
      <c r="B1456" s="5"/>
      <c r="C1456" s="5"/>
      <c r="D1456" s="5"/>
      <c r="E1456" s="5"/>
      <c r="F1456" s="5"/>
      <c r="G1456" s="5"/>
      <c r="H1456" s="5"/>
    </row>
    <row r="1457" spans="1:8">
      <c r="A1457" s="5"/>
      <c r="B1457" s="7"/>
      <c r="C1457" s="7"/>
      <c r="D1457" s="7"/>
      <c r="E1457" s="7"/>
      <c r="F1457" s="7"/>
      <c r="G1457" s="7"/>
      <c r="H1457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364E7-1B09-4272-A899-391E23C7404E}">
  <dimension ref="A1:H1280"/>
  <sheetViews>
    <sheetView workbookViewId="0">
      <selection activeCell="M13" sqref="M13"/>
    </sheetView>
  </sheetViews>
  <sheetFormatPr defaultRowHeight="15.5"/>
  <sheetData>
    <row r="1" spans="1:8">
      <c r="A1" s="5" t="s">
        <v>173</v>
      </c>
      <c r="B1" s="5" t="s">
        <v>174</v>
      </c>
      <c r="C1" s="6">
        <v>46202</v>
      </c>
      <c r="D1" s="6">
        <v>46203</v>
      </c>
      <c r="E1" s="6">
        <v>46204</v>
      </c>
      <c r="F1" s="6">
        <v>46205</v>
      </c>
      <c r="G1" s="6">
        <v>46206</v>
      </c>
      <c r="H1" s="6">
        <v>46208</v>
      </c>
    </row>
    <row r="2" spans="1:8">
      <c r="A2" s="5" t="s">
        <v>175</v>
      </c>
      <c r="B2" s="5" t="s">
        <v>176</v>
      </c>
      <c r="C2" s="5" t="s">
        <v>176</v>
      </c>
      <c r="D2" s="5" t="s">
        <v>176</v>
      </c>
      <c r="E2" s="5" t="s">
        <v>176</v>
      </c>
      <c r="F2" s="5" t="s">
        <v>176</v>
      </c>
      <c r="G2" s="5" t="s">
        <v>176</v>
      </c>
      <c r="H2" s="5" t="s">
        <v>176</v>
      </c>
    </row>
    <row r="3" spans="1:8">
      <c r="A3" s="5">
        <v>80002</v>
      </c>
      <c r="B3" s="5">
        <v>28</v>
      </c>
      <c r="C3" s="5">
        <v>5</v>
      </c>
      <c r="D3" s="5">
        <v>3</v>
      </c>
      <c r="E3" s="5">
        <v>1</v>
      </c>
      <c r="F3" s="5">
        <v>2</v>
      </c>
      <c r="G3" s="5">
        <v>8</v>
      </c>
      <c r="H3" s="5">
        <v>9</v>
      </c>
    </row>
    <row r="4" spans="1:8">
      <c r="A4" s="5">
        <v>80003</v>
      </c>
      <c r="B4" s="5">
        <v>52</v>
      </c>
      <c r="C4" s="5">
        <v>4</v>
      </c>
      <c r="D4" s="5">
        <v>13</v>
      </c>
      <c r="E4" s="5">
        <v>4</v>
      </c>
      <c r="F4" s="5">
        <v>6</v>
      </c>
      <c r="G4" s="5">
        <v>10</v>
      </c>
      <c r="H4" s="5">
        <v>15</v>
      </c>
    </row>
    <row r="5" spans="1:8">
      <c r="A5" s="5">
        <v>80004</v>
      </c>
      <c r="B5" s="5">
        <v>42</v>
      </c>
      <c r="C5" s="5">
        <v>6</v>
      </c>
      <c r="D5" s="5">
        <v>3</v>
      </c>
      <c r="E5" s="5">
        <v>2</v>
      </c>
      <c r="F5" s="5">
        <v>10</v>
      </c>
      <c r="G5" s="5">
        <v>4</v>
      </c>
      <c r="H5" s="5">
        <v>17</v>
      </c>
    </row>
    <row r="6" spans="1:8">
      <c r="A6" s="5">
        <v>80005</v>
      </c>
      <c r="B6" s="5">
        <v>27</v>
      </c>
      <c r="C6" s="5">
        <v>3</v>
      </c>
      <c r="D6" s="5">
        <v>5</v>
      </c>
      <c r="E6" s="5">
        <v>2</v>
      </c>
      <c r="F6" s="5">
        <v>5</v>
      </c>
      <c r="G6" s="5">
        <v>6</v>
      </c>
      <c r="H6" s="5">
        <v>6</v>
      </c>
    </row>
    <row r="7" spans="1:8">
      <c r="A7" s="5">
        <v>80010</v>
      </c>
      <c r="B7" s="5">
        <v>72</v>
      </c>
      <c r="C7" s="5">
        <v>12</v>
      </c>
      <c r="D7" s="5">
        <v>14</v>
      </c>
      <c r="E7" s="5">
        <v>9</v>
      </c>
      <c r="F7" s="5">
        <v>8</v>
      </c>
      <c r="G7" s="5">
        <v>11</v>
      </c>
      <c r="H7" s="5">
        <v>18</v>
      </c>
    </row>
    <row r="8" spans="1:8">
      <c r="A8" s="5">
        <v>80011</v>
      </c>
      <c r="B8" s="5">
        <v>84</v>
      </c>
      <c r="C8" s="5">
        <v>10</v>
      </c>
      <c r="D8" s="5">
        <v>17</v>
      </c>
      <c r="E8" s="5">
        <v>7</v>
      </c>
      <c r="F8" s="5">
        <v>16</v>
      </c>
      <c r="G8" s="5">
        <v>12</v>
      </c>
      <c r="H8" s="5">
        <v>22</v>
      </c>
    </row>
    <row r="9" spans="1:8">
      <c r="A9" s="5">
        <v>80012</v>
      </c>
      <c r="B9" s="5">
        <v>83</v>
      </c>
      <c r="C9" s="5">
        <v>12</v>
      </c>
      <c r="D9" s="5">
        <v>13</v>
      </c>
      <c r="E9" s="5">
        <v>9</v>
      </c>
      <c r="F9" s="5">
        <v>13</v>
      </c>
      <c r="G9" s="5">
        <v>11</v>
      </c>
      <c r="H9" s="5">
        <v>25</v>
      </c>
    </row>
    <row r="10" spans="1:8">
      <c r="A10" s="5">
        <v>80013</v>
      </c>
      <c r="B10" s="5">
        <v>139</v>
      </c>
      <c r="C10" s="5">
        <v>18</v>
      </c>
      <c r="D10" s="5">
        <v>11</v>
      </c>
      <c r="E10" s="5">
        <v>18</v>
      </c>
      <c r="F10" s="5">
        <v>24</v>
      </c>
      <c r="G10" s="5">
        <v>22</v>
      </c>
      <c r="H10" s="5">
        <v>46</v>
      </c>
    </row>
    <row r="11" spans="1:8">
      <c r="A11" s="5">
        <v>80014</v>
      </c>
      <c r="B11" s="5">
        <v>74</v>
      </c>
      <c r="C11" s="5">
        <v>14</v>
      </c>
      <c r="D11" s="5">
        <v>10</v>
      </c>
      <c r="E11" s="5">
        <v>8</v>
      </c>
      <c r="F11" s="5">
        <v>11</v>
      </c>
      <c r="G11" s="5">
        <v>9</v>
      </c>
      <c r="H11" s="5">
        <v>22</v>
      </c>
    </row>
    <row r="12" spans="1:8">
      <c r="A12" s="5">
        <v>80015</v>
      </c>
      <c r="B12" s="5">
        <v>145</v>
      </c>
      <c r="C12" s="5">
        <v>19</v>
      </c>
      <c r="D12" s="5">
        <v>23</v>
      </c>
      <c r="E12" s="5">
        <v>11</v>
      </c>
      <c r="F12" s="5">
        <v>23</v>
      </c>
      <c r="G12" s="5">
        <v>21</v>
      </c>
      <c r="H12" s="5">
        <v>48</v>
      </c>
    </row>
    <row r="13" spans="1:8">
      <c r="A13" s="5">
        <v>80016</v>
      </c>
      <c r="B13" s="5">
        <v>111</v>
      </c>
      <c r="C13" s="5">
        <v>22</v>
      </c>
      <c r="D13" s="5">
        <v>15</v>
      </c>
      <c r="E13" s="5">
        <v>8</v>
      </c>
      <c r="F13" s="5">
        <v>24</v>
      </c>
      <c r="G13" s="5">
        <v>15</v>
      </c>
      <c r="H13" s="5">
        <v>27</v>
      </c>
    </row>
    <row r="14" spans="1:8">
      <c r="A14" s="5">
        <v>80017</v>
      </c>
      <c r="B14" s="5">
        <v>46</v>
      </c>
      <c r="C14" s="5">
        <v>6</v>
      </c>
      <c r="D14" s="5">
        <v>7</v>
      </c>
      <c r="E14" s="5">
        <v>9</v>
      </c>
      <c r="F14" s="5">
        <v>4</v>
      </c>
      <c r="G14" s="5">
        <v>8</v>
      </c>
      <c r="H14" s="5">
        <v>12</v>
      </c>
    </row>
    <row r="15" spans="1:8">
      <c r="A15" s="5">
        <v>80019</v>
      </c>
      <c r="B15" s="5">
        <v>33</v>
      </c>
      <c r="C15" s="5">
        <v>5</v>
      </c>
      <c r="D15" s="5">
        <v>6</v>
      </c>
      <c r="E15" s="5">
        <v>1</v>
      </c>
      <c r="F15" s="5">
        <v>6</v>
      </c>
      <c r="G15" s="5">
        <v>10</v>
      </c>
      <c r="H15" s="5">
        <v>5</v>
      </c>
    </row>
    <row r="16" spans="1:8">
      <c r="A16" s="5">
        <v>80020</v>
      </c>
      <c r="B16" s="5">
        <v>76</v>
      </c>
      <c r="C16" s="5">
        <v>12</v>
      </c>
      <c r="D16" s="5">
        <v>10</v>
      </c>
      <c r="E16" s="5">
        <v>11</v>
      </c>
      <c r="F16" s="5">
        <v>11</v>
      </c>
      <c r="G16" s="5">
        <v>11</v>
      </c>
      <c r="H16" s="5">
        <v>21</v>
      </c>
    </row>
    <row r="17" spans="1:8">
      <c r="A17" s="5">
        <v>80021</v>
      </c>
      <c r="B17" s="5">
        <v>42</v>
      </c>
      <c r="C17" s="5">
        <v>6</v>
      </c>
      <c r="D17" s="5">
        <v>5</v>
      </c>
      <c r="E17" s="5">
        <v>5</v>
      </c>
      <c r="F17" s="5">
        <v>6</v>
      </c>
      <c r="G17" s="5">
        <v>5</v>
      </c>
      <c r="H17" s="5">
        <v>15</v>
      </c>
    </row>
    <row r="18" spans="1:8">
      <c r="A18" s="5">
        <v>80022</v>
      </c>
      <c r="B18" s="5">
        <v>111</v>
      </c>
      <c r="C18" s="5">
        <v>12</v>
      </c>
      <c r="D18" s="5">
        <v>18</v>
      </c>
      <c r="E18" s="5">
        <v>8</v>
      </c>
      <c r="F18" s="5">
        <v>20</v>
      </c>
      <c r="G18" s="5">
        <v>23</v>
      </c>
      <c r="H18" s="5">
        <v>30</v>
      </c>
    </row>
    <row r="19" spans="1:8">
      <c r="A19" s="5">
        <v>80023</v>
      </c>
      <c r="B19" s="5">
        <v>40</v>
      </c>
      <c r="C19" s="5">
        <v>3</v>
      </c>
      <c r="D19" s="5">
        <v>9</v>
      </c>
      <c r="E19" s="5">
        <v>3</v>
      </c>
      <c r="F19" s="5">
        <v>10</v>
      </c>
      <c r="G19" s="5">
        <v>5</v>
      </c>
      <c r="H19" s="5">
        <v>10</v>
      </c>
    </row>
    <row r="20" spans="1:8">
      <c r="A20" s="5">
        <v>80026</v>
      </c>
      <c r="B20" s="5">
        <v>42</v>
      </c>
      <c r="C20" s="5">
        <v>4</v>
      </c>
      <c r="D20" s="5">
        <v>9</v>
      </c>
      <c r="E20" s="5">
        <v>4</v>
      </c>
      <c r="F20" s="5">
        <v>13</v>
      </c>
      <c r="G20" s="5">
        <v>3</v>
      </c>
      <c r="H20" s="5">
        <v>9</v>
      </c>
    </row>
    <row r="21" spans="1:8">
      <c r="A21" s="5">
        <v>80027</v>
      </c>
      <c r="B21" s="5">
        <v>44</v>
      </c>
      <c r="C21" s="5">
        <v>4</v>
      </c>
      <c r="D21" s="5">
        <v>7</v>
      </c>
      <c r="E21" s="5">
        <v>3</v>
      </c>
      <c r="F21" s="5">
        <v>14</v>
      </c>
      <c r="G21" s="5">
        <v>7</v>
      </c>
      <c r="H21" s="5">
        <v>9</v>
      </c>
    </row>
    <row r="22" spans="1:8">
      <c r="A22" s="5">
        <v>80030</v>
      </c>
      <c r="B22" s="5">
        <v>24</v>
      </c>
      <c r="C22" s="5">
        <v>1</v>
      </c>
      <c r="D22" s="5">
        <v>6</v>
      </c>
      <c r="E22" s="5">
        <v>4</v>
      </c>
      <c r="F22" s="5">
        <v>5</v>
      </c>
      <c r="G22" s="5" t="s">
        <v>177</v>
      </c>
      <c r="H22" s="5">
        <v>8</v>
      </c>
    </row>
    <row r="23" spans="1:8">
      <c r="A23" s="5">
        <v>80031</v>
      </c>
      <c r="B23" s="5">
        <v>60</v>
      </c>
      <c r="C23" s="5">
        <v>11</v>
      </c>
      <c r="D23" s="5">
        <v>9</v>
      </c>
      <c r="E23" s="5">
        <v>5</v>
      </c>
      <c r="F23" s="5">
        <v>13</v>
      </c>
      <c r="G23" s="5">
        <v>7</v>
      </c>
      <c r="H23" s="5">
        <v>15</v>
      </c>
    </row>
    <row r="24" spans="1:8">
      <c r="A24" s="5">
        <v>80033</v>
      </c>
      <c r="B24" s="5">
        <v>29</v>
      </c>
      <c r="C24" s="5">
        <v>3</v>
      </c>
      <c r="D24" s="5">
        <v>9</v>
      </c>
      <c r="E24" s="5">
        <v>5</v>
      </c>
      <c r="F24" s="5">
        <v>3</v>
      </c>
      <c r="G24" s="5">
        <v>3</v>
      </c>
      <c r="H24" s="5">
        <v>6</v>
      </c>
    </row>
    <row r="25" spans="1:8">
      <c r="A25" s="5">
        <v>80045</v>
      </c>
      <c r="B25" s="5">
        <v>1</v>
      </c>
      <c r="C25" s="5" t="s">
        <v>177</v>
      </c>
      <c r="D25" s="5" t="s">
        <v>177</v>
      </c>
      <c r="E25" s="5" t="s">
        <v>177</v>
      </c>
      <c r="F25" s="5" t="s">
        <v>177</v>
      </c>
      <c r="G25" s="5">
        <v>1</v>
      </c>
      <c r="H25" s="5" t="s">
        <v>177</v>
      </c>
    </row>
    <row r="26" spans="1:8">
      <c r="A26" s="5">
        <v>80104</v>
      </c>
      <c r="B26" s="5">
        <v>36</v>
      </c>
      <c r="C26" s="5">
        <v>3</v>
      </c>
      <c r="D26" s="5">
        <v>7</v>
      </c>
      <c r="E26" s="5">
        <v>5</v>
      </c>
      <c r="F26" s="5">
        <v>10</v>
      </c>
      <c r="G26" s="5">
        <v>6</v>
      </c>
      <c r="H26" s="5">
        <v>5</v>
      </c>
    </row>
    <row r="27" spans="1:8">
      <c r="A27" s="5">
        <v>80107</v>
      </c>
      <c r="B27" s="5">
        <v>20</v>
      </c>
      <c r="C27" s="5">
        <v>4</v>
      </c>
      <c r="D27" s="5">
        <v>4</v>
      </c>
      <c r="E27" s="5">
        <v>1</v>
      </c>
      <c r="F27" s="5">
        <v>2</v>
      </c>
      <c r="G27" s="5">
        <v>3</v>
      </c>
      <c r="H27" s="5">
        <v>6</v>
      </c>
    </row>
    <row r="28" spans="1:8">
      <c r="A28" s="5">
        <v>80108</v>
      </c>
      <c r="B28" s="5">
        <v>51</v>
      </c>
      <c r="C28" s="5">
        <v>9</v>
      </c>
      <c r="D28" s="5">
        <v>5</v>
      </c>
      <c r="E28" s="5">
        <v>12</v>
      </c>
      <c r="F28" s="5">
        <v>7</v>
      </c>
      <c r="G28" s="5">
        <v>5</v>
      </c>
      <c r="H28" s="5">
        <v>13</v>
      </c>
    </row>
    <row r="29" spans="1:8">
      <c r="A29" s="5">
        <v>80109</v>
      </c>
      <c r="B29" s="5">
        <v>33</v>
      </c>
      <c r="C29" s="5">
        <v>2</v>
      </c>
      <c r="D29" s="5">
        <v>5</v>
      </c>
      <c r="E29" s="5">
        <v>2</v>
      </c>
      <c r="F29" s="5">
        <v>8</v>
      </c>
      <c r="G29" s="5">
        <v>2</v>
      </c>
      <c r="H29" s="5">
        <v>14</v>
      </c>
    </row>
    <row r="30" spans="1:8">
      <c r="A30" s="5">
        <v>80110</v>
      </c>
      <c r="B30" s="5">
        <v>34</v>
      </c>
      <c r="C30" s="5">
        <v>11</v>
      </c>
      <c r="D30" s="5">
        <v>5</v>
      </c>
      <c r="E30" s="5">
        <v>3</v>
      </c>
      <c r="F30" s="5">
        <v>3</v>
      </c>
      <c r="G30" s="5">
        <v>3</v>
      </c>
      <c r="H30" s="5">
        <v>9</v>
      </c>
    </row>
    <row r="31" spans="1:8">
      <c r="A31" s="5">
        <v>80111</v>
      </c>
      <c r="B31" s="5">
        <v>50</v>
      </c>
      <c r="C31" s="5">
        <v>8</v>
      </c>
      <c r="D31" s="5">
        <v>13</v>
      </c>
      <c r="E31" s="5">
        <v>4</v>
      </c>
      <c r="F31" s="5">
        <v>8</v>
      </c>
      <c r="G31" s="5">
        <v>6</v>
      </c>
      <c r="H31" s="5">
        <v>11</v>
      </c>
    </row>
    <row r="32" spans="1:8">
      <c r="A32" s="5">
        <v>80112</v>
      </c>
      <c r="B32" s="5">
        <v>52</v>
      </c>
      <c r="C32" s="5">
        <v>8</v>
      </c>
      <c r="D32" s="5">
        <v>10</v>
      </c>
      <c r="E32" s="5">
        <v>4</v>
      </c>
      <c r="F32" s="5">
        <v>10</v>
      </c>
      <c r="G32" s="5">
        <v>7</v>
      </c>
      <c r="H32" s="5">
        <v>13</v>
      </c>
    </row>
    <row r="33" spans="1:8">
      <c r="A33" s="5">
        <v>80113</v>
      </c>
      <c r="B33" s="5">
        <v>19</v>
      </c>
      <c r="C33" s="5">
        <v>1</v>
      </c>
      <c r="D33" s="5">
        <v>1</v>
      </c>
      <c r="E33" s="5" t="s">
        <v>177</v>
      </c>
      <c r="F33" s="5">
        <v>4</v>
      </c>
      <c r="G33" s="5">
        <v>2</v>
      </c>
      <c r="H33" s="5">
        <v>11</v>
      </c>
    </row>
    <row r="34" spans="1:8">
      <c r="A34" s="5">
        <v>80116</v>
      </c>
      <c r="B34" s="5">
        <v>4</v>
      </c>
      <c r="C34" s="5" t="s">
        <v>177</v>
      </c>
      <c r="D34" s="5">
        <v>1</v>
      </c>
      <c r="E34" s="5" t="s">
        <v>177</v>
      </c>
      <c r="F34" s="5" t="s">
        <v>177</v>
      </c>
      <c r="G34" s="5">
        <v>1</v>
      </c>
      <c r="H34" s="5">
        <v>2</v>
      </c>
    </row>
    <row r="35" spans="1:8">
      <c r="A35" s="5">
        <v>80120</v>
      </c>
      <c r="B35" s="5">
        <v>47</v>
      </c>
      <c r="C35" s="5">
        <v>12</v>
      </c>
      <c r="D35" s="5">
        <v>6</v>
      </c>
      <c r="E35" s="5">
        <v>2</v>
      </c>
      <c r="F35" s="5">
        <v>14</v>
      </c>
      <c r="G35" s="5">
        <v>4</v>
      </c>
      <c r="H35" s="5">
        <v>9</v>
      </c>
    </row>
    <row r="36" spans="1:8">
      <c r="A36" s="5">
        <v>80121</v>
      </c>
      <c r="B36" s="5">
        <v>11</v>
      </c>
      <c r="C36" s="5">
        <v>1</v>
      </c>
      <c r="D36" s="5">
        <v>1</v>
      </c>
      <c r="E36" s="5">
        <v>1</v>
      </c>
      <c r="F36" s="5">
        <v>4</v>
      </c>
      <c r="G36" s="5">
        <v>1</v>
      </c>
      <c r="H36" s="5">
        <v>3</v>
      </c>
    </row>
    <row r="37" spans="1:8">
      <c r="A37" s="5">
        <v>80122</v>
      </c>
      <c r="B37" s="5">
        <v>42</v>
      </c>
      <c r="C37" s="5">
        <v>5</v>
      </c>
      <c r="D37" s="5">
        <v>6</v>
      </c>
      <c r="E37" s="5">
        <v>4</v>
      </c>
      <c r="F37" s="5">
        <v>7</v>
      </c>
      <c r="G37" s="5">
        <v>5</v>
      </c>
      <c r="H37" s="5">
        <v>15</v>
      </c>
    </row>
    <row r="38" spans="1:8">
      <c r="A38" s="5">
        <v>80124</v>
      </c>
      <c r="B38" s="5">
        <v>20</v>
      </c>
      <c r="C38" s="5">
        <v>3</v>
      </c>
      <c r="D38" s="5">
        <v>3</v>
      </c>
      <c r="E38" s="5">
        <v>1</v>
      </c>
      <c r="F38" s="5">
        <v>2</v>
      </c>
      <c r="G38" s="5">
        <v>6</v>
      </c>
      <c r="H38" s="5">
        <v>5</v>
      </c>
    </row>
    <row r="39" spans="1:8">
      <c r="A39" s="5">
        <v>80125</v>
      </c>
      <c r="B39" s="5">
        <v>22</v>
      </c>
      <c r="C39" s="5">
        <v>2</v>
      </c>
      <c r="D39" s="5">
        <v>4</v>
      </c>
      <c r="E39" s="5">
        <v>4</v>
      </c>
      <c r="F39" s="5">
        <v>5</v>
      </c>
      <c r="G39" s="5">
        <v>2</v>
      </c>
      <c r="H39" s="5">
        <v>5</v>
      </c>
    </row>
    <row r="40" spans="1:8">
      <c r="A40" s="5">
        <v>80126</v>
      </c>
      <c r="B40" s="5">
        <v>54</v>
      </c>
      <c r="C40" s="5">
        <v>9</v>
      </c>
      <c r="D40" s="5">
        <v>6</v>
      </c>
      <c r="E40" s="5">
        <v>4</v>
      </c>
      <c r="F40" s="5">
        <v>10</v>
      </c>
      <c r="G40" s="5">
        <v>9</v>
      </c>
      <c r="H40" s="5">
        <v>16</v>
      </c>
    </row>
    <row r="41" spans="1:8">
      <c r="A41" s="5">
        <v>80129</v>
      </c>
      <c r="B41" s="5">
        <v>35</v>
      </c>
      <c r="C41" s="5">
        <v>5</v>
      </c>
      <c r="D41" s="5">
        <v>5</v>
      </c>
      <c r="E41" s="5">
        <v>4</v>
      </c>
      <c r="F41" s="5">
        <v>6</v>
      </c>
      <c r="G41" s="5">
        <v>4</v>
      </c>
      <c r="H41" s="5">
        <v>11</v>
      </c>
    </row>
    <row r="42" spans="1:8">
      <c r="A42" s="5">
        <v>80130</v>
      </c>
      <c r="B42" s="5">
        <v>36</v>
      </c>
      <c r="C42" s="5">
        <v>7</v>
      </c>
      <c r="D42" s="5">
        <v>6</v>
      </c>
      <c r="E42" s="5">
        <v>6</v>
      </c>
      <c r="F42" s="5">
        <v>7</v>
      </c>
      <c r="G42" s="5">
        <v>2</v>
      </c>
      <c r="H42" s="5">
        <v>8</v>
      </c>
    </row>
    <row r="43" spans="1:8">
      <c r="A43" s="5">
        <v>80132</v>
      </c>
      <c r="B43" s="5">
        <v>36</v>
      </c>
      <c r="C43" s="5">
        <v>3</v>
      </c>
      <c r="D43" s="5">
        <v>3</v>
      </c>
      <c r="E43" s="5">
        <v>4</v>
      </c>
      <c r="F43" s="5">
        <v>11</v>
      </c>
      <c r="G43" s="5">
        <v>8</v>
      </c>
      <c r="H43" s="5">
        <v>7</v>
      </c>
    </row>
    <row r="44" spans="1:8">
      <c r="A44" s="5">
        <v>80133</v>
      </c>
      <c r="B44" s="5">
        <v>2</v>
      </c>
      <c r="C44" s="5" t="s">
        <v>177</v>
      </c>
      <c r="D44" s="5">
        <v>1</v>
      </c>
      <c r="E44" s="5" t="s">
        <v>177</v>
      </c>
      <c r="F44" s="5" t="s">
        <v>177</v>
      </c>
      <c r="G44" s="5" t="s">
        <v>177</v>
      </c>
      <c r="H44" s="5">
        <v>1</v>
      </c>
    </row>
    <row r="45" spans="1:8">
      <c r="A45" s="5">
        <v>80134</v>
      </c>
      <c r="B45" s="5">
        <v>102</v>
      </c>
      <c r="C45" s="5">
        <v>7</v>
      </c>
      <c r="D45" s="5">
        <v>17</v>
      </c>
      <c r="E45" s="5">
        <v>12</v>
      </c>
      <c r="F45" s="5">
        <v>21</v>
      </c>
      <c r="G45" s="5">
        <v>14</v>
      </c>
      <c r="H45" s="5">
        <v>31</v>
      </c>
    </row>
    <row r="46" spans="1:8">
      <c r="A46" s="5">
        <v>80138</v>
      </c>
      <c r="B46" s="5">
        <v>43</v>
      </c>
      <c r="C46" s="5">
        <v>5</v>
      </c>
      <c r="D46" s="5">
        <v>6</v>
      </c>
      <c r="E46" s="5">
        <v>5</v>
      </c>
      <c r="F46" s="5">
        <v>7</v>
      </c>
      <c r="G46" s="5">
        <v>9</v>
      </c>
      <c r="H46" s="5">
        <v>11</v>
      </c>
    </row>
    <row r="47" spans="1:8">
      <c r="A47" s="5">
        <v>80202</v>
      </c>
      <c r="B47" s="5">
        <v>26</v>
      </c>
      <c r="C47" s="5">
        <v>3</v>
      </c>
      <c r="D47" s="5">
        <v>5</v>
      </c>
      <c r="E47" s="5">
        <v>1</v>
      </c>
      <c r="F47" s="5">
        <v>6</v>
      </c>
      <c r="G47" s="5">
        <v>4</v>
      </c>
      <c r="H47" s="5">
        <v>7</v>
      </c>
    </row>
    <row r="48" spans="1:8">
      <c r="A48" s="5">
        <v>80203</v>
      </c>
      <c r="B48" s="5">
        <v>45</v>
      </c>
      <c r="C48" s="5">
        <v>6</v>
      </c>
      <c r="D48" s="5">
        <v>23</v>
      </c>
      <c r="E48" s="5">
        <v>3</v>
      </c>
      <c r="F48" s="5">
        <v>2</v>
      </c>
      <c r="G48" s="5">
        <v>3</v>
      </c>
      <c r="H48" s="5">
        <v>8</v>
      </c>
    </row>
    <row r="49" spans="1:8">
      <c r="A49" s="5">
        <v>80204</v>
      </c>
      <c r="B49" s="5">
        <v>69</v>
      </c>
      <c r="C49" s="5">
        <v>11</v>
      </c>
      <c r="D49" s="5">
        <v>14</v>
      </c>
      <c r="E49" s="5">
        <v>8</v>
      </c>
      <c r="F49" s="5">
        <v>18</v>
      </c>
      <c r="G49" s="5">
        <v>7</v>
      </c>
      <c r="H49" s="5">
        <v>11</v>
      </c>
    </row>
    <row r="50" spans="1:8">
      <c r="A50" s="5">
        <v>80205</v>
      </c>
      <c r="B50" s="5">
        <v>45</v>
      </c>
      <c r="C50" s="5">
        <v>9</v>
      </c>
      <c r="D50" s="5">
        <v>6</v>
      </c>
      <c r="E50" s="5">
        <v>2</v>
      </c>
      <c r="F50" s="5">
        <v>12</v>
      </c>
      <c r="G50" s="5">
        <v>8</v>
      </c>
      <c r="H50" s="5">
        <v>8</v>
      </c>
    </row>
    <row r="51" spans="1:8">
      <c r="A51" s="5">
        <v>80206</v>
      </c>
      <c r="B51" s="5">
        <v>45</v>
      </c>
      <c r="C51" s="5">
        <v>5</v>
      </c>
      <c r="D51" s="5">
        <v>8</v>
      </c>
      <c r="E51" s="5">
        <v>4</v>
      </c>
      <c r="F51" s="5">
        <v>10</v>
      </c>
      <c r="G51" s="5">
        <v>6</v>
      </c>
      <c r="H51" s="5">
        <v>12</v>
      </c>
    </row>
    <row r="52" spans="1:8">
      <c r="A52" s="5">
        <v>80207</v>
      </c>
      <c r="B52" s="5">
        <v>30</v>
      </c>
      <c r="C52" s="5">
        <v>7</v>
      </c>
      <c r="D52" s="5">
        <v>6</v>
      </c>
      <c r="E52" s="5">
        <v>1</v>
      </c>
      <c r="F52" s="5">
        <v>4</v>
      </c>
      <c r="G52" s="5">
        <v>5</v>
      </c>
      <c r="H52" s="5">
        <v>7</v>
      </c>
    </row>
    <row r="53" spans="1:8">
      <c r="A53" s="5">
        <v>80210</v>
      </c>
      <c r="B53" s="5">
        <v>49</v>
      </c>
      <c r="C53" s="5">
        <v>5</v>
      </c>
      <c r="D53" s="5">
        <v>5</v>
      </c>
      <c r="E53" s="5">
        <v>3</v>
      </c>
      <c r="F53" s="5">
        <v>11</v>
      </c>
      <c r="G53" s="5">
        <v>9</v>
      </c>
      <c r="H53" s="5">
        <v>16</v>
      </c>
    </row>
    <row r="54" spans="1:8">
      <c r="A54" s="5">
        <v>80211</v>
      </c>
      <c r="B54" s="5">
        <v>46</v>
      </c>
      <c r="C54" s="5">
        <v>7</v>
      </c>
      <c r="D54" s="5">
        <v>5</v>
      </c>
      <c r="E54" s="5">
        <v>2</v>
      </c>
      <c r="F54" s="5">
        <v>12</v>
      </c>
      <c r="G54" s="5">
        <v>10</v>
      </c>
      <c r="H54" s="5">
        <v>10</v>
      </c>
    </row>
    <row r="55" spans="1:8">
      <c r="A55" s="5">
        <v>80212</v>
      </c>
      <c r="B55" s="5">
        <v>34</v>
      </c>
      <c r="C55" s="5">
        <v>2</v>
      </c>
      <c r="D55" s="5">
        <v>2</v>
      </c>
      <c r="E55" s="5">
        <v>12</v>
      </c>
      <c r="F55" s="5">
        <v>7</v>
      </c>
      <c r="G55" s="5">
        <v>3</v>
      </c>
      <c r="H55" s="5">
        <v>8</v>
      </c>
    </row>
    <row r="56" spans="1:8">
      <c r="A56" s="5">
        <v>80214</v>
      </c>
      <c r="B56" s="5">
        <v>39</v>
      </c>
      <c r="C56" s="5">
        <v>5</v>
      </c>
      <c r="D56" s="5">
        <v>5</v>
      </c>
      <c r="E56" s="5">
        <v>10</v>
      </c>
      <c r="F56" s="5">
        <v>6</v>
      </c>
      <c r="G56" s="5">
        <v>3</v>
      </c>
      <c r="H56" s="5">
        <v>10</v>
      </c>
    </row>
    <row r="57" spans="1:8">
      <c r="A57" s="5">
        <v>80215</v>
      </c>
      <c r="B57" s="5">
        <v>31</v>
      </c>
      <c r="C57" s="5">
        <v>2</v>
      </c>
      <c r="D57" s="5">
        <v>2</v>
      </c>
      <c r="E57" s="5">
        <v>2</v>
      </c>
      <c r="F57" s="5">
        <v>9</v>
      </c>
      <c r="G57" s="5">
        <v>4</v>
      </c>
      <c r="H57" s="5">
        <v>12</v>
      </c>
    </row>
    <row r="58" spans="1:8">
      <c r="A58" s="5">
        <v>80216</v>
      </c>
      <c r="B58" s="5">
        <v>28</v>
      </c>
      <c r="C58" s="5">
        <v>9</v>
      </c>
      <c r="D58" s="5">
        <v>2</v>
      </c>
      <c r="E58" s="5">
        <v>3</v>
      </c>
      <c r="F58" s="5">
        <v>5</v>
      </c>
      <c r="G58" s="5">
        <v>5</v>
      </c>
      <c r="H58" s="5">
        <v>4</v>
      </c>
    </row>
    <row r="59" spans="1:8">
      <c r="A59" s="5">
        <v>80218</v>
      </c>
      <c r="B59" s="5">
        <v>25</v>
      </c>
      <c r="C59" s="5">
        <v>4</v>
      </c>
      <c r="D59" s="5">
        <v>3</v>
      </c>
      <c r="E59" s="5">
        <v>2</v>
      </c>
      <c r="F59" s="5">
        <v>5</v>
      </c>
      <c r="G59" s="5">
        <v>2</v>
      </c>
      <c r="H59" s="5">
        <v>9</v>
      </c>
    </row>
    <row r="60" spans="1:8">
      <c r="A60" s="5">
        <v>80219</v>
      </c>
      <c r="B60" s="5">
        <v>79</v>
      </c>
      <c r="C60" s="5">
        <v>11</v>
      </c>
      <c r="D60" s="5">
        <v>11</v>
      </c>
      <c r="E60" s="5">
        <v>9</v>
      </c>
      <c r="F60" s="5">
        <v>14</v>
      </c>
      <c r="G60" s="5">
        <v>8</v>
      </c>
      <c r="H60" s="5">
        <v>26</v>
      </c>
    </row>
    <row r="61" spans="1:8">
      <c r="A61" s="5">
        <v>80220</v>
      </c>
      <c r="B61" s="5">
        <v>23</v>
      </c>
      <c r="C61" s="5">
        <v>2</v>
      </c>
      <c r="D61" s="5">
        <v>5</v>
      </c>
      <c r="E61" s="5">
        <v>3</v>
      </c>
      <c r="F61" s="5">
        <v>4</v>
      </c>
      <c r="G61" s="5">
        <v>4</v>
      </c>
      <c r="H61" s="5">
        <v>5</v>
      </c>
    </row>
    <row r="62" spans="1:8">
      <c r="A62" s="5">
        <v>80221</v>
      </c>
      <c r="B62" s="5">
        <v>52</v>
      </c>
      <c r="C62" s="5">
        <v>12</v>
      </c>
      <c r="D62" s="5">
        <v>7</v>
      </c>
      <c r="E62" s="5">
        <v>7</v>
      </c>
      <c r="F62" s="5">
        <v>8</v>
      </c>
      <c r="G62" s="5">
        <v>9</v>
      </c>
      <c r="H62" s="5">
        <v>9</v>
      </c>
    </row>
    <row r="63" spans="1:8">
      <c r="A63" s="5">
        <v>80222</v>
      </c>
      <c r="B63" s="5">
        <v>40</v>
      </c>
      <c r="C63" s="5">
        <v>3</v>
      </c>
      <c r="D63" s="5">
        <v>12</v>
      </c>
      <c r="E63" s="5">
        <v>6</v>
      </c>
      <c r="F63" s="5">
        <v>9</v>
      </c>
      <c r="G63" s="5">
        <v>4</v>
      </c>
      <c r="H63" s="5">
        <v>6</v>
      </c>
    </row>
    <row r="64" spans="1:8">
      <c r="A64" s="5">
        <v>80223</v>
      </c>
      <c r="B64" s="5">
        <v>30</v>
      </c>
      <c r="C64" s="5">
        <v>4</v>
      </c>
      <c r="D64" s="5">
        <v>5</v>
      </c>
      <c r="E64" s="5">
        <v>3</v>
      </c>
      <c r="F64" s="5">
        <v>3</v>
      </c>
      <c r="G64" s="5">
        <v>5</v>
      </c>
      <c r="H64" s="5">
        <v>10</v>
      </c>
    </row>
    <row r="65" spans="1:8">
      <c r="A65" s="5">
        <v>80224</v>
      </c>
      <c r="B65" s="5">
        <v>18</v>
      </c>
      <c r="C65" s="5">
        <v>4</v>
      </c>
      <c r="D65" s="5">
        <v>2</v>
      </c>
      <c r="E65" s="5">
        <v>2</v>
      </c>
      <c r="F65" s="5">
        <v>5</v>
      </c>
      <c r="G65" s="5">
        <v>3</v>
      </c>
      <c r="H65" s="5">
        <v>2</v>
      </c>
    </row>
    <row r="66" spans="1:8">
      <c r="A66" s="5">
        <v>80226</v>
      </c>
      <c r="B66" s="5">
        <v>35</v>
      </c>
      <c r="C66" s="5">
        <v>5</v>
      </c>
      <c r="D66" s="5">
        <v>11</v>
      </c>
      <c r="E66" s="5">
        <v>4</v>
      </c>
      <c r="F66" s="5">
        <v>6</v>
      </c>
      <c r="G66" s="5">
        <v>3</v>
      </c>
      <c r="H66" s="5">
        <v>6</v>
      </c>
    </row>
    <row r="67" spans="1:8">
      <c r="A67" s="5">
        <v>80227</v>
      </c>
      <c r="B67" s="5">
        <v>49</v>
      </c>
      <c r="C67" s="5">
        <v>8</v>
      </c>
      <c r="D67" s="5">
        <v>9</v>
      </c>
      <c r="E67" s="5">
        <v>4</v>
      </c>
      <c r="F67" s="5">
        <v>6</v>
      </c>
      <c r="G67" s="5">
        <v>4</v>
      </c>
      <c r="H67" s="5">
        <v>18</v>
      </c>
    </row>
    <row r="68" spans="1:8">
      <c r="A68" s="5">
        <v>80228</v>
      </c>
      <c r="B68" s="5">
        <v>37</v>
      </c>
      <c r="C68" s="5">
        <v>10</v>
      </c>
      <c r="D68" s="5">
        <v>2</v>
      </c>
      <c r="E68" s="5">
        <v>5</v>
      </c>
      <c r="F68" s="5">
        <v>7</v>
      </c>
      <c r="G68" s="5">
        <v>6</v>
      </c>
      <c r="H68" s="5">
        <v>7</v>
      </c>
    </row>
    <row r="69" spans="1:8">
      <c r="A69" s="5">
        <v>80229</v>
      </c>
      <c r="B69" s="5">
        <v>73</v>
      </c>
      <c r="C69" s="5">
        <v>14</v>
      </c>
      <c r="D69" s="5">
        <v>14</v>
      </c>
      <c r="E69" s="5">
        <v>13</v>
      </c>
      <c r="F69" s="5">
        <v>15</v>
      </c>
      <c r="G69" s="5">
        <v>6</v>
      </c>
      <c r="H69" s="5">
        <v>11</v>
      </c>
    </row>
    <row r="70" spans="1:8">
      <c r="A70" s="5">
        <v>80230</v>
      </c>
      <c r="B70" s="5">
        <v>10</v>
      </c>
      <c r="C70" s="5">
        <v>2</v>
      </c>
      <c r="D70" s="5">
        <v>3</v>
      </c>
      <c r="E70" s="5">
        <v>1</v>
      </c>
      <c r="F70" s="5">
        <v>2</v>
      </c>
      <c r="G70" s="5">
        <v>1</v>
      </c>
      <c r="H70" s="5">
        <v>1</v>
      </c>
    </row>
    <row r="71" spans="1:8">
      <c r="A71" s="5">
        <v>80231</v>
      </c>
      <c r="B71" s="5">
        <v>54</v>
      </c>
      <c r="C71" s="5">
        <v>9</v>
      </c>
      <c r="D71" s="5">
        <v>8</v>
      </c>
      <c r="E71" s="5">
        <v>8</v>
      </c>
      <c r="F71" s="5">
        <v>11</v>
      </c>
      <c r="G71" s="5">
        <v>9</v>
      </c>
      <c r="H71" s="5">
        <v>9</v>
      </c>
    </row>
    <row r="72" spans="1:8">
      <c r="A72" s="5">
        <v>80232</v>
      </c>
      <c r="B72" s="5">
        <v>37</v>
      </c>
      <c r="C72" s="5">
        <v>5</v>
      </c>
      <c r="D72" s="5">
        <v>8</v>
      </c>
      <c r="E72" s="5">
        <v>3</v>
      </c>
      <c r="F72" s="5">
        <v>9</v>
      </c>
      <c r="G72" s="5">
        <v>4</v>
      </c>
      <c r="H72" s="5">
        <v>8</v>
      </c>
    </row>
    <row r="73" spans="1:8">
      <c r="A73" s="5">
        <v>80233</v>
      </c>
      <c r="B73" s="5">
        <v>70</v>
      </c>
      <c r="C73" s="5">
        <v>9</v>
      </c>
      <c r="D73" s="5">
        <v>13</v>
      </c>
      <c r="E73" s="5">
        <v>4</v>
      </c>
      <c r="F73" s="5">
        <v>14</v>
      </c>
      <c r="G73" s="5">
        <v>13</v>
      </c>
      <c r="H73" s="5">
        <v>17</v>
      </c>
    </row>
    <row r="74" spans="1:8">
      <c r="A74" s="5">
        <v>80234</v>
      </c>
      <c r="B74" s="5">
        <v>40</v>
      </c>
      <c r="C74" s="5">
        <v>7</v>
      </c>
      <c r="D74" s="5">
        <v>3</v>
      </c>
      <c r="E74" s="5">
        <v>5</v>
      </c>
      <c r="F74" s="5">
        <v>7</v>
      </c>
      <c r="G74" s="5">
        <v>7</v>
      </c>
      <c r="H74" s="5">
        <v>11</v>
      </c>
    </row>
    <row r="75" spans="1:8">
      <c r="A75" s="5">
        <v>80235</v>
      </c>
      <c r="B75" s="5">
        <v>12</v>
      </c>
      <c r="C75" s="5">
        <v>5</v>
      </c>
      <c r="D75" s="5">
        <v>2</v>
      </c>
      <c r="E75" s="5" t="s">
        <v>177</v>
      </c>
      <c r="F75" s="5">
        <v>1</v>
      </c>
      <c r="G75" s="5">
        <v>2</v>
      </c>
      <c r="H75" s="5">
        <v>2</v>
      </c>
    </row>
    <row r="76" spans="1:8">
      <c r="A76" s="5">
        <v>80236</v>
      </c>
      <c r="B76" s="5">
        <v>28</v>
      </c>
      <c r="C76" s="5">
        <v>3</v>
      </c>
      <c r="D76" s="5">
        <v>6</v>
      </c>
      <c r="E76" s="5">
        <v>2</v>
      </c>
      <c r="F76" s="5">
        <v>5</v>
      </c>
      <c r="G76" s="5">
        <v>4</v>
      </c>
      <c r="H76" s="5">
        <v>8</v>
      </c>
    </row>
    <row r="77" spans="1:8">
      <c r="A77" s="5">
        <v>80237</v>
      </c>
      <c r="B77" s="5">
        <v>24</v>
      </c>
      <c r="C77" s="5" t="s">
        <v>177</v>
      </c>
      <c r="D77" s="5">
        <v>6</v>
      </c>
      <c r="E77" s="5">
        <v>3</v>
      </c>
      <c r="F77" s="5">
        <v>4</v>
      </c>
      <c r="G77" s="5">
        <v>2</v>
      </c>
      <c r="H77" s="5">
        <v>9</v>
      </c>
    </row>
    <row r="78" spans="1:8">
      <c r="A78" s="5">
        <v>80238</v>
      </c>
      <c r="B78" s="5">
        <v>53</v>
      </c>
      <c r="C78" s="5">
        <v>4</v>
      </c>
      <c r="D78" s="5">
        <v>13</v>
      </c>
      <c r="E78" s="5">
        <v>2</v>
      </c>
      <c r="F78" s="5">
        <v>15</v>
      </c>
      <c r="G78" s="5">
        <v>6</v>
      </c>
      <c r="H78" s="5">
        <v>13</v>
      </c>
    </row>
    <row r="79" spans="1:8">
      <c r="A79" s="5">
        <v>80239</v>
      </c>
      <c r="B79" s="5">
        <v>56</v>
      </c>
      <c r="C79" s="5">
        <v>10</v>
      </c>
      <c r="D79" s="5">
        <v>9</v>
      </c>
      <c r="E79" s="5">
        <v>3</v>
      </c>
      <c r="F79" s="5">
        <v>12</v>
      </c>
      <c r="G79" s="5">
        <v>8</v>
      </c>
      <c r="H79" s="5">
        <v>14</v>
      </c>
    </row>
    <row r="80" spans="1:8">
      <c r="A80" s="5">
        <v>80241</v>
      </c>
      <c r="B80" s="5">
        <v>40</v>
      </c>
      <c r="C80" s="5">
        <v>9</v>
      </c>
      <c r="D80" s="5">
        <v>3</v>
      </c>
      <c r="E80" s="5">
        <v>4</v>
      </c>
      <c r="F80" s="5">
        <v>6</v>
      </c>
      <c r="G80" s="5">
        <v>5</v>
      </c>
      <c r="H80" s="5">
        <v>13</v>
      </c>
    </row>
    <row r="81" spans="1:8">
      <c r="A81" s="5">
        <v>80246</v>
      </c>
      <c r="B81" s="5">
        <v>30</v>
      </c>
      <c r="C81" s="5">
        <v>7</v>
      </c>
      <c r="D81" s="5">
        <v>4</v>
      </c>
      <c r="E81" s="5">
        <v>4</v>
      </c>
      <c r="F81" s="5">
        <v>4</v>
      </c>
      <c r="G81" s="5">
        <v>5</v>
      </c>
      <c r="H81" s="5">
        <v>6</v>
      </c>
    </row>
    <row r="82" spans="1:8">
      <c r="A82" s="5">
        <v>80247</v>
      </c>
      <c r="B82" s="5">
        <v>51</v>
      </c>
      <c r="C82" s="5">
        <v>7</v>
      </c>
      <c r="D82" s="5">
        <v>8</v>
      </c>
      <c r="E82" s="5">
        <v>7</v>
      </c>
      <c r="F82" s="5">
        <v>5</v>
      </c>
      <c r="G82" s="5">
        <v>13</v>
      </c>
      <c r="H82" s="5">
        <v>11</v>
      </c>
    </row>
    <row r="83" spans="1:8">
      <c r="A83" s="5">
        <v>80249</v>
      </c>
      <c r="B83" s="5">
        <v>61</v>
      </c>
      <c r="C83" s="5">
        <v>9</v>
      </c>
      <c r="D83" s="5">
        <v>10</v>
      </c>
      <c r="E83" s="5">
        <v>5</v>
      </c>
      <c r="F83" s="5">
        <v>12</v>
      </c>
      <c r="G83" s="5">
        <v>8</v>
      </c>
      <c r="H83" s="5">
        <v>17</v>
      </c>
    </row>
    <row r="84" spans="1:8">
      <c r="A84" s="5">
        <v>80260</v>
      </c>
      <c r="B84" s="5">
        <v>50</v>
      </c>
      <c r="C84" s="5">
        <v>9</v>
      </c>
      <c r="D84" s="5">
        <v>5</v>
      </c>
      <c r="E84" s="5">
        <v>8</v>
      </c>
      <c r="F84" s="5">
        <v>9</v>
      </c>
      <c r="G84" s="5">
        <v>3</v>
      </c>
      <c r="H84" s="5">
        <v>16</v>
      </c>
    </row>
    <row r="85" spans="1:8">
      <c r="A85" s="5">
        <v>80301</v>
      </c>
      <c r="B85" s="5">
        <v>46</v>
      </c>
      <c r="C85" s="5">
        <v>13</v>
      </c>
      <c r="D85" s="5">
        <v>8</v>
      </c>
      <c r="E85" s="5">
        <v>8</v>
      </c>
      <c r="F85" s="5">
        <v>5</v>
      </c>
      <c r="G85" s="5">
        <v>5</v>
      </c>
      <c r="H85" s="5">
        <v>7</v>
      </c>
    </row>
    <row r="86" spans="1:8">
      <c r="A86" s="5">
        <v>80302</v>
      </c>
      <c r="B86" s="5">
        <v>20</v>
      </c>
      <c r="C86" s="5">
        <v>4</v>
      </c>
      <c r="D86" s="5">
        <v>2</v>
      </c>
      <c r="E86" s="5">
        <v>2</v>
      </c>
      <c r="F86" s="5">
        <v>3</v>
      </c>
      <c r="G86" s="5">
        <v>3</v>
      </c>
      <c r="H86" s="5">
        <v>6</v>
      </c>
    </row>
    <row r="87" spans="1:8">
      <c r="A87" s="5">
        <v>80303</v>
      </c>
      <c r="B87" s="5">
        <v>18</v>
      </c>
      <c r="C87" s="5">
        <v>3</v>
      </c>
      <c r="D87" s="5">
        <v>3</v>
      </c>
      <c r="E87" s="5">
        <v>2</v>
      </c>
      <c r="F87" s="5">
        <v>5</v>
      </c>
      <c r="G87" s="5">
        <v>2</v>
      </c>
      <c r="H87" s="5">
        <v>3</v>
      </c>
    </row>
    <row r="88" spans="1:8">
      <c r="A88" s="5">
        <v>80304</v>
      </c>
      <c r="B88" s="5">
        <v>26</v>
      </c>
      <c r="C88" s="5">
        <v>6</v>
      </c>
      <c r="D88" s="5">
        <v>2</v>
      </c>
      <c r="E88" s="5">
        <v>3</v>
      </c>
      <c r="F88" s="5">
        <v>2</v>
      </c>
      <c r="G88" s="5">
        <v>3</v>
      </c>
      <c r="H88" s="5">
        <v>10</v>
      </c>
    </row>
    <row r="89" spans="1:8">
      <c r="A89" s="5">
        <v>80501</v>
      </c>
      <c r="B89" s="5">
        <v>54</v>
      </c>
      <c r="C89" s="5">
        <v>9</v>
      </c>
      <c r="D89" s="5">
        <v>10</v>
      </c>
      <c r="E89" s="5">
        <v>7</v>
      </c>
      <c r="F89" s="5">
        <v>10</v>
      </c>
      <c r="G89" s="5">
        <v>9</v>
      </c>
      <c r="H89" s="5">
        <v>9</v>
      </c>
    </row>
    <row r="90" spans="1:8">
      <c r="A90" s="5">
        <v>80503</v>
      </c>
      <c r="B90" s="5">
        <v>48</v>
      </c>
      <c r="C90" s="5">
        <v>11</v>
      </c>
      <c r="D90" s="5">
        <v>8</v>
      </c>
      <c r="E90" s="5">
        <v>4</v>
      </c>
      <c r="F90" s="5">
        <v>9</v>
      </c>
      <c r="G90" s="5">
        <v>6</v>
      </c>
      <c r="H90" s="5">
        <v>10</v>
      </c>
    </row>
    <row r="91" spans="1:8">
      <c r="A91" s="5">
        <v>80504</v>
      </c>
      <c r="B91" s="5">
        <v>65</v>
      </c>
      <c r="C91" s="5">
        <v>12</v>
      </c>
      <c r="D91" s="5">
        <v>12</v>
      </c>
      <c r="E91" s="5">
        <v>3</v>
      </c>
      <c r="F91" s="5">
        <v>13</v>
      </c>
      <c r="G91" s="5">
        <v>9</v>
      </c>
      <c r="H91" s="5">
        <v>16</v>
      </c>
    </row>
    <row r="92" spans="1:8">
      <c r="A92" s="5">
        <v>80513</v>
      </c>
      <c r="B92" s="5">
        <v>14</v>
      </c>
      <c r="C92" s="5">
        <v>2</v>
      </c>
      <c r="D92" s="5">
        <v>2</v>
      </c>
      <c r="E92" s="5">
        <v>3</v>
      </c>
      <c r="F92" s="5" t="s">
        <v>177</v>
      </c>
      <c r="G92" s="5">
        <v>2</v>
      </c>
      <c r="H92" s="5">
        <v>5</v>
      </c>
    </row>
    <row r="93" spans="1:8">
      <c r="A93" s="5">
        <v>80514</v>
      </c>
      <c r="B93" s="5">
        <v>9</v>
      </c>
      <c r="C93" s="5">
        <v>1</v>
      </c>
      <c r="D93" s="5">
        <v>1</v>
      </c>
      <c r="E93" s="5">
        <v>2</v>
      </c>
      <c r="F93" s="5">
        <v>3</v>
      </c>
      <c r="G93" s="5">
        <v>2</v>
      </c>
      <c r="H93" s="5" t="s">
        <v>177</v>
      </c>
    </row>
    <row r="94" spans="1:8">
      <c r="A94" s="5">
        <v>80516</v>
      </c>
      <c r="B94" s="5">
        <v>44</v>
      </c>
      <c r="C94" s="5">
        <v>2</v>
      </c>
      <c r="D94" s="5">
        <v>6</v>
      </c>
      <c r="E94" s="5">
        <v>3</v>
      </c>
      <c r="F94" s="5">
        <v>9</v>
      </c>
      <c r="G94" s="5">
        <v>10</v>
      </c>
      <c r="H94" s="5">
        <v>14</v>
      </c>
    </row>
    <row r="95" spans="1:8">
      <c r="A95" s="5">
        <v>80521</v>
      </c>
      <c r="B95" s="5">
        <v>47</v>
      </c>
      <c r="C95" s="5">
        <v>7</v>
      </c>
      <c r="D95" s="5">
        <v>7</v>
      </c>
      <c r="E95" s="5">
        <v>4</v>
      </c>
      <c r="F95" s="5">
        <v>10</v>
      </c>
      <c r="G95" s="5">
        <v>3</v>
      </c>
      <c r="H95" s="5">
        <v>16</v>
      </c>
    </row>
    <row r="96" spans="1:8">
      <c r="A96" s="5">
        <v>80524</v>
      </c>
      <c r="B96" s="5">
        <v>52</v>
      </c>
      <c r="C96" s="5">
        <v>5</v>
      </c>
      <c r="D96" s="5">
        <v>11</v>
      </c>
      <c r="E96" s="5">
        <v>7</v>
      </c>
      <c r="F96" s="5">
        <v>13</v>
      </c>
      <c r="G96" s="5">
        <v>8</v>
      </c>
      <c r="H96" s="5">
        <v>8</v>
      </c>
    </row>
    <row r="97" spans="1:8">
      <c r="A97" s="5">
        <v>80525</v>
      </c>
      <c r="B97" s="5">
        <v>70</v>
      </c>
      <c r="C97" s="5">
        <v>11</v>
      </c>
      <c r="D97" s="5">
        <v>15</v>
      </c>
      <c r="E97" s="5">
        <v>8</v>
      </c>
      <c r="F97" s="5">
        <v>12</v>
      </c>
      <c r="G97" s="5">
        <v>11</v>
      </c>
      <c r="H97" s="5">
        <v>13</v>
      </c>
    </row>
    <row r="98" spans="1:8">
      <c r="A98" s="5">
        <v>80526</v>
      </c>
      <c r="B98" s="5">
        <v>62</v>
      </c>
      <c r="C98" s="5">
        <v>9</v>
      </c>
      <c r="D98" s="5">
        <v>7</v>
      </c>
      <c r="E98" s="5">
        <v>5</v>
      </c>
      <c r="F98" s="5">
        <v>18</v>
      </c>
      <c r="G98" s="5">
        <v>9</v>
      </c>
      <c r="H98" s="5">
        <v>14</v>
      </c>
    </row>
    <row r="99" spans="1:8">
      <c r="A99" s="5">
        <v>80528</v>
      </c>
      <c r="B99" s="5">
        <v>27</v>
      </c>
      <c r="C99" s="5">
        <v>4</v>
      </c>
      <c r="D99" s="5">
        <v>4</v>
      </c>
      <c r="E99" s="5">
        <v>2</v>
      </c>
      <c r="F99" s="5">
        <v>4</v>
      </c>
      <c r="G99" s="5">
        <v>4</v>
      </c>
      <c r="H99" s="5">
        <v>9</v>
      </c>
    </row>
    <row r="100" spans="1:8">
      <c r="A100" s="5">
        <v>80530</v>
      </c>
      <c r="B100" s="5">
        <v>7</v>
      </c>
      <c r="C100" s="5" t="s">
        <v>177</v>
      </c>
      <c r="D100" s="5" t="s">
        <v>177</v>
      </c>
      <c r="E100" s="5">
        <v>1</v>
      </c>
      <c r="F100" s="5">
        <v>2</v>
      </c>
      <c r="G100" s="5" t="s">
        <v>177</v>
      </c>
      <c r="H100" s="5">
        <v>4</v>
      </c>
    </row>
    <row r="101" spans="1:8">
      <c r="A101" s="5">
        <v>80534</v>
      </c>
      <c r="B101" s="5">
        <v>24</v>
      </c>
      <c r="C101" s="5">
        <v>4</v>
      </c>
      <c r="D101" s="5">
        <v>4</v>
      </c>
      <c r="E101" s="5">
        <v>2</v>
      </c>
      <c r="F101" s="5">
        <v>6</v>
      </c>
      <c r="G101" s="5">
        <v>2</v>
      </c>
      <c r="H101" s="5">
        <v>6</v>
      </c>
    </row>
    <row r="102" spans="1:8">
      <c r="A102" s="5">
        <v>80535</v>
      </c>
      <c r="B102" s="5">
        <v>1</v>
      </c>
      <c r="C102" s="5" t="s">
        <v>177</v>
      </c>
      <c r="D102" s="5" t="s">
        <v>177</v>
      </c>
      <c r="E102" s="5" t="s">
        <v>177</v>
      </c>
      <c r="F102" s="5">
        <v>1</v>
      </c>
      <c r="G102" s="5" t="s">
        <v>177</v>
      </c>
      <c r="H102" s="5" t="s">
        <v>177</v>
      </c>
    </row>
    <row r="103" spans="1:8">
      <c r="A103" s="5">
        <v>80538</v>
      </c>
      <c r="B103" s="5">
        <v>57</v>
      </c>
      <c r="C103" s="5">
        <v>9</v>
      </c>
      <c r="D103" s="5">
        <v>7</v>
      </c>
      <c r="E103" s="5">
        <v>3</v>
      </c>
      <c r="F103" s="5">
        <v>16</v>
      </c>
      <c r="G103" s="5">
        <v>9</v>
      </c>
      <c r="H103" s="5">
        <v>13</v>
      </c>
    </row>
    <row r="104" spans="1:8">
      <c r="A104" s="5">
        <v>80542</v>
      </c>
      <c r="B104" s="5">
        <v>10</v>
      </c>
      <c r="C104" s="5">
        <v>2</v>
      </c>
      <c r="D104" s="5">
        <v>2</v>
      </c>
      <c r="E104" s="5">
        <v>2</v>
      </c>
      <c r="F104" s="5">
        <v>2</v>
      </c>
      <c r="G104" s="5" t="s">
        <v>177</v>
      </c>
      <c r="H104" s="5">
        <v>2</v>
      </c>
    </row>
    <row r="105" spans="1:8">
      <c r="A105" s="5">
        <v>80543</v>
      </c>
      <c r="B105" s="5">
        <v>6</v>
      </c>
      <c r="C105" s="5">
        <v>2</v>
      </c>
      <c r="D105" s="5" t="s">
        <v>177</v>
      </c>
      <c r="E105" s="5" t="s">
        <v>177</v>
      </c>
      <c r="F105" s="5">
        <v>1</v>
      </c>
      <c r="G105" s="5" t="s">
        <v>177</v>
      </c>
      <c r="H105" s="5">
        <v>3</v>
      </c>
    </row>
    <row r="106" spans="1:8">
      <c r="A106" s="5">
        <v>80546</v>
      </c>
      <c r="B106" s="5">
        <v>1</v>
      </c>
      <c r="C106" s="5" t="s">
        <v>177</v>
      </c>
      <c r="D106" s="5" t="s">
        <v>177</v>
      </c>
      <c r="E106" s="5" t="s">
        <v>177</v>
      </c>
      <c r="F106" s="5" t="s">
        <v>177</v>
      </c>
      <c r="G106" s="5" t="s">
        <v>177</v>
      </c>
      <c r="H106" s="5">
        <v>1</v>
      </c>
    </row>
    <row r="107" spans="1:8">
      <c r="A107" s="5">
        <v>80547</v>
      </c>
      <c r="B107" s="5">
        <v>11</v>
      </c>
      <c r="C107" s="5" t="s">
        <v>177</v>
      </c>
      <c r="D107" s="5">
        <v>3</v>
      </c>
      <c r="E107" s="5" t="s">
        <v>177</v>
      </c>
      <c r="F107" s="5" t="s">
        <v>177</v>
      </c>
      <c r="G107" s="5">
        <v>1</v>
      </c>
      <c r="H107" s="5">
        <v>7</v>
      </c>
    </row>
    <row r="108" spans="1:8">
      <c r="A108" s="5">
        <v>80550</v>
      </c>
      <c r="B108" s="5">
        <v>54</v>
      </c>
      <c r="C108" s="5">
        <v>6</v>
      </c>
      <c r="D108" s="5">
        <v>9</v>
      </c>
      <c r="E108" s="5">
        <v>8</v>
      </c>
      <c r="F108" s="5">
        <v>10</v>
      </c>
      <c r="G108" s="5">
        <v>8</v>
      </c>
      <c r="H108" s="5">
        <v>13</v>
      </c>
    </row>
    <row r="109" spans="1:8">
      <c r="A109" s="5">
        <v>80601</v>
      </c>
      <c r="B109" s="5">
        <v>64</v>
      </c>
      <c r="C109" s="5">
        <v>12</v>
      </c>
      <c r="D109" s="5">
        <v>9</v>
      </c>
      <c r="E109" s="5">
        <v>8</v>
      </c>
      <c r="F109" s="5">
        <v>15</v>
      </c>
      <c r="G109" s="5">
        <v>6</v>
      </c>
      <c r="H109" s="5">
        <v>14</v>
      </c>
    </row>
    <row r="110" spans="1:8">
      <c r="A110" s="5">
        <v>80602</v>
      </c>
      <c r="B110" s="5">
        <v>77</v>
      </c>
      <c r="C110" s="5">
        <v>9</v>
      </c>
      <c r="D110" s="5">
        <v>12</v>
      </c>
      <c r="E110" s="5">
        <v>6</v>
      </c>
      <c r="F110" s="5">
        <v>19</v>
      </c>
      <c r="G110" s="5">
        <v>12</v>
      </c>
      <c r="H110" s="5">
        <v>19</v>
      </c>
    </row>
    <row r="111" spans="1:8">
      <c r="A111" s="5">
        <v>80603</v>
      </c>
      <c r="B111" s="5">
        <v>21</v>
      </c>
      <c r="C111" s="5">
        <v>2</v>
      </c>
      <c r="D111" s="5">
        <v>2</v>
      </c>
      <c r="E111" s="5" t="s">
        <v>177</v>
      </c>
      <c r="F111" s="5">
        <v>7</v>
      </c>
      <c r="G111" s="5">
        <v>1</v>
      </c>
      <c r="H111" s="5">
        <v>9</v>
      </c>
    </row>
    <row r="112" spans="1:8">
      <c r="A112" s="5">
        <v>80620</v>
      </c>
      <c r="B112" s="5">
        <v>23</v>
      </c>
      <c r="C112" s="5">
        <v>6</v>
      </c>
      <c r="D112" s="5">
        <v>2</v>
      </c>
      <c r="E112" s="5">
        <v>1</v>
      </c>
      <c r="F112" s="5">
        <v>7</v>
      </c>
      <c r="G112" s="5">
        <v>3</v>
      </c>
      <c r="H112" s="5">
        <v>4</v>
      </c>
    </row>
    <row r="113" spans="1:8">
      <c r="A113" s="5">
        <v>80621</v>
      </c>
      <c r="B113" s="5">
        <v>16</v>
      </c>
      <c r="C113" s="5">
        <v>3</v>
      </c>
      <c r="D113" s="5">
        <v>1</v>
      </c>
      <c r="E113" s="5">
        <v>2</v>
      </c>
      <c r="F113" s="5">
        <v>4</v>
      </c>
      <c r="G113" s="5">
        <v>2</v>
      </c>
      <c r="H113" s="5">
        <v>4</v>
      </c>
    </row>
    <row r="114" spans="1:8">
      <c r="A114" s="5">
        <v>80631</v>
      </c>
      <c r="B114" s="5">
        <v>67</v>
      </c>
      <c r="C114" s="5">
        <v>11</v>
      </c>
      <c r="D114" s="5">
        <v>12</v>
      </c>
      <c r="E114" s="5">
        <v>13</v>
      </c>
      <c r="F114" s="5">
        <v>11</v>
      </c>
      <c r="G114" s="5">
        <v>6</v>
      </c>
      <c r="H114" s="5">
        <v>14</v>
      </c>
    </row>
    <row r="115" spans="1:8">
      <c r="A115" s="5">
        <v>80634</v>
      </c>
      <c r="B115" s="5">
        <v>60</v>
      </c>
      <c r="C115" s="5">
        <v>9</v>
      </c>
      <c r="D115" s="5">
        <v>12</v>
      </c>
      <c r="E115" s="5">
        <v>3</v>
      </c>
      <c r="F115" s="5">
        <v>12</v>
      </c>
      <c r="G115" s="5">
        <v>9</v>
      </c>
      <c r="H115" s="5">
        <v>15</v>
      </c>
    </row>
    <row r="116" spans="1:8">
      <c r="A116" s="5">
        <v>80640</v>
      </c>
      <c r="B116" s="5">
        <v>13</v>
      </c>
      <c r="C116" s="5">
        <v>3</v>
      </c>
      <c r="D116" s="5">
        <v>4</v>
      </c>
      <c r="E116" s="5">
        <v>4</v>
      </c>
      <c r="F116" s="5" t="s">
        <v>177</v>
      </c>
      <c r="G116" s="5">
        <v>1</v>
      </c>
      <c r="H116" s="5">
        <v>1</v>
      </c>
    </row>
    <row r="117" spans="1:8">
      <c r="A117" s="5">
        <v>80642</v>
      </c>
      <c r="B117" s="5">
        <v>3</v>
      </c>
      <c r="C117" s="5" t="s">
        <v>177</v>
      </c>
      <c r="D117" s="5" t="s">
        <v>177</v>
      </c>
      <c r="E117" s="5" t="s">
        <v>177</v>
      </c>
      <c r="F117" s="5" t="s">
        <v>177</v>
      </c>
      <c r="G117" s="5">
        <v>1</v>
      </c>
      <c r="H117" s="5">
        <v>2</v>
      </c>
    </row>
    <row r="118" spans="1:8">
      <c r="A118" s="5">
        <v>80645</v>
      </c>
      <c r="B118" s="5">
        <v>10</v>
      </c>
      <c r="C118" s="5">
        <v>1</v>
      </c>
      <c r="D118" s="5">
        <v>4</v>
      </c>
      <c r="E118" s="5">
        <v>1</v>
      </c>
      <c r="F118" s="5">
        <v>2</v>
      </c>
      <c r="G118" s="5">
        <v>1</v>
      </c>
      <c r="H118" s="5">
        <v>1</v>
      </c>
    </row>
    <row r="119" spans="1:8">
      <c r="A119" s="5">
        <v>80809</v>
      </c>
      <c r="B119" s="5">
        <v>2</v>
      </c>
      <c r="C119" s="5" t="s">
        <v>177</v>
      </c>
      <c r="D119" s="5" t="s">
        <v>177</v>
      </c>
      <c r="E119" s="5" t="s">
        <v>177</v>
      </c>
      <c r="F119" s="5">
        <v>2</v>
      </c>
      <c r="G119" s="5" t="s">
        <v>177</v>
      </c>
      <c r="H119" s="5" t="s">
        <v>177</v>
      </c>
    </row>
    <row r="120" spans="1:8">
      <c r="A120" s="5">
        <v>80817</v>
      </c>
      <c r="B120" s="5">
        <v>40</v>
      </c>
      <c r="C120" s="5">
        <v>5</v>
      </c>
      <c r="D120" s="5">
        <v>7</v>
      </c>
      <c r="E120" s="5">
        <v>5</v>
      </c>
      <c r="F120" s="5">
        <v>5</v>
      </c>
      <c r="G120" s="5">
        <v>5</v>
      </c>
      <c r="H120" s="5">
        <v>13</v>
      </c>
    </row>
    <row r="121" spans="1:8">
      <c r="A121" s="5">
        <v>80829</v>
      </c>
      <c r="B121" s="5">
        <v>6</v>
      </c>
      <c r="C121" s="5">
        <v>2</v>
      </c>
      <c r="D121" s="5" t="s">
        <v>177</v>
      </c>
      <c r="E121" s="5">
        <v>1</v>
      </c>
      <c r="F121" s="5">
        <v>2</v>
      </c>
      <c r="G121" s="5" t="s">
        <v>177</v>
      </c>
      <c r="H121" s="5">
        <v>1</v>
      </c>
    </row>
    <row r="122" spans="1:8">
      <c r="A122" s="5">
        <v>80831</v>
      </c>
      <c r="B122" s="5">
        <v>61</v>
      </c>
      <c r="C122" s="5">
        <v>8</v>
      </c>
      <c r="D122" s="5">
        <v>10</v>
      </c>
      <c r="E122" s="5">
        <v>6</v>
      </c>
      <c r="F122" s="5">
        <v>18</v>
      </c>
      <c r="G122" s="5">
        <v>10</v>
      </c>
      <c r="H122" s="5">
        <v>9</v>
      </c>
    </row>
    <row r="123" spans="1:8">
      <c r="A123" s="5">
        <v>80902</v>
      </c>
      <c r="B123" s="5">
        <v>11</v>
      </c>
      <c r="C123" s="5">
        <v>3</v>
      </c>
      <c r="D123" s="5">
        <v>1</v>
      </c>
      <c r="E123" s="5" t="s">
        <v>177</v>
      </c>
      <c r="F123" s="5">
        <v>3</v>
      </c>
      <c r="G123" s="5">
        <v>2</v>
      </c>
      <c r="H123" s="5">
        <v>2</v>
      </c>
    </row>
    <row r="124" spans="1:8">
      <c r="A124" s="5">
        <v>80904</v>
      </c>
      <c r="B124" s="5">
        <v>28</v>
      </c>
      <c r="C124" s="5">
        <v>4</v>
      </c>
      <c r="D124" s="5">
        <v>5</v>
      </c>
      <c r="E124" s="5">
        <v>5</v>
      </c>
      <c r="F124" s="5">
        <v>5</v>
      </c>
      <c r="G124" s="5">
        <v>3</v>
      </c>
      <c r="H124" s="5">
        <v>6</v>
      </c>
    </row>
    <row r="125" spans="1:8">
      <c r="A125" s="5">
        <v>80906</v>
      </c>
      <c r="B125" s="5">
        <v>56</v>
      </c>
      <c r="C125" s="5">
        <v>18</v>
      </c>
      <c r="D125" s="5">
        <v>2</v>
      </c>
      <c r="E125" s="5">
        <v>3</v>
      </c>
      <c r="F125" s="5">
        <v>6</v>
      </c>
      <c r="G125" s="5">
        <v>14</v>
      </c>
      <c r="H125" s="5">
        <v>13</v>
      </c>
    </row>
    <row r="126" spans="1:8">
      <c r="A126" s="5">
        <v>80909</v>
      </c>
      <c r="B126" s="5">
        <v>54</v>
      </c>
      <c r="C126" s="5">
        <v>8</v>
      </c>
      <c r="D126" s="5">
        <v>11</v>
      </c>
      <c r="E126" s="5">
        <v>4</v>
      </c>
      <c r="F126" s="5">
        <v>12</v>
      </c>
      <c r="G126" s="5">
        <v>9</v>
      </c>
      <c r="H126" s="5">
        <v>10</v>
      </c>
    </row>
    <row r="127" spans="1:8">
      <c r="A127" s="5">
        <v>80910</v>
      </c>
      <c r="B127" s="5">
        <v>49</v>
      </c>
      <c r="C127" s="5">
        <v>10</v>
      </c>
      <c r="D127" s="5">
        <v>8</v>
      </c>
      <c r="E127" s="5">
        <v>2</v>
      </c>
      <c r="F127" s="5">
        <v>7</v>
      </c>
      <c r="G127" s="5">
        <v>8</v>
      </c>
      <c r="H127" s="5">
        <v>14</v>
      </c>
    </row>
    <row r="128" spans="1:8">
      <c r="A128" s="5">
        <v>80911</v>
      </c>
      <c r="B128" s="5">
        <v>48</v>
      </c>
      <c r="C128" s="5">
        <v>4</v>
      </c>
      <c r="D128" s="5">
        <v>6</v>
      </c>
      <c r="E128" s="5">
        <v>11</v>
      </c>
      <c r="F128" s="5">
        <v>12</v>
      </c>
      <c r="G128" s="5">
        <v>6</v>
      </c>
      <c r="H128" s="5">
        <v>9</v>
      </c>
    </row>
    <row r="129" spans="1:8">
      <c r="A129" s="5">
        <v>80913</v>
      </c>
      <c r="B129" s="5">
        <v>3</v>
      </c>
      <c r="C129" s="5">
        <v>2</v>
      </c>
      <c r="D129" s="5" t="s">
        <v>177</v>
      </c>
      <c r="E129" s="5" t="s">
        <v>177</v>
      </c>
      <c r="F129" s="5" t="s">
        <v>177</v>
      </c>
      <c r="G129" s="5" t="s">
        <v>177</v>
      </c>
      <c r="H129" s="5">
        <v>1</v>
      </c>
    </row>
    <row r="130" spans="1:8">
      <c r="A130" s="5">
        <v>80914</v>
      </c>
      <c r="B130" s="5">
        <v>1</v>
      </c>
      <c r="C130" s="5" t="s">
        <v>177</v>
      </c>
      <c r="D130" s="5" t="s">
        <v>177</v>
      </c>
      <c r="E130" s="5" t="s">
        <v>177</v>
      </c>
      <c r="F130" s="5">
        <v>1</v>
      </c>
      <c r="G130" s="5" t="s">
        <v>177</v>
      </c>
      <c r="H130" s="5" t="s">
        <v>177</v>
      </c>
    </row>
    <row r="131" spans="1:8">
      <c r="A131" s="5">
        <v>80915</v>
      </c>
      <c r="B131" s="5">
        <v>30</v>
      </c>
      <c r="C131" s="5">
        <v>3</v>
      </c>
      <c r="D131" s="5">
        <v>4</v>
      </c>
      <c r="E131" s="5">
        <v>5</v>
      </c>
      <c r="F131" s="5">
        <v>1</v>
      </c>
      <c r="G131" s="5">
        <v>5</v>
      </c>
      <c r="H131" s="5">
        <v>12</v>
      </c>
    </row>
    <row r="132" spans="1:8">
      <c r="A132" s="5">
        <v>80916</v>
      </c>
      <c r="B132" s="5">
        <v>61</v>
      </c>
      <c r="C132" s="5">
        <v>8</v>
      </c>
      <c r="D132" s="5">
        <v>7</v>
      </c>
      <c r="E132" s="5">
        <v>6</v>
      </c>
      <c r="F132" s="5">
        <v>11</v>
      </c>
      <c r="G132" s="5">
        <v>8</v>
      </c>
      <c r="H132" s="5">
        <v>21</v>
      </c>
    </row>
    <row r="133" spans="1:8">
      <c r="A133" s="5">
        <v>80917</v>
      </c>
      <c r="B133" s="5">
        <v>55</v>
      </c>
      <c r="C133" s="5">
        <v>8</v>
      </c>
      <c r="D133" s="5">
        <v>10</v>
      </c>
      <c r="E133" s="5">
        <v>3</v>
      </c>
      <c r="F133" s="5">
        <v>9</v>
      </c>
      <c r="G133" s="5">
        <v>4</v>
      </c>
      <c r="H133" s="5">
        <v>21</v>
      </c>
    </row>
    <row r="134" spans="1:8">
      <c r="A134" s="5">
        <v>80918</v>
      </c>
      <c r="B134" s="5">
        <v>83</v>
      </c>
      <c r="C134" s="5">
        <v>11</v>
      </c>
      <c r="D134" s="5">
        <v>16</v>
      </c>
      <c r="E134" s="5">
        <v>9</v>
      </c>
      <c r="F134" s="5">
        <v>22</v>
      </c>
      <c r="G134" s="5">
        <v>13</v>
      </c>
      <c r="H134" s="5">
        <v>12</v>
      </c>
    </row>
    <row r="135" spans="1:8">
      <c r="A135" s="5">
        <v>80919</v>
      </c>
      <c r="B135" s="5">
        <v>36</v>
      </c>
      <c r="C135" s="5">
        <v>6</v>
      </c>
      <c r="D135" s="5">
        <v>7</v>
      </c>
      <c r="E135" s="5">
        <v>4</v>
      </c>
      <c r="F135" s="5">
        <v>8</v>
      </c>
      <c r="G135" s="5">
        <v>4</v>
      </c>
      <c r="H135" s="5">
        <v>7</v>
      </c>
    </row>
    <row r="136" spans="1:8">
      <c r="A136" s="5">
        <v>80920</v>
      </c>
      <c r="B136" s="5">
        <v>53</v>
      </c>
      <c r="C136" s="5">
        <v>10</v>
      </c>
      <c r="D136" s="5">
        <v>8</v>
      </c>
      <c r="E136" s="5">
        <v>3</v>
      </c>
      <c r="F136" s="5">
        <v>8</v>
      </c>
      <c r="G136" s="5">
        <v>9</v>
      </c>
      <c r="H136" s="5">
        <v>15</v>
      </c>
    </row>
    <row r="137" spans="1:8">
      <c r="A137" s="5">
        <v>80921</v>
      </c>
      <c r="B137" s="5">
        <v>51</v>
      </c>
      <c r="C137" s="5">
        <v>6</v>
      </c>
      <c r="D137" s="5">
        <v>5</v>
      </c>
      <c r="E137" s="5">
        <v>4</v>
      </c>
      <c r="F137" s="5">
        <v>6</v>
      </c>
      <c r="G137" s="5">
        <v>8</v>
      </c>
      <c r="H137" s="5">
        <v>22</v>
      </c>
    </row>
    <row r="138" spans="1:8">
      <c r="A138" s="5">
        <v>80922</v>
      </c>
      <c r="B138" s="5">
        <v>43</v>
      </c>
      <c r="C138" s="5">
        <v>6</v>
      </c>
      <c r="D138" s="5">
        <v>3</v>
      </c>
      <c r="E138" s="5">
        <v>6</v>
      </c>
      <c r="F138" s="5">
        <v>8</v>
      </c>
      <c r="G138" s="5">
        <v>11</v>
      </c>
      <c r="H138" s="5">
        <v>9</v>
      </c>
    </row>
    <row r="139" spans="1:8">
      <c r="A139" s="5">
        <v>80923</v>
      </c>
      <c r="B139" s="5">
        <v>47</v>
      </c>
      <c r="C139" s="5">
        <v>6</v>
      </c>
      <c r="D139" s="5">
        <v>7</v>
      </c>
      <c r="E139" s="5">
        <v>4</v>
      </c>
      <c r="F139" s="5">
        <v>9</v>
      </c>
      <c r="G139" s="5">
        <v>6</v>
      </c>
      <c r="H139" s="5">
        <v>15</v>
      </c>
    </row>
    <row r="140" spans="1:8">
      <c r="A140" s="5">
        <v>80924</v>
      </c>
      <c r="B140" s="5">
        <v>34</v>
      </c>
      <c r="C140" s="5" t="s">
        <v>177</v>
      </c>
      <c r="D140" s="5">
        <v>3</v>
      </c>
      <c r="E140" s="5">
        <v>3</v>
      </c>
      <c r="F140" s="5">
        <v>8</v>
      </c>
      <c r="G140" s="5">
        <v>4</v>
      </c>
      <c r="H140" s="5">
        <v>16</v>
      </c>
    </row>
    <row r="141" spans="1:8">
      <c r="A141" s="5">
        <v>80925</v>
      </c>
      <c r="B141" s="5">
        <v>25</v>
      </c>
      <c r="C141" s="5">
        <v>1</v>
      </c>
      <c r="D141" s="5">
        <v>2</v>
      </c>
      <c r="E141" s="5">
        <v>3</v>
      </c>
      <c r="F141" s="5">
        <v>6</v>
      </c>
      <c r="G141" s="5">
        <v>7</v>
      </c>
      <c r="H141" s="5">
        <v>6</v>
      </c>
    </row>
    <row r="142" spans="1:8">
      <c r="A142" s="5">
        <v>80926</v>
      </c>
      <c r="B142" s="5">
        <v>1</v>
      </c>
      <c r="C142" s="5" t="s">
        <v>177</v>
      </c>
      <c r="D142" s="5" t="s">
        <v>177</v>
      </c>
      <c r="E142" s="5" t="s">
        <v>177</v>
      </c>
      <c r="F142" s="5">
        <v>1</v>
      </c>
      <c r="G142" s="5" t="s">
        <v>177</v>
      </c>
      <c r="H142" s="5" t="s">
        <v>177</v>
      </c>
    </row>
    <row r="143" spans="1:8">
      <c r="A143" s="5">
        <v>80927</v>
      </c>
      <c r="B143" s="5">
        <v>13</v>
      </c>
      <c r="C143" s="5">
        <v>2</v>
      </c>
      <c r="D143" s="5" t="s">
        <v>177</v>
      </c>
      <c r="E143" s="5" t="s">
        <v>177</v>
      </c>
      <c r="F143" s="5">
        <v>5</v>
      </c>
      <c r="G143" s="5">
        <v>3</v>
      </c>
      <c r="H143" s="5">
        <v>3</v>
      </c>
    </row>
    <row r="144" spans="1:8">
      <c r="A144" s="5">
        <v>80929</v>
      </c>
      <c r="B144" s="5">
        <v>1</v>
      </c>
      <c r="C144" s="5" t="s">
        <v>177</v>
      </c>
      <c r="D144" s="5" t="s">
        <v>177</v>
      </c>
      <c r="E144" s="5" t="s">
        <v>177</v>
      </c>
      <c r="F144" s="5">
        <v>1</v>
      </c>
      <c r="G144" s="5" t="s">
        <v>177</v>
      </c>
      <c r="H144" s="5" t="s">
        <v>177</v>
      </c>
    </row>
    <row r="145" spans="1:8">
      <c r="A145" s="5">
        <v>80930</v>
      </c>
      <c r="B145" s="5">
        <v>1</v>
      </c>
      <c r="C145" s="5" t="s">
        <v>177</v>
      </c>
      <c r="D145" s="5" t="s">
        <v>177</v>
      </c>
      <c r="E145" s="5" t="s">
        <v>177</v>
      </c>
      <c r="F145" s="5" t="s">
        <v>177</v>
      </c>
      <c r="G145" s="5" t="s">
        <v>177</v>
      </c>
      <c r="H145" s="5">
        <v>1</v>
      </c>
    </row>
    <row r="146" spans="1:8">
      <c r="A146" s="5">
        <v>80938</v>
      </c>
      <c r="B146" s="5">
        <v>1</v>
      </c>
      <c r="C146" s="5" t="s">
        <v>177</v>
      </c>
      <c r="D146" s="5">
        <v>1</v>
      </c>
      <c r="E146" s="5" t="s">
        <v>177</v>
      </c>
      <c r="F146" s="5" t="s">
        <v>177</v>
      </c>
      <c r="G146" s="5" t="s">
        <v>177</v>
      </c>
      <c r="H146" s="5" t="s">
        <v>177</v>
      </c>
    </row>
    <row r="147" spans="1:8">
      <c r="A147" s="5">
        <v>80951</v>
      </c>
      <c r="B147" s="5">
        <v>11</v>
      </c>
      <c r="C147" s="5">
        <v>4</v>
      </c>
      <c r="D147" s="5">
        <v>1</v>
      </c>
      <c r="E147" s="5" t="s">
        <v>177</v>
      </c>
      <c r="F147" s="5">
        <v>2</v>
      </c>
      <c r="G147" s="5">
        <v>3</v>
      </c>
      <c r="H147" s="5">
        <v>1</v>
      </c>
    </row>
    <row r="148" spans="1:8">
      <c r="A148" s="5">
        <v>81001</v>
      </c>
      <c r="B148" s="5">
        <v>30</v>
      </c>
      <c r="C148" s="5">
        <v>5</v>
      </c>
      <c r="D148" s="5">
        <v>2</v>
      </c>
      <c r="E148" s="5">
        <v>1</v>
      </c>
      <c r="F148" s="5">
        <v>10</v>
      </c>
      <c r="G148" s="5">
        <v>2</v>
      </c>
      <c r="H148" s="5">
        <v>10</v>
      </c>
    </row>
    <row r="149" spans="1:8">
      <c r="A149" s="5">
        <v>81003</v>
      </c>
      <c r="B149" s="5">
        <v>13</v>
      </c>
      <c r="C149" s="5">
        <v>1</v>
      </c>
      <c r="D149" s="5">
        <v>3</v>
      </c>
      <c r="E149" s="5">
        <v>2</v>
      </c>
      <c r="F149" s="5" t="s">
        <v>177</v>
      </c>
      <c r="G149" s="5">
        <v>2</v>
      </c>
      <c r="H149" s="5">
        <v>5</v>
      </c>
    </row>
    <row r="150" spans="1:8">
      <c r="A150" s="5">
        <v>81006</v>
      </c>
      <c r="B150" s="5">
        <v>16</v>
      </c>
      <c r="C150" s="5">
        <v>3</v>
      </c>
      <c r="D150" s="5">
        <v>1</v>
      </c>
      <c r="E150" s="5">
        <v>3</v>
      </c>
      <c r="F150" s="5">
        <v>2</v>
      </c>
      <c r="G150" s="5">
        <v>3</v>
      </c>
      <c r="H150" s="5">
        <v>4</v>
      </c>
    </row>
    <row r="151" spans="1:8">
      <c r="A151" s="5">
        <v>81007</v>
      </c>
      <c r="B151" s="5">
        <v>45</v>
      </c>
      <c r="C151" s="5">
        <v>6</v>
      </c>
      <c r="D151" s="5">
        <v>7</v>
      </c>
      <c r="E151" s="5">
        <v>6</v>
      </c>
      <c r="F151" s="5">
        <v>4</v>
      </c>
      <c r="G151" s="5">
        <v>11</v>
      </c>
      <c r="H151" s="5">
        <v>11</v>
      </c>
    </row>
    <row r="152" spans="1:8">
      <c r="A152" s="5">
        <v>81008</v>
      </c>
      <c r="B152" s="5">
        <v>15</v>
      </c>
      <c r="C152" s="5">
        <v>3</v>
      </c>
      <c r="D152" s="5">
        <v>1</v>
      </c>
      <c r="E152" s="5">
        <v>1</v>
      </c>
      <c r="F152" s="5">
        <v>2</v>
      </c>
      <c r="G152" s="5">
        <v>4</v>
      </c>
      <c r="H152" s="5">
        <v>4</v>
      </c>
    </row>
    <row r="153" spans="1:8">
      <c r="A153" s="5">
        <v>81019</v>
      </c>
      <c r="B153" s="5">
        <v>2</v>
      </c>
      <c r="C153" s="5" t="s">
        <v>177</v>
      </c>
      <c r="D153" s="5">
        <v>1</v>
      </c>
      <c r="E153" s="5" t="s">
        <v>177</v>
      </c>
      <c r="F153" s="5" t="s">
        <v>177</v>
      </c>
      <c r="G153" s="5">
        <v>1</v>
      </c>
      <c r="H153" s="5" t="s">
        <v>177</v>
      </c>
    </row>
    <row r="154" spans="1:8">
      <c r="A154" s="5">
        <v>85006</v>
      </c>
      <c r="B154" s="5">
        <v>46</v>
      </c>
      <c r="C154" s="5">
        <v>8</v>
      </c>
      <c r="D154" s="5">
        <v>14</v>
      </c>
      <c r="E154" s="5">
        <v>4</v>
      </c>
      <c r="F154" s="5">
        <v>6</v>
      </c>
      <c r="G154" s="5">
        <v>4</v>
      </c>
      <c r="H154" s="5">
        <v>10</v>
      </c>
    </row>
    <row r="155" spans="1:8">
      <c r="A155" s="5">
        <v>85007</v>
      </c>
      <c r="B155" s="5">
        <v>18</v>
      </c>
      <c r="C155" s="5">
        <v>4</v>
      </c>
      <c r="D155" s="5">
        <v>3</v>
      </c>
      <c r="E155" s="5">
        <v>1</v>
      </c>
      <c r="F155" s="5">
        <v>3</v>
      </c>
      <c r="G155" s="5">
        <v>3</v>
      </c>
      <c r="H155" s="5">
        <v>4</v>
      </c>
    </row>
    <row r="156" spans="1:8">
      <c r="A156" s="5">
        <v>85008</v>
      </c>
      <c r="B156" s="5">
        <v>88</v>
      </c>
      <c r="C156" s="5">
        <v>17</v>
      </c>
      <c r="D156" s="5">
        <v>13</v>
      </c>
      <c r="E156" s="5">
        <v>11</v>
      </c>
      <c r="F156" s="5">
        <v>13</v>
      </c>
      <c r="G156" s="5">
        <v>13</v>
      </c>
      <c r="H156" s="5">
        <v>21</v>
      </c>
    </row>
    <row r="157" spans="1:8">
      <c r="A157" s="5">
        <v>85009</v>
      </c>
      <c r="B157" s="5">
        <v>71</v>
      </c>
      <c r="C157" s="5">
        <v>9</v>
      </c>
      <c r="D157" s="5">
        <v>17</v>
      </c>
      <c r="E157" s="5">
        <v>7</v>
      </c>
      <c r="F157" s="5">
        <v>13</v>
      </c>
      <c r="G157" s="5">
        <v>9</v>
      </c>
      <c r="H157" s="5">
        <v>16</v>
      </c>
    </row>
    <row r="158" spans="1:8">
      <c r="A158" s="5">
        <v>85012</v>
      </c>
      <c r="B158" s="5">
        <v>13</v>
      </c>
      <c r="C158" s="5">
        <v>2</v>
      </c>
      <c r="D158" s="5">
        <v>1</v>
      </c>
      <c r="E158" s="5" t="s">
        <v>177</v>
      </c>
      <c r="F158" s="5">
        <v>1</v>
      </c>
      <c r="G158" s="5">
        <v>2</v>
      </c>
      <c r="H158" s="5">
        <v>7</v>
      </c>
    </row>
    <row r="159" spans="1:8">
      <c r="A159" s="5">
        <v>85013</v>
      </c>
      <c r="B159" s="5">
        <v>40</v>
      </c>
      <c r="C159" s="5">
        <v>9</v>
      </c>
      <c r="D159" s="5">
        <v>3</v>
      </c>
      <c r="E159" s="5">
        <v>3</v>
      </c>
      <c r="F159" s="5">
        <v>9</v>
      </c>
      <c r="G159" s="5">
        <v>7</v>
      </c>
      <c r="H159" s="5">
        <v>9</v>
      </c>
    </row>
    <row r="160" spans="1:8">
      <c r="A160" s="5">
        <v>85014</v>
      </c>
      <c r="B160" s="5">
        <v>40</v>
      </c>
      <c r="C160" s="5">
        <v>2</v>
      </c>
      <c r="D160" s="5">
        <v>3</v>
      </c>
      <c r="E160" s="5">
        <v>8</v>
      </c>
      <c r="F160" s="5">
        <v>12</v>
      </c>
      <c r="G160" s="5">
        <v>5</v>
      </c>
      <c r="H160" s="5">
        <v>10</v>
      </c>
    </row>
    <row r="161" spans="1:8">
      <c r="A161" s="5">
        <v>85015</v>
      </c>
      <c r="B161" s="5">
        <v>71</v>
      </c>
      <c r="C161" s="5">
        <v>15</v>
      </c>
      <c r="D161" s="5">
        <v>6</v>
      </c>
      <c r="E161" s="5">
        <v>10</v>
      </c>
      <c r="F161" s="5">
        <v>15</v>
      </c>
      <c r="G161" s="5">
        <v>7</v>
      </c>
      <c r="H161" s="5">
        <v>18</v>
      </c>
    </row>
    <row r="162" spans="1:8">
      <c r="A162" s="5">
        <v>85016</v>
      </c>
      <c r="B162" s="5">
        <v>32</v>
      </c>
      <c r="C162" s="5">
        <v>4</v>
      </c>
      <c r="D162" s="5">
        <v>6</v>
      </c>
      <c r="E162" s="5">
        <v>6</v>
      </c>
      <c r="F162" s="5">
        <v>4</v>
      </c>
      <c r="G162" s="5">
        <v>4</v>
      </c>
      <c r="H162" s="5">
        <v>8</v>
      </c>
    </row>
    <row r="163" spans="1:8">
      <c r="A163" s="5">
        <v>85017</v>
      </c>
      <c r="B163" s="5">
        <v>64</v>
      </c>
      <c r="C163" s="5">
        <v>13</v>
      </c>
      <c r="D163" s="5">
        <v>11</v>
      </c>
      <c r="E163" s="5">
        <v>5</v>
      </c>
      <c r="F163" s="5">
        <v>9</v>
      </c>
      <c r="G163" s="5">
        <v>9</v>
      </c>
      <c r="H163" s="5">
        <v>17</v>
      </c>
    </row>
    <row r="164" spans="1:8">
      <c r="A164" s="5">
        <v>85018</v>
      </c>
      <c r="B164" s="5">
        <v>39</v>
      </c>
      <c r="C164" s="5">
        <v>6</v>
      </c>
      <c r="D164" s="5">
        <v>9</v>
      </c>
      <c r="E164" s="5">
        <v>2</v>
      </c>
      <c r="F164" s="5">
        <v>6</v>
      </c>
      <c r="G164" s="5">
        <v>7</v>
      </c>
      <c r="H164" s="5">
        <v>9</v>
      </c>
    </row>
    <row r="165" spans="1:8">
      <c r="A165" s="5">
        <v>85019</v>
      </c>
      <c r="B165" s="5">
        <v>32</v>
      </c>
      <c r="C165" s="5">
        <v>7</v>
      </c>
      <c r="D165" s="5">
        <v>4</v>
      </c>
      <c r="E165" s="5">
        <v>4</v>
      </c>
      <c r="F165" s="5">
        <v>6</v>
      </c>
      <c r="G165" s="5">
        <v>3</v>
      </c>
      <c r="H165" s="5">
        <v>8</v>
      </c>
    </row>
    <row r="166" spans="1:8">
      <c r="A166" s="5">
        <v>85020</v>
      </c>
      <c r="B166" s="5">
        <v>37</v>
      </c>
      <c r="C166" s="5">
        <v>8</v>
      </c>
      <c r="D166" s="5">
        <v>7</v>
      </c>
      <c r="E166" s="5">
        <v>3</v>
      </c>
      <c r="F166" s="5">
        <v>6</v>
      </c>
      <c r="G166" s="5">
        <v>6</v>
      </c>
      <c r="H166" s="5">
        <v>7</v>
      </c>
    </row>
    <row r="167" spans="1:8">
      <c r="A167" s="5">
        <v>85021</v>
      </c>
      <c r="B167" s="5">
        <v>64</v>
      </c>
      <c r="C167" s="5">
        <v>7</v>
      </c>
      <c r="D167" s="5">
        <v>9</v>
      </c>
      <c r="E167" s="5">
        <v>6</v>
      </c>
      <c r="F167" s="5">
        <v>15</v>
      </c>
      <c r="G167" s="5">
        <v>11</v>
      </c>
      <c r="H167" s="5">
        <v>16</v>
      </c>
    </row>
    <row r="168" spans="1:8">
      <c r="A168" s="5">
        <v>85022</v>
      </c>
      <c r="B168" s="5">
        <v>70</v>
      </c>
      <c r="C168" s="5">
        <v>11</v>
      </c>
      <c r="D168" s="5">
        <v>11</v>
      </c>
      <c r="E168" s="5">
        <v>7</v>
      </c>
      <c r="F168" s="5">
        <v>14</v>
      </c>
      <c r="G168" s="5">
        <v>11</v>
      </c>
      <c r="H168" s="5">
        <v>16</v>
      </c>
    </row>
    <row r="169" spans="1:8">
      <c r="A169" s="5">
        <v>85023</v>
      </c>
      <c r="B169" s="5">
        <v>66</v>
      </c>
      <c r="C169" s="5">
        <v>9</v>
      </c>
      <c r="D169" s="5">
        <v>9</v>
      </c>
      <c r="E169" s="5">
        <v>4</v>
      </c>
      <c r="F169" s="5">
        <v>13</v>
      </c>
      <c r="G169" s="5">
        <v>10</v>
      </c>
      <c r="H169" s="5">
        <v>21</v>
      </c>
    </row>
    <row r="170" spans="1:8">
      <c r="A170" s="5">
        <v>85024</v>
      </c>
      <c r="B170" s="5">
        <v>45</v>
      </c>
      <c r="C170" s="5">
        <v>5</v>
      </c>
      <c r="D170" s="5">
        <v>7</v>
      </c>
      <c r="E170" s="5">
        <v>6</v>
      </c>
      <c r="F170" s="5">
        <v>6</v>
      </c>
      <c r="G170" s="5">
        <v>11</v>
      </c>
      <c r="H170" s="5">
        <v>10</v>
      </c>
    </row>
    <row r="171" spans="1:8">
      <c r="A171" s="5">
        <v>85027</v>
      </c>
      <c r="B171" s="5">
        <v>59</v>
      </c>
      <c r="C171" s="5">
        <v>8</v>
      </c>
      <c r="D171" s="5">
        <v>6</v>
      </c>
      <c r="E171" s="5">
        <v>7</v>
      </c>
      <c r="F171" s="5">
        <v>15</v>
      </c>
      <c r="G171" s="5">
        <v>7</v>
      </c>
      <c r="H171" s="5">
        <v>16</v>
      </c>
    </row>
    <row r="172" spans="1:8">
      <c r="A172" s="5">
        <v>85028</v>
      </c>
      <c r="B172" s="5">
        <v>25</v>
      </c>
      <c r="C172" s="5">
        <v>5</v>
      </c>
      <c r="D172" s="5">
        <v>4</v>
      </c>
      <c r="E172" s="5">
        <v>4</v>
      </c>
      <c r="F172" s="5">
        <v>3</v>
      </c>
      <c r="G172" s="5">
        <v>4</v>
      </c>
      <c r="H172" s="5">
        <v>5</v>
      </c>
    </row>
    <row r="173" spans="1:8">
      <c r="A173" s="5">
        <v>85029</v>
      </c>
      <c r="B173" s="5">
        <v>70</v>
      </c>
      <c r="C173" s="5">
        <v>11</v>
      </c>
      <c r="D173" s="5">
        <v>16</v>
      </c>
      <c r="E173" s="5">
        <v>5</v>
      </c>
      <c r="F173" s="5">
        <v>12</v>
      </c>
      <c r="G173" s="5">
        <v>5</v>
      </c>
      <c r="H173" s="5">
        <v>21</v>
      </c>
    </row>
    <row r="174" spans="1:8">
      <c r="A174" s="5">
        <v>85031</v>
      </c>
      <c r="B174" s="5">
        <v>41</v>
      </c>
      <c r="C174" s="5">
        <v>11</v>
      </c>
      <c r="D174" s="5">
        <v>10</v>
      </c>
      <c r="E174" s="5">
        <v>4</v>
      </c>
      <c r="F174" s="5">
        <v>5</v>
      </c>
      <c r="G174" s="5">
        <v>5</v>
      </c>
      <c r="H174" s="5">
        <v>6</v>
      </c>
    </row>
    <row r="175" spans="1:8">
      <c r="A175" s="5">
        <v>85032</v>
      </c>
      <c r="B175" s="5">
        <v>96</v>
      </c>
      <c r="C175" s="5">
        <v>9</v>
      </c>
      <c r="D175" s="5">
        <v>16</v>
      </c>
      <c r="E175" s="5">
        <v>9</v>
      </c>
      <c r="F175" s="5">
        <v>15</v>
      </c>
      <c r="G175" s="5">
        <v>17</v>
      </c>
      <c r="H175" s="5">
        <v>30</v>
      </c>
    </row>
    <row r="176" spans="1:8">
      <c r="A176" s="5">
        <v>85033</v>
      </c>
      <c r="B176" s="5">
        <v>82</v>
      </c>
      <c r="C176" s="5">
        <v>11</v>
      </c>
      <c r="D176" s="5">
        <v>12</v>
      </c>
      <c r="E176" s="5">
        <v>9</v>
      </c>
      <c r="F176" s="5">
        <v>17</v>
      </c>
      <c r="G176" s="5">
        <v>12</v>
      </c>
      <c r="H176" s="5">
        <v>21</v>
      </c>
    </row>
    <row r="177" spans="1:8">
      <c r="A177" s="5">
        <v>85035</v>
      </c>
      <c r="B177" s="5">
        <v>88</v>
      </c>
      <c r="C177" s="5">
        <v>16</v>
      </c>
      <c r="D177" s="5">
        <v>10</v>
      </c>
      <c r="E177" s="5">
        <v>8</v>
      </c>
      <c r="F177" s="5">
        <v>23</v>
      </c>
      <c r="G177" s="5">
        <v>11</v>
      </c>
      <c r="H177" s="5">
        <v>20</v>
      </c>
    </row>
    <row r="178" spans="1:8">
      <c r="A178" s="5">
        <v>85037</v>
      </c>
      <c r="B178" s="5">
        <v>102</v>
      </c>
      <c r="C178" s="5">
        <v>12</v>
      </c>
      <c r="D178" s="5">
        <v>20</v>
      </c>
      <c r="E178" s="5">
        <v>9</v>
      </c>
      <c r="F178" s="5">
        <v>19</v>
      </c>
      <c r="G178" s="5">
        <v>14</v>
      </c>
      <c r="H178" s="5">
        <v>28</v>
      </c>
    </row>
    <row r="179" spans="1:8">
      <c r="A179" s="5">
        <v>85040</v>
      </c>
      <c r="B179" s="5">
        <v>62</v>
      </c>
      <c r="C179" s="5">
        <v>4</v>
      </c>
      <c r="D179" s="5">
        <v>13</v>
      </c>
      <c r="E179" s="5">
        <v>6</v>
      </c>
      <c r="F179" s="5">
        <v>13</v>
      </c>
      <c r="G179" s="5">
        <v>8</v>
      </c>
      <c r="H179" s="5">
        <v>18</v>
      </c>
    </row>
    <row r="180" spans="1:8">
      <c r="A180" s="5">
        <v>85041</v>
      </c>
      <c r="B180" s="5">
        <v>131</v>
      </c>
      <c r="C180" s="5">
        <v>23</v>
      </c>
      <c r="D180" s="5">
        <v>22</v>
      </c>
      <c r="E180" s="5">
        <v>16</v>
      </c>
      <c r="F180" s="5">
        <v>23</v>
      </c>
      <c r="G180" s="5">
        <v>13</v>
      </c>
      <c r="H180" s="5">
        <v>34</v>
      </c>
    </row>
    <row r="181" spans="1:8">
      <c r="A181" s="5">
        <v>85042</v>
      </c>
      <c r="B181" s="5">
        <v>79</v>
      </c>
      <c r="C181" s="5">
        <v>8</v>
      </c>
      <c r="D181" s="5">
        <v>10</v>
      </c>
      <c r="E181" s="5">
        <v>6</v>
      </c>
      <c r="F181" s="5">
        <v>22</v>
      </c>
      <c r="G181" s="5">
        <v>16</v>
      </c>
      <c r="H181" s="5">
        <v>17</v>
      </c>
    </row>
    <row r="182" spans="1:8">
      <c r="A182" s="5">
        <v>85043</v>
      </c>
      <c r="B182" s="5">
        <v>53</v>
      </c>
      <c r="C182" s="5">
        <v>4</v>
      </c>
      <c r="D182" s="5">
        <v>9</v>
      </c>
      <c r="E182" s="5">
        <v>8</v>
      </c>
      <c r="F182" s="5">
        <v>11</v>
      </c>
      <c r="G182" s="5">
        <v>6</v>
      </c>
      <c r="H182" s="5">
        <v>15</v>
      </c>
    </row>
    <row r="183" spans="1:8">
      <c r="A183" s="5">
        <v>85044</v>
      </c>
      <c r="B183" s="5">
        <v>53</v>
      </c>
      <c r="C183" s="5">
        <v>9</v>
      </c>
      <c r="D183" s="5">
        <v>10</v>
      </c>
      <c r="E183" s="5">
        <v>3</v>
      </c>
      <c r="F183" s="5">
        <v>7</v>
      </c>
      <c r="G183" s="5">
        <v>8</v>
      </c>
      <c r="H183" s="5">
        <v>16</v>
      </c>
    </row>
    <row r="184" spans="1:8">
      <c r="A184" s="5">
        <v>85045</v>
      </c>
      <c r="B184" s="5">
        <v>25</v>
      </c>
      <c r="C184" s="5">
        <v>1</v>
      </c>
      <c r="D184" s="5">
        <v>4</v>
      </c>
      <c r="E184" s="5">
        <v>2</v>
      </c>
      <c r="F184" s="5">
        <v>4</v>
      </c>
      <c r="G184" s="5">
        <v>7</v>
      </c>
      <c r="H184" s="5">
        <v>7</v>
      </c>
    </row>
    <row r="185" spans="1:8">
      <c r="A185" s="5">
        <v>85048</v>
      </c>
      <c r="B185" s="5">
        <v>63</v>
      </c>
      <c r="C185" s="5">
        <v>6</v>
      </c>
      <c r="D185" s="5">
        <v>10</v>
      </c>
      <c r="E185" s="5">
        <v>6</v>
      </c>
      <c r="F185" s="5">
        <v>13</v>
      </c>
      <c r="G185" s="5">
        <v>16</v>
      </c>
      <c r="H185" s="5">
        <v>12</v>
      </c>
    </row>
    <row r="186" spans="1:8">
      <c r="A186" s="5">
        <v>85050</v>
      </c>
      <c r="B186" s="5">
        <v>43</v>
      </c>
      <c r="C186" s="5">
        <v>8</v>
      </c>
      <c r="D186" s="5">
        <v>5</v>
      </c>
      <c r="E186" s="5">
        <v>3</v>
      </c>
      <c r="F186" s="5">
        <v>6</v>
      </c>
      <c r="G186" s="5">
        <v>6</v>
      </c>
      <c r="H186" s="5">
        <v>15</v>
      </c>
    </row>
    <row r="187" spans="1:8">
      <c r="A187" s="5">
        <v>85051</v>
      </c>
      <c r="B187" s="5">
        <v>92</v>
      </c>
      <c r="C187" s="5">
        <v>20</v>
      </c>
      <c r="D187" s="5">
        <v>9</v>
      </c>
      <c r="E187" s="5">
        <v>17</v>
      </c>
      <c r="F187" s="5">
        <v>15</v>
      </c>
      <c r="G187" s="5">
        <v>16</v>
      </c>
      <c r="H187" s="5">
        <v>15</v>
      </c>
    </row>
    <row r="188" spans="1:8">
      <c r="A188" s="5">
        <v>85053</v>
      </c>
      <c r="B188" s="5">
        <v>61</v>
      </c>
      <c r="C188" s="5">
        <v>8</v>
      </c>
      <c r="D188" s="5">
        <v>10</v>
      </c>
      <c r="E188" s="5">
        <v>5</v>
      </c>
      <c r="F188" s="5">
        <v>12</v>
      </c>
      <c r="G188" s="5">
        <v>11</v>
      </c>
      <c r="H188" s="5">
        <v>15</v>
      </c>
    </row>
    <row r="189" spans="1:8">
      <c r="A189" s="5">
        <v>85054</v>
      </c>
      <c r="B189" s="5">
        <v>11</v>
      </c>
      <c r="C189" s="5">
        <v>3</v>
      </c>
      <c r="D189" s="5">
        <v>1</v>
      </c>
      <c r="E189" s="5">
        <v>1</v>
      </c>
      <c r="F189" s="5">
        <v>3</v>
      </c>
      <c r="G189" s="5">
        <v>1</v>
      </c>
      <c r="H189" s="5">
        <v>2</v>
      </c>
    </row>
    <row r="190" spans="1:8">
      <c r="A190" s="5">
        <v>85083</v>
      </c>
      <c r="B190" s="5">
        <v>22</v>
      </c>
      <c r="C190" s="5">
        <v>1</v>
      </c>
      <c r="D190" s="5">
        <v>7</v>
      </c>
      <c r="E190" s="5">
        <v>1</v>
      </c>
      <c r="F190" s="5">
        <v>4</v>
      </c>
      <c r="G190" s="5">
        <v>5</v>
      </c>
      <c r="H190" s="5">
        <v>4</v>
      </c>
    </row>
    <row r="191" spans="1:8">
      <c r="A191" s="5">
        <v>85140</v>
      </c>
      <c r="B191" s="5">
        <v>63</v>
      </c>
      <c r="C191" s="5">
        <v>7</v>
      </c>
      <c r="D191" s="5">
        <v>12</v>
      </c>
      <c r="E191" s="5">
        <v>8</v>
      </c>
      <c r="F191" s="5">
        <v>15</v>
      </c>
      <c r="G191" s="5">
        <v>8</v>
      </c>
      <c r="H191" s="5">
        <v>13</v>
      </c>
    </row>
    <row r="192" spans="1:8">
      <c r="A192" s="5">
        <v>85142</v>
      </c>
      <c r="B192" s="5">
        <v>120</v>
      </c>
      <c r="C192" s="5">
        <v>16</v>
      </c>
      <c r="D192" s="5">
        <v>14</v>
      </c>
      <c r="E192" s="5">
        <v>17</v>
      </c>
      <c r="F192" s="5">
        <v>19</v>
      </c>
      <c r="G192" s="5">
        <v>20</v>
      </c>
      <c r="H192" s="5">
        <v>34</v>
      </c>
    </row>
    <row r="193" spans="1:8">
      <c r="A193" s="5">
        <v>85143</v>
      </c>
      <c r="B193" s="5">
        <v>68</v>
      </c>
      <c r="C193" s="5">
        <v>12</v>
      </c>
      <c r="D193" s="5">
        <v>11</v>
      </c>
      <c r="E193" s="5">
        <v>5</v>
      </c>
      <c r="F193" s="5">
        <v>14</v>
      </c>
      <c r="G193" s="5">
        <v>5</v>
      </c>
      <c r="H193" s="5">
        <v>21</v>
      </c>
    </row>
    <row r="194" spans="1:8">
      <c r="A194" s="5">
        <v>85201</v>
      </c>
      <c r="B194" s="5">
        <v>74</v>
      </c>
      <c r="C194" s="5">
        <v>10</v>
      </c>
      <c r="D194" s="5">
        <v>10</v>
      </c>
      <c r="E194" s="5">
        <v>3</v>
      </c>
      <c r="F194" s="5">
        <v>15</v>
      </c>
      <c r="G194" s="5">
        <v>13</v>
      </c>
      <c r="H194" s="5">
        <v>23</v>
      </c>
    </row>
    <row r="195" spans="1:8">
      <c r="A195" s="5">
        <v>85202</v>
      </c>
      <c r="B195" s="5">
        <v>72</v>
      </c>
      <c r="C195" s="5">
        <v>13</v>
      </c>
      <c r="D195" s="5">
        <v>14</v>
      </c>
      <c r="E195" s="5">
        <v>7</v>
      </c>
      <c r="F195" s="5">
        <v>14</v>
      </c>
      <c r="G195" s="5">
        <v>9</v>
      </c>
      <c r="H195" s="5">
        <v>15</v>
      </c>
    </row>
    <row r="196" spans="1:8">
      <c r="A196" s="5">
        <v>85203</v>
      </c>
      <c r="B196" s="5">
        <v>68</v>
      </c>
      <c r="C196" s="5">
        <v>9</v>
      </c>
      <c r="D196" s="5">
        <v>9</v>
      </c>
      <c r="E196" s="5">
        <v>7</v>
      </c>
      <c r="F196" s="5">
        <v>19</v>
      </c>
      <c r="G196" s="5">
        <v>9</v>
      </c>
      <c r="H196" s="5">
        <v>15</v>
      </c>
    </row>
    <row r="197" spans="1:8">
      <c r="A197" s="5">
        <v>85204</v>
      </c>
      <c r="B197" s="5">
        <v>84</v>
      </c>
      <c r="C197" s="5">
        <v>16</v>
      </c>
      <c r="D197" s="5">
        <v>13</v>
      </c>
      <c r="E197" s="5">
        <v>6</v>
      </c>
      <c r="F197" s="5">
        <v>15</v>
      </c>
      <c r="G197" s="5">
        <v>11</v>
      </c>
      <c r="H197" s="5">
        <v>23</v>
      </c>
    </row>
    <row r="198" spans="1:8">
      <c r="A198" s="5">
        <v>85205</v>
      </c>
      <c r="B198" s="5">
        <v>49</v>
      </c>
      <c r="C198" s="5">
        <v>2</v>
      </c>
      <c r="D198" s="5">
        <v>9</v>
      </c>
      <c r="E198" s="5">
        <v>7</v>
      </c>
      <c r="F198" s="5">
        <v>9</v>
      </c>
      <c r="G198" s="5">
        <v>8</v>
      </c>
      <c r="H198" s="5">
        <v>14</v>
      </c>
    </row>
    <row r="199" spans="1:8">
      <c r="A199" s="5">
        <v>85206</v>
      </c>
      <c r="B199" s="5">
        <v>53</v>
      </c>
      <c r="C199" s="5">
        <v>8</v>
      </c>
      <c r="D199" s="5">
        <v>5</v>
      </c>
      <c r="E199" s="5">
        <v>5</v>
      </c>
      <c r="F199" s="5">
        <v>10</v>
      </c>
      <c r="G199" s="5">
        <v>12</v>
      </c>
      <c r="H199" s="5">
        <v>13</v>
      </c>
    </row>
    <row r="200" spans="1:8">
      <c r="A200" s="5">
        <v>85207</v>
      </c>
      <c r="B200" s="5">
        <v>68</v>
      </c>
      <c r="C200" s="5">
        <v>8</v>
      </c>
      <c r="D200" s="5">
        <v>13</v>
      </c>
      <c r="E200" s="5">
        <v>7</v>
      </c>
      <c r="F200" s="5">
        <v>16</v>
      </c>
      <c r="G200" s="5">
        <v>7</v>
      </c>
      <c r="H200" s="5">
        <v>17</v>
      </c>
    </row>
    <row r="201" spans="1:8">
      <c r="A201" s="5">
        <v>85208</v>
      </c>
      <c r="B201" s="5">
        <v>38</v>
      </c>
      <c r="C201" s="5">
        <v>4</v>
      </c>
      <c r="D201" s="5">
        <v>4</v>
      </c>
      <c r="E201" s="5">
        <v>1</v>
      </c>
      <c r="F201" s="5">
        <v>7</v>
      </c>
      <c r="G201" s="5">
        <v>9</v>
      </c>
      <c r="H201" s="5">
        <v>13</v>
      </c>
    </row>
    <row r="202" spans="1:8">
      <c r="A202" s="5">
        <v>85209</v>
      </c>
      <c r="B202" s="5">
        <v>66</v>
      </c>
      <c r="C202" s="5">
        <v>8</v>
      </c>
      <c r="D202" s="5">
        <v>12</v>
      </c>
      <c r="E202" s="5">
        <v>6</v>
      </c>
      <c r="F202" s="5">
        <v>13</v>
      </c>
      <c r="G202" s="5">
        <v>16</v>
      </c>
      <c r="H202" s="5">
        <v>11</v>
      </c>
    </row>
    <row r="203" spans="1:8">
      <c r="A203" s="5">
        <v>85210</v>
      </c>
      <c r="B203" s="5">
        <v>57</v>
      </c>
      <c r="C203" s="5">
        <v>8</v>
      </c>
      <c r="D203" s="5">
        <v>7</v>
      </c>
      <c r="E203" s="5">
        <v>4</v>
      </c>
      <c r="F203" s="5">
        <v>14</v>
      </c>
      <c r="G203" s="5">
        <v>9</v>
      </c>
      <c r="H203" s="5">
        <v>15</v>
      </c>
    </row>
    <row r="204" spans="1:8">
      <c r="A204" s="5">
        <v>85212</v>
      </c>
      <c r="B204" s="5">
        <v>90</v>
      </c>
      <c r="C204" s="5">
        <v>16</v>
      </c>
      <c r="D204" s="5">
        <v>12</v>
      </c>
      <c r="E204" s="5">
        <v>6</v>
      </c>
      <c r="F204" s="5">
        <v>16</v>
      </c>
      <c r="G204" s="5">
        <v>14</v>
      </c>
      <c r="H204" s="5">
        <v>26</v>
      </c>
    </row>
    <row r="205" spans="1:8">
      <c r="A205" s="5">
        <v>85213</v>
      </c>
      <c r="B205" s="5">
        <v>36</v>
      </c>
      <c r="C205" s="5">
        <v>3</v>
      </c>
      <c r="D205" s="5">
        <v>5</v>
      </c>
      <c r="E205" s="5">
        <v>2</v>
      </c>
      <c r="F205" s="5">
        <v>10</v>
      </c>
      <c r="G205" s="5">
        <v>9</v>
      </c>
      <c r="H205" s="5">
        <v>7</v>
      </c>
    </row>
    <row r="206" spans="1:8">
      <c r="A206" s="5">
        <v>85215</v>
      </c>
      <c r="B206" s="5">
        <v>17</v>
      </c>
      <c r="C206" s="5">
        <v>4</v>
      </c>
      <c r="D206" s="5">
        <v>1</v>
      </c>
      <c r="E206" s="5">
        <v>2</v>
      </c>
      <c r="F206" s="5">
        <v>3</v>
      </c>
      <c r="G206" s="5">
        <v>3</v>
      </c>
      <c r="H206" s="5">
        <v>4</v>
      </c>
    </row>
    <row r="207" spans="1:8">
      <c r="A207" s="5">
        <v>85224</v>
      </c>
      <c r="B207" s="5">
        <v>64</v>
      </c>
      <c r="C207" s="5">
        <v>8</v>
      </c>
      <c r="D207" s="5">
        <v>7</v>
      </c>
      <c r="E207" s="5">
        <v>9</v>
      </c>
      <c r="F207" s="5">
        <v>18</v>
      </c>
      <c r="G207" s="5">
        <v>11</v>
      </c>
      <c r="H207" s="5">
        <v>11</v>
      </c>
    </row>
    <row r="208" spans="1:8">
      <c r="A208" s="5">
        <v>85225</v>
      </c>
      <c r="B208" s="5">
        <v>120</v>
      </c>
      <c r="C208" s="5">
        <v>23</v>
      </c>
      <c r="D208" s="5">
        <v>22</v>
      </c>
      <c r="E208" s="5">
        <v>9</v>
      </c>
      <c r="F208" s="5">
        <v>25</v>
      </c>
      <c r="G208" s="5">
        <v>15</v>
      </c>
      <c r="H208" s="5">
        <v>26</v>
      </c>
    </row>
    <row r="209" spans="1:8">
      <c r="A209" s="5">
        <v>85226</v>
      </c>
      <c r="B209" s="5">
        <v>100</v>
      </c>
      <c r="C209" s="5">
        <v>17</v>
      </c>
      <c r="D209" s="5">
        <v>10</v>
      </c>
      <c r="E209" s="5">
        <v>10</v>
      </c>
      <c r="F209" s="5">
        <v>22</v>
      </c>
      <c r="G209" s="5">
        <v>9</v>
      </c>
      <c r="H209" s="5">
        <v>32</v>
      </c>
    </row>
    <row r="210" spans="1:8">
      <c r="A210" s="5">
        <v>85233</v>
      </c>
      <c r="B210" s="5">
        <v>61</v>
      </c>
      <c r="C210" s="5">
        <v>16</v>
      </c>
      <c r="D210" s="5">
        <v>5</v>
      </c>
      <c r="E210" s="5">
        <v>8</v>
      </c>
      <c r="F210" s="5">
        <v>7</v>
      </c>
      <c r="G210" s="5">
        <v>11</v>
      </c>
      <c r="H210" s="5">
        <v>14</v>
      </c>
    </row>
    <row r="211" spans="1:8">
      <c r="A211" s="5">
        <v>85234</v>
      </c>
      <c r="B211" s="5">
        <v>93</v>
      </c>
      <c r="C211" s="5">
        <v>17</v>
      </c>
      <c r="D211" s="5">
        <v>20</v>
      </c>
      <c r="E211" s="5">
        <v>9</v>
      </c>
      <c r="F211" s="5">
        <v>16</v>
      </c>
      <c r="G211" s="5">
        <v>15</v>
      </c>
      <c r="H211" s="5">
        <v>16</v>
      </c>
    </row>
    <row r="212" spans="1:8">
      <c r="A212" s="5">
        <v>85248</v>
      </c>
      <c r="B212" s="5">
        <v>28</v>
      </c>
      <c r="C212" s="5">
        <v>2</v>
      </c>
      <c r="D212" s="5">
        <v>3</v>
      </c>
      <c r="E212" s="5">
        <v>2</v>
      </c>
      <c r="F212" s="5">
        <v>8</v>
      </c>
      <c r="G212" s="5">
        <v>6</v>
      </c>
      <c r="H212" s="5">
        <v>7</v>
      </c>
    </row>
    <row r="213" spans="1:8">
      <c r="A213" s="5">
        <v>85249</v>
      </c>
      <c r="B213" s="5">
        <v>68</v>
      </c>
      <c r="C213" s="5">
        <v>15</v>
      </c>
      <c r="D213" s="5">
        <v>12</v>
      </c>
      <c r="E213" s="5">
        <v>5</v>
      </c>
      <c r="F213" s="5">
        <v>15</v>
      </c>
      <c r="G213" s="5">
        <v>14</v>
      </c>
      <c r="H213" s="5">
        <v>7</v>
      </c>
    </row>
    <row r="214" spans="1:8">
      <c r="A214" s="5">
        <v>85250</v>
      </c>
      <c r="B214" s="5">
        <v>22</v>
      </c>
      <c r="C214" s="5">
        <v>7</v>
      </c>
      <c r="D214" s="5">
        <v>5</v>
      </c>
      <c r="E214" s="5">
        <v>1</v>
      </c>
      <c r="F214" s="5">
        <v>4</v>
      </c>
      <c r="G214" s="5" t="s">
        <v>177</v>
      </c>
      <c r="H214" s="5">
        <v>5</v>
      </c>
    </row>
    <row r="215" spans="1:8">
      <c r="A215" s="5">
        <v>85251</v>
      </c>
      <c r="B215" s="5">
        <v>54</v>
      </c>
      <c r="C215" s="5">
        <v>6</v>
      </c>
      <c r="D215" s="5">
        <v>11</v>
      </c>
      <c r="E215" s="5">
        <v>7</v>
      </c>
      <c r="F215" s="5">
        <v>8</v>
      </c>
      <c r="G215" s="5">
        <v>5</v>
      </c>
      <c r="H215" s="5">
        <v>17</v>
      </c>
    </row>
    <row r="216" spans="1:8">
      <c r="A216" s="5">
        <v>85253</v>
      </c>
      <c r="B216" s="5">
        <v>19</v>
      </c>
      <c r="C216" s="5">
        <v>6</v>
      </c>
      <c r="D216" s="5">
        <v>4</v>
      </c>
      <c r="E216" s="5">
        <v>1</v>
      </c>
      <c r="F216" s="5">
        <v>3</v>
      </c>
      <c r="G216" s="5">
        <v>2</v>
      </c>
      <c r="H216" s="5">
        <v>3</v>
      </c>
    </row>
    <row r="217" spans="1:8">
      <c r="A217" s="5">
        <v>85254</v>
      </c>
      <c r="B217" s="5">
        <v>55</v>
      </c>
      <c r="C217" s="5">
        <v>10</v>
      </c>
      <c r="D217" s="5">
        <v>7</v>
      </c>
      <c r="E217" s="5">
        <v>3</v>
      </c>
      <c r="F217" s="5">
        <v>13</v>
      </c>
      <c r="G217" s="5">
        <v>4</v>
      </c>
      <c r="H217" s="5">
        <v>18</v>
      </c>
    </row>
    <row r="218" spans="1:8">
      <c r="A218" s="5">
        <v>85256</v>
      </c>
      <c r="B218" s="5">
        <v>8</v>
      </c>
      <c r="C218" s="5">
        <v>5</v>
      </c>
      <c r="D218" s="5" t="s">
        <v>177</v>
      </c>
      <c r="E218" s="5">
        <v>1</v>
      </c>
      <c r="F218" s="5" t="s">
        <v>177</v>
      </c>
      <c r="G218" s="5">
        <v>1</v>
      </c>
      <c r="H218" s="5">
        <v>1</v>
      </c>
    </row>
    <row r="219" spans="1:8">
      <c r="A219" s="5">
        <v>85257</v>
      </c>
      <c r="B219" s="5">
        <v>40</v>
      </c>
      <c r="C219" s="5">
        <v>5</v>
      </c>
      <c r="D219" s="5">
        <v>11</v>
      </c>
      <c r="E219" s="5">
        <v>1</v>
      </c>
      <c r="F219" s="5">
        <v>6</v>
      </c>
      <c r="G219" s="5">
        <v>5</v>
      </c>
      <c r="H219" s="5">
        <v>12</v>
      </c>
    </row>
    <row r="220" spans="1:8">
      <c r="A220" s="5">
        <v>85258</v>
      </c>
      <c r="B220" s="5">
        <v>18</v>
      </c>
      <c r="C220" s="5">
        <v>1</v>
      </c>
      <c r="D220" s="5">
        <v>2</v>
      </c>
      <c r="E220" s="5">
        <v>1</v>
      </c>
      <c r="F220" s="5">
        <v>1</v>
      </c>
      <c r="G220" s="5">
        <v>7</v>
      </c>
      <c r="H220" s="5">
        <v>6</v>
      </c>
    </row>
    <row r="221" spans="1:8">
      <c r="A221" s="5">
        <v>85260</v>
      </c>
      <c r="B221" s="5">
        <v>50</v>
      </c>
      <c r="C221" s="5">
        <v>7</v>
      </c>
      <c r="D221" s="5">
        <v>6</v>
      </c>
      <c r="E221" s="5">
        <v>6</v>
      </c>
      <c r="F221" s="5">
        <v>10</v>
      </c>
      <c r="G221" s="5">
        <v>5</v>
      </c>
      <c r="H221" s="5">
        <v>16</v>
      </c>
    </row>
    <row r="222" spans="1:8">
      <c r="A222" s="5">
        <v>85281</v>
      </c>
      <c r="B222" s="5">
        <v>81</v>
      </c>
      <c r="C222" s="5">
        <v>11</v>
      </c>
      <c r="D222" s="5">
        <v>17</v>
      </c>
      <c r="E222" s="5">
        <v>9</v>
      </c>
      <c r="F222" s="5">
        <v>17</v>
      </c>
      <c r="G222" s="5">
        <v>7</v>
      </c>
      <c r="H222" s="5">
        <v>20</v>
      </c>
    </row>
    <row r="223" spans="1:8">
      <c r="A223" s="5">
        <v>85282</v>
      </c>
      <c r="B223" s="5">
        <v>90</v>
      </c>
      <c r="C223" s="5">
        <v>17</v>
      </c>
      <c r="D223" s="5">
        <v>10</v>
      </c>
      <c r="E223" s="5">
        <v>10</v>
      </c>
      <c r="F223" s="5">
        <v>20</v>
      </c>
      <c r="G223" s="5">
        <v>12</v>
      </c>
      <c r="H223" s="5">
        <v>21</v>
      </c>
    </row>
    <row r="224" spans="1:8">
      <c r="A224" s="5">
        <v>85283</v>
      </c>
      <c r="B224" s="5">
        <v>63</v>
      </c>
      <c r="C224" s="5">
        <v>8</v>
      </c>
      <c r="D224" s="5">
        <v>8</v>
      </c>
      <c r="E224" s="5">
        <v>5</v>
      </c>
      <c r="F224" s="5">
        <v>13</v>
      </c>
      <c r="G224" s="5">
        <v>8</v>
      </c>
      <c r="H224" s="5">
        <v>21</v>
      </c>
    </row>
    <row r="225" spans="1:8">
      <c r="A225" s="5">
        <v>85284</v>
      </c>
      <c r="B225" s="5">
        <v>20</v>
      </c>
      <c r="C225" s="5">
        <v>4</v>
      </c>
      <c r="D225" s="5">
        <v>1</v>
      </c>
      <c r="E225" s="5">
        <v>1</v>
      </c>
      <c r="F225" s="5">
        <v>6</v>
      </c>
      <c r="G225" s="5">
        <v>2</v>
      </c>
      <c r="H225" s="5">
        <v>6</v>
      </c>
    </row>
    <row r="226" spans="1:8">
      <c r="A226" s="5">
        <v>85286</v>
      </c>
      <c r="B226" s="5">
        <v>103</v>
      </c>
      <c r="C226" s="5">
        <v>16</v>
      </c>
      <c r="D226" s="5">
        <v>26</v>
      </c>
      <c r="E226" s="5">
        <v>10</v>
      </c>
      <c r="F226" s="5">
        <v>19</v>
      </c>
      <c r="G226" s="5">
        <v>12</v>
      </c>
      <c r="H226" s="5">
        <v>20</v>
      </c>
    </row>
    <row r="227" spans="1:8">
      <c r="A227" s="5">
        <v>85295</v>
      </c>
      <c r="B227" s="5">
        <v>96</v>
      </c>
      <c r="C227" s="5">
        <v>15</v>
      </c>
      <c r="D227" s="5">
        <v>17</v>
      </c>
      <c r="E227" s="5">
        <v>3</v>
      </c>
      <c r="F227" s="5">
        <v>23</v>
      </c>
      <c r="G227" s="5">
        <v>13</v>
      </c>
      <c r="H227" s="5">
        <v>25</v>
      </c>
    </row>
    <row r="228" spans="1:8">
      <c r="A228" s="5">
        <v>85296</v>
      </c>
      <c r="B228" s="5">
        <v>82</v>
      </c>
      <c r="C228" s="5">
        <v>12</v>
      </c>
      <c r="D228" s="5">
        <v>12</v>
      </c>
      <c r="E228" s="5">
        <v>9</v>
      </c>
      <c r="F228" s="5">
        <v>17</v>
      </c>
      <c r="G228" s="5">
        <v>12</v>
      </c>
      <c r="H228" s="5">
        <v>20</v>
      </c>
    </row>
    <row r="229" spans="1:8">
      <c r="A229" s="5">
        <v>85297</v>
      </c>
      <c r="B229" s="5">
        <v>55</v>
      </c>
      <c r="C229" s="5">
        <v>7</v>
      </c>
      <c r="D229" s="5">
        <v>7</v>
      </c>
      <c r="E229" s="5">
        <v>6</v>
      </c>
      <c r="F229" s="5">
        <v>8</v>
      </c>
      <c r="G229" s="5">
        <v>7</v>
      </c>
      <c r="H229" s="5">
        <v>20</v>
      </c>
    </row>
    <row r="230" spans="1:8">
      <c r="A230" s="5">
        <v>85298</v>
      </c>
      <c r="B230" s="5">
        <v>72</v>
      </c>
      <c r="C230" s="5">
        <v>8</v>
      </c>
      <c r="D230" s="5">
        <v>10</v>
      </c>
      <c r="E230" s="5">
        <v>7</v>
      </c>
      <c r="F230" s="5">
        <v>15</v>
      </c>
      <c r="G230" s="5">
        <v>10</v>
      </c>
      <c r="H230" s="5">
        <v>22</v>
      </c>
    </row>
    <row r="231" spans="1:8">
      <c r="A231" s="5">
        <v>85301</v>
      </c>
      <c r="B231" s="5">
        <v>145</v>
      </c>
      <c r="C231" s="5">
        <v>21</v>
      </c>
      <c r="D231" s="5">
        <v>18</v>
      </c>
      <c r="E231" s="5">
        <v>17</v>
      </c>
      <c r="F231" s="5">
        <v>33</v>
      </c>
      <c r="G231" s="5">
        <v>21</v>
      </c>
      <c r="H231" s="5">
        <v>35</v>
      </c>
    </row>
    <row r="232" spans="1:8">
      <c r="A232" s="5">
        <v>85302</v>
      </c>
      <c r="B232" s="5">
        <v>59</v>
      </c>
      <c r="C232" s="5">
        <v>8</v>
      </c>
      <c r="D232" s="5">
        <v>8</v>
      </c>
      <c r="E232" s="5">
        <v>6</v>
      </c>
      <c r="F232" s="5">
        <v>15</v>
      </c>
      <c r="G232" s="5">
        <v>8</v>
      </c>
      <c r="H232" s="5">
        <v>14</v>
      </c>
    </row>
    <row r="233" spans="1:8">
      <c r="A233" s="5">
        <v>85303</v>
      </c>
      <c r="B233" s="5">
        <v>59</v>
      </c>
      <c r="C233" s="5">
        <v>6</v>
      </c>
      <c r="D233" s="5">
        <v>7</v>
      </c>
      <c r="E233" s="5">
        <v>7</v>
      </c>
      <c r="F233" s="5">
        <v>14</v>
      </c>
      <c r="G233" s="5">
        <v>10</v>
      </c>
      <c r="H233" s="5">
        <v>15</v>
      </c>
    </row>
    <row r="234" spans="1:8">
      <c r="A234" s="5">
        <v>85304</v>
      </c>
      <c r="B234" s="5">
        <v>58</v>
      </c>
      <c r="C234" s="5">
        <v>12</v>
      </c>
      <c r="D234" s="5">
        <v>5</v>
      </c>
      <c r="E234" s="5">
        <v>7</v>
      </c>
      <c r="F234" s="5">
        <v>19</v>
      </c>
      <c r="G234" s="5">
        <v>7</v>
      </c>
      <c r="H234" s="5">
        <v>8</v>
      </c>
    </row>
    <row r="235" spans="1:8">
      <c r="A235" s="5">
        <v>85305</v>
      </c>
      <c r="B235" s="5">
        <v>43</v>
      </c>
      <c r="C235" s="5">
        <v>3</v>
      </c>
      <c r="D235" s="5">
        <v>8</v>
      </c>
      <c r="E235" s="5">
        <v>4</v>
      </c>
      <c r="F235" s="5">
        <v>8</v>
      </c>
      <c r="G235" s="5">
        <v>7</v>
      </c>
      <c r="H235" s="5">
        <v>13</v>
      </c>
    </row>
    <row r="236" spans="1:8">
      <c r="A236" s="5">
        <v>85306</v>
      </c>
      <c r="B236" s="5">
        <v>28</v>
      </c>
      <c r="C236" s="5">
        <v>4</v>
      </c>
      <c r="D236" s="5">
        <v>5</v>
      </c>
      <c r="E236" s="5">
        <v>2</v>
      </c>
      <c r="F236" s="5">
        <v>6</v>
      </c>
      <c r="G236" s="5">
        <v>4</v>
      </c>
      <c r="H236" s="5">
        <v>7</v>
      </c>
    </row>
    <row r="237" spans="1:8">
      <c r="A237" s="5">
        <v>85307</v>
      </c>
      <c r="B237" s="5">
        <v>28</v>
      </c>
      <c r="C237" s="5">
        <v>2</v>
      </c>
      <c r="D237" s="5">
        <v>5</v>
      </c>
      <c r="E237" s="5">
        <v>4</v>
      </c>
      <c r="F237" s="5">
        <v>8</v>
      </c>
      <c r="G237" s="5">
        <v>2</v>
      </c>
      <c r="H237" s="5">
        <v>7</v>
      </c>
    </row>
    <row r="238" spans="1:8">
      <c r="A238" s="5">
        <v>85308</v>
      </c>
      <c r="B238" s="5">
        <v>87</v>
      </c>
      <c r="C238" s="5">
        <v>11</v>
      </c>
      <c r="D238" s="5">
        <v>11</v>
      </c>
      <c r="E238" s="5">
        <v>13</v>
      </c>
      <c r="F238" s="5">
        <v>17</v>
      </c>
      <c r="G238" s="5">
        <v>12</v>
      </c>
      <c r="H238" s="5">
        <v>23</v>
      </c>
    </row>
    <row r="239" spans="1:8">
      <c r="A239" s="5">
        <v>85310</v>
      </c>
      <c r="B239" s="5">
        <v>31</v>
      </c>
      <c r="C239" s="5">
        <v>5</v>
      </c>
      <c r="D239" s="5">
        <v>5</v>
      </c>
      <c r="E239" s="5">
        <v>1</v>
      </c>
      <c r="F239" s="5">
        <v>5</v>
      </c>
      <c r="G239" s="5">
        <v>7</v>
      </c>
      <c r="H239" s="5">
        <v>8</v>
      </c>
    </row>
    <row r="240" spans="1:8">
      <c r="A240" s="5">
        <v>85323</v>
      </c>
      <c r="B240" s="5">
        <v>82</v>
      </c>
      <c r="C240" s="5">
        <v>15</v>
      </c>
      <c r="D240" s="5">
        <v>8</v>
      </c>
      <c r="E240" s="5">
        <v>7</v>
      </c>
      <c r="F240" s="5">
        <v>19</v>
      </c>
      <c r="G240" s="5">
        <v>14</v>
      </c>
      <c r="H240" s="5">
        <v>19</v>
      </c>
    </row>
    <row r="241" spans="1:8">
      <c r="A241" s="5">
        <v>85335</v>
      </c>
      <c r="B241" s="5">
        <v>53</v>
      </c>
      <c r="C241" s="5">
        <v>10</v>
      </c>
      <c r="D241" s="5">
        <v>5</v>
      </c>
      <c r="E241" s="5">
        <v>6</v>
      </c>
      <c r="F241" s="5">
        <v>13</v>
      </c>
      <c r="G241" s="5">
        <v>11</v>
      </c>
      <c r="H241" s="5">
        <v>8</v>
      </c>
    </row>
    <row r="242" spans="1:8">
      <c r="A242" s="5">
        <v>85338</v>
      </c>
      <c r="B242" s="5">
        <v>102</v>
      </c>
      <c r="C242" s="5">
        <v>14</v>
      </c>
      <c r="D242" s="5">
        <v>19</v>
      </c>
      <c r="E242" s="5">
        <v>8</v>
      </c>
      <c r="F242" s="5">
        <v>20</v>
      </c>
      <c r="G242" s="5">
        <v>12</v>
      </c>
      <c r="H242" s="5">
        <v>29</v>
      </c>
    </row>
    <row r="243" spans="1:8">
      <c r="A243" s="5">
        <v>85340</v>
      </c>
      <c r="B243" s="5">
        <v>80</v>
      </c>
      <c r="C243" s="5">
        <v>10</v>
      </c>
      <c r="D243" s="5">
        <v>11</v>
      </c>
      <c r="E243" s="5">
        <v>7</v>
      </c>
      <c r="F243" s="5">
        <v>21</v>
      </c>
      <c r="G243" s="5">
        <v>11</v>
      </c>
      <c r="H243" s="5">
        <v>20</v>
      </c>
    </row>
    <row r="244" spans="1:8">
      <c r="A244" s="5">
        <v>85345</v>
      </c>
      <c r="B244" s="5">
        <v>93</v>
      </c>
      <c r="C244" s="5">
        <v>13</v>
      </c>
      <c r="D244" s="5">
        <v>14</v>
      </c>
      <c r="E244" s="5">
        <v>9</v>
      </c>
      <c r="F244" s="5">
        <v>14</v>
      </c>
      <c r="G244" s="5">
        <v>17</v>
      </c>
      <c r="H244" s="5">
        <v>26</v>
      </c>
    </row>
    <row r="245" spans="1:8">
      <c r="A245" s="5">
        <v>85351</v>
      </c>
      <c r="B245" s="5">
        <v>42</v>
      </c>
      <c r="C245" s="5">
        <v>5</v>
      </c>
      <c r="D245" s="5">
        <v>12</v>
      </c>
      <c r="E245" s="5">
        <v>4</v>
      </c>
      <c r="F245" s="5">
        <v>7</v>
      </c>
      <c r="G245" s="5">
        <v>5</v>
      </c>
      <c r="H245" s="5">
        <v>9</v>
      </c>
    </row>
    <row r="246" spans="1:8">
      <c r="A246" s="5">
        <v>85353</v>
      </c>
      <c r="B246" s="5">
        <v>106</v>
      </c>
      <c r="C246" s="5">
        <v>14</v>
      </c>
      <c r="D246" s="5">
        <v>12</v>
      </c>
      <c r="E246" s="5">
        <v>14</v>
      </c>
      <c r="F246" s="5">
        <v>24</v>
      </c>
      <c r="G246" s="5">
        <v>16</v>
      </c>
      <c r="H246" s="5">
        <v>26</v>
      </c>
    </row>
    <row r="247" spans="1:8">
      <c r="A247" s="5">
        <v>85355</v>
      </c>
      <c r="B247" s="5">
        <v>22</v>
      </c>
      <c r="C247" s="5">
        <v>4</v>
      </c>
      <c r="D247" s="5">
        <v>4</v>
      </c>
      <c r="E247" s="5">
        <v>3</v>
      </c>
      <c r="F247" s="5">
        <v>7</v>
      </c>
      <c r="G247" s="5">
        <v>2</v>
      </c>
      <c r="H247" s="5">
        <v>2</v>
      </c>
    </row>
    <row r="248" spans="1:8">
      <c r="A248" s="5">
        <v>85363</v>
      </c>
      <c r="B248" s="5">
        <v>8</v>
      </c>
      <c r="C248" s="5">
        <v>2</v>
      </c>
      <c r="D248" s="5">
        <v>2</v>
      </c>
      <c r="E248" s="5">
        <v>3</v>
      </c>
      <c r="F248" s="5" t="s">
        <v>177</v>
      </c>
      <c r="G248" s="5" t="s">
        <v>177</v>
      </c>
      <c r="H248" s="5">
        <v>1</v>
      </c>
    </row>
    <row r="249" spans="1:8">
      <c r="A249" s="5">
        <v>85373</v>
      </c>
      <c r="B249" s="5">
        <v>26</v>
      </c>
      <c r="C249" s="5">
        <v>2</v>
      </c>
      <c r="D249" s="5">
        <v>5</v>
      </c>
      <c r="E249" s="5">
        <v>1</v>
      </c>
      <c r="F249" s="5">
        <v>5</v>
      </c>
      <c r="G249" s="5">
        <v>2</v>
      </c>
      <c r="H249" s="5">
        <v>11</v>
      </c>
    </row>
    <row r="250" spans="1:8">
      <c r="A250" s="5">
        <v>85374</v>
      </c>
      <c r="B250" s="5">
        <v>46</v>
      </c>
      <c r="C250" s="5">
        <v>11</v>
      </c>
      <c r="D250" s="5">
        <v>6</v>
      </c>
      <c r="E250" s="5">
        <v>3</v>
      </c>
      <c r="F250" s="5">
        <v>8</v>
      </c>
      <c r="G250" s="5">
        <v>3</v>
      </c>
      <c r="H250" s="5">
        <v>15</v>
      </c>
    </row>
    <row r="251" spans="1:8">
      <c r="A251" s="5">
        <v>85375</v>
      </c>
      <c r="B251" s="5">
        <v>13</v>
      </c>
      <c r="C251" s="5" t="s">
        <v>177</v>
      </c>
      <c r="D251" s="5">
        <v>2</v>
      </c>
      <c r="E251" s="5">
        <v>1</v>
      </c>
      <c r="F251" s="5">
        <v>4</v>
      </c>
      <c r="G251" s="5">
        <v>3</v>
      </c>
      <c r="H251" s="5">
        <v>3</v>
      </c>
    </row>
    <row r="252" spans="1:8">
      <c r="A252" s="5">
        <v>85378</v>
      </c>
      <c r="B252" s="5">
        <v>12</v>
      </c>
      <c r="C252" s="5">
        <v>3</v>
      </c>
      <c r="D252" s="5">
        <v>5</v>
      </c>
      <c r="E252" s="5">
        <v>2</v>
      </c>
      <c r="F252" s="5">
        <v>2</v>
      </c>
      <c r="G252" s="5" t="s">
        <v>177</v>
      </c>
      <c r="H252" s="5" t="s">
        <v>177</v>
      </c>
    </row>
    <row r="253" spans="1:8">
      <c r="A253" s="5">
        <v>85379</v>
      </c>
      <c r="B253" s="5">
        <v>69</v>
      </c>
      <c r="C253" s="5">
        <v>9</v>
      </c>
      <c r="D253" s="5">
        <v>14</v>
      </c>
      <c r="E253" s="5">
        <v>5</v>
      </c>
      <c r="F253" s="5">
        <v>13</v>
      </c>
      <c r="G253" s="5">
        <v>14</v>
      </c>
      <c r="H253" s="5">
        <v>14</v>
      </c>
    </row>
    <row r="254" spans="1:8">
      <c r="A254" s="5">
        <v>85381</v>
      </c>
      <c r="B254" s="5">
        <v>34</v>
      </c>
      <c r="C254" s="5">
        <v>4</v>
      </c>
      <c r="D254" s="5">
        <v>4</v>
      </c>
      <c r="E254" s="5">
        <v>4</v>
      </c>
      <c r="F254" s="5">
        <v>9</v>
      </c>
      <c r="G254" s="5">
        <v>4</v>
      </c>
      <c r="H254" s="5">
        <v>9</v>
      </c>
    </row>
    <row r="255" spans="1:8">
      <c r="A255" s="5">
        <v>85382</v>
      </c>
      <c r="B255" s="5">
        <v>56</v>
      </c>
      <c r="C255" s="5">
        <v>5</v>
      </c>
      <c r="D255" s="5">
        <v>8</v>
      </c>
      <c r="E255" s="5">
        <v>11</v>
      </c>
      <c r="F255" s="5">
        <v>13</v>
      </c>
      <c r="G255" s="5">
        <v>4</v>
      </c>
      <c r="H255" s="5">
        <v>15</v>
      </c>
    </row>
    <row r="256" spans="1:8">
      <c r="A256" s="5">
        <v>85387</v>
      </c>
      <c r="B256" s="5">
        <v>35</v>
      </c>
      <c r="C256" s="5">
        <v>5</v>
      </c>
      <c r="D256" s="5">
        <v>6</v>
      </c>
      <c r="E256" s="5">
        <v>4</v>
      </c>
      <c r="F256" s="5">
        <v>9</v>
      </c>
      <c r="G256" s="5">
        <v>4</v>
      </c>
      <c r="H256" s="5">
        <v>7</v>
      </c>
    </row>
    <row r="257" spans="1:8">
      <c r="A257" s="5">
        <v>85388</v>
      </c>
      <c r="B257" s="5">
        <v>45</v>
      </c>
      <c r="C257" s="5">
        <v>9</v>
      </c>
      <c r="D257" s="5">
        <v>3</v>
      </c>
      <c r="E257" s="5">
        <v>4</v>
      </c>
      <c r="F257" s="5">
        <v>11</v>
      </c>
      <c r="G257" s="5">
        <v>4</v>
      </c>
      <c r="H257" s="5">
        <v>14</v>
      </c>
    </row>
    <row r="258" spans="1:8">
      <c r="A258" s="5">
        <v>85392</v>
      </c>
      <c r="B258" s="5">
        <v>66</v>
      </c>
      <c r="C258" s="5">
        <v>14</v>
      </c>
      <c r="D258" s="5">
        <v>6</v>
      </c>
      <c r="E258" s="5">
        <v>10</v>
      </c>
      <c r="F258" s="5">
        <v>14</v>
      </c>
      <c r="G258" s="5">
        <v>12</v>
      </c>
      <c r="H258" s="5">
        <v>10</v>
      </c>
    </row>
    <row r="259" spans="1:8">
      <c r="A259" s="5">
        <v>85395</v>
      </c>
      <c r="B259" s="5">
        <v>36</v>
      </c>
      <c r="C259" s="5">
        <v>6</v>
      </c>
      <c r="D259" s="5">
        <v>7</v>
      </c>
      <c r="E259" s="5">
        <v>4</v>
      </c>
      <c r="F259" s="5">
        <v>6</v>
      </c>
      <c r="G259" s="5">
        <v>5</v>
      </c>
      <c r="H259" s="5">
        <v>8</v>
      </c>
    </row>
    <row r="260" spans="1:8">
      <c r="A260" s="5">
        <v>89002</v>
      </c>
      <c r="B260" s="5">
        <v>52</v>
      </c>
      <c r="C260" s="5">
        <v>6</v>
      </c>
      <c r="D260" s="5">
        <v>15</v>
      </c>
      <c r="E260" s="5">
        <v>7</v>
      </c>
      <c r="F260" s="5">
        <v>11</v>
      </c>
      <c r="G260" s="5">
        <v>5</v>
      </c>
      <c r="H260" s="5">
        <v>8</v>
      </c>
    </row>
    <row r="261" spans="1:8">
      <c r="A261" s="5">
        <v>89005</v>
      </c>
      <c r="B261" s="5">
        <v>32</v>
      </c>
      <c r="C261" s="5">
        <v>4</v>
      </c>
      <c r="D261" s="5">
        <v>8</v>
      </c>
      <c r="E261" s="5">
        <v>5</v>
      </c>
      <c r="F261" s="5">
        <v>10</v>
      </c>
      <c r="G261" s="5" t="s">
        <v>177</v>
      </c>
      <c r="H261" s="5">
        <v>5</v>
      </c>
    </row>
    <row r="262" spans="1:8">
      <c r="A262" s="5">
        <v>89011</v>
      </c>
      <c r="B262" s="5">
        <v>101</v>
      </c>
      <c r="C262" s="5">
        <v>13</v>
      </c>
      <c r="D262" s="5">
        <v>11</v>
      </c>
      <c r="E262" s="5">
        <v>15</v>
      </c>
      <c r="F262" s="5">
        <v>28</v>
      </c>
      <c r="G262" s="5">
        <v>16</v>
      </c>
      <c r="H262" s="5">
        <v>18</v>
      </c>
    </row>
    <row r="263" spans="1:8">
      <c r="A263" s="5">
        <v>89012</v>
      </c>
      <c r="B263" s="5">
        <v>66</v>
      </c>
      <c r="C263" s="5">
        <v>9</v>
      </c>
      <c r="D263" s="5">
        <v>8</v>
      </c>
      <c r="E263" s="5">
        <v>7</v>
      </c>
      <c r="F263" s="5">
        <v>17</v>
      </c>
      <c r="G263" s="5">
        <v>8</v>
      </c>
      <c r="H263" s="5">
        <v>17</v>
      </c>
    </row>
    <row r="264" spans="1:8">
      <c r="A264" s="5">
        <v>89014</v>
      </c>
      <c r="B264" s="5">
        <v>82</v>
      </c>
      <c r="C264" s="5">
        <v>15</v>
      </c>
      <c r="D264" s="5">
        <v>8</v>
      </c>
      <c r="E264" s="5">
        <v>9</v>
      </c>
      <c r="F264" s="5">
        <v>16</v>
      </c>
      <c r="G264" s="5">
        <v>12</v>
      </c>
      <c r="H264" s="5">
        <v>22</v>
      </c>
    </row>
    <row r="265" spans="1:8">
      <c r="A265" s="5">
        <v>89015</v>
      </c>
      <c r="B265" s="5">
        <v>84</v>
      </c>
      <c r="C265" s="5">
        <v>10</v>
      </c>
      <c r="D265" s="5">
        <v>17</v>
      </c>
      <c r="E265" s="5">
        <v>8</v>
      </c>
      <c r="F265" s="5">
        <v>12</v>
      </c>
      <c r="G265" s="5">
        <v>19</v>
      </c>
      <c r="H265" s="5">
        <v>18</v>
      </c>
    </row>
    <row r="266" spans="1:8">
      <c r="A266" s="5">
        <v>89030</v>
      </c>
      <c r="B266" s="5">
        <v>76</v>
      </c>
      <c r="C266" s="5">
        <v>7</v>
      </c>
      <c r="D266" s="5">
        <v>14</v>
      </c>
      <c r="E266" s="5">
        <v>11</v>
      </c>
      <c r="F266" s="5">
        <v>8</v>
      </c>
      <c r="G266" s="5">
        <v>10</v>
      </c>
      <c r="H266" s="5">
        <v>26</v>
      </c>
    </row>
    <row r="267" spans="1:8">
      <c r="A267" s="5">
        <v>89031</v>
      </c>
      <c r="B267" s="5">
        <v>135</v>
      </c>
      <c r="C267" s="5">
        <v>19</v>
      </c>
      <c r="D267" s="5">
        <v>16</v>
      </c>
      <c r="E267" s="5">
        <v>15</v>
      </c>
      <c r="F267" s="5">
        <v>31</v>
      </c>
      <c r="G267" s="5">
        <v>19</v>
      </c>
      <c r="H267" s="5">
        <v>35</v>
      </c>
    </row>
    <row r="268" spans="1:8">
      <c r="A268" s="5">
        <v>89032</v>
      </c>
      <c r="B268" s="5">
        <v>114</v>
      </c>
      <c r="C268" s="5">
        <v>14</v>
      </c>
      <c r="D268" s="5">
        <v>18</v>
      </c>
      <c r="E268" s="5">
        <v>13</v>
      </c>
      <c r="F268" s="5">
        <v>24</v>
      </c>
      <c r="G268" s="5">
        <v>13</v>
      </c>
      <c r="H268" s="5">
        <v>32</v>
      </c>
    </row>
    <row r="269" spans="1:8">
      <c r="A269" s="5">
        <v>89044</v>
      </c>
      <c r="B269" s="5">
        <v>66</v>
      </c>
      <c r="C269" s="5">
        <v>8</v>
      </c>
      <c r="D269" s="5">
        <v>6</v>
      </c>
      <c r="E269" s="5">
        <v>6</v>
      </c>
      <c r="F269" s="5">
        <v>11</v>
      </c>
      <c r="G269" s="5">
        <v>10</v>
      </c>
      <c r="H269" s="5">
        <v>25</v>
      </c>
    </row>
    <row r="270" spans="1:8">
      <c r="A270" s="5">
        <v>89052</v>
      </c>
      <c r="B270" s="5">
        <v>127</v>
      </c>
      <c r="C270" s="5">
        <v>19</v>
      </c>
      <c r="D270" s="5">
        <v>18</v>
      </c>
      <c r="E270" s="5">
        <v>9</v>
      </c>
      <c r="F270" s="5">
        <v>25</v>
      </c>
      <c r="G270" s="5">
        <v>17</v>
      </c>
      <c r="H270" s="5">
        <v>39</v>
      </c>
    </row>
    <row r="271" spans="1:8">
      <c r="A271" s="5">
        <v>89074</v>
      </c>
      <c r="B271" s="5">
        <v>96</v>
      </c>
      <c r="C271" s="5">
        <v>15</v>
      </c>
      <c r="D271" s="5">
        <v>16</v>
      </c>
      <c r="E271" s="5">
        <v>11</v>
      </c>
      <c r="F271" s="5">
        <v>16</v>
      </c>
      <c r="G271" s="5">
        <v>9</v>
      </c>
      <c r="H271" s="5">
        <v>29</v>
      </c>
    </row>
    <row r="272" spans="1:8">
      <c r="A272" s="5">
        <v>89081</v>
      </c>
      <c r="B272" s="5">
        <v>53</v>
      </c>
      <c r="C272" s="5">
        <v>9</v>
      </c>
      <c r="D272" s="5">
        <v>12</v>
      </c>
      <c r="E272" s="5">
        <v>5</v>
      </c>
      <c r="F272" s="5">
        <v>11</v>
      </c>
      <c r="G272" s="5">
        <v>6</v>
      </c>
      <c r="H272" s="5">
        <v>10</v>
      </c>
    </row>
    <row r="273" spans="1:8">
      <c r="A273" s="5">
        <v>89084</v>
      </c>
      <c r="B273" s="5">
        <v>79</v>
      </c>
      <c r="C273" s="5">
        <v>12</v>
      </c>
      <c r="D273" s="5">
        <v>16</v>
      </c>
      <c r="E273" s="5">
        <v>11</v>
      </c>
      <c r="F273" s="5">
        <v>12</v>
      </c>
      <c r="G273" s="5">
        <v>13</v>
      </c>
      <c r="H273" s="5">
        <v>15</v>
      </c>
    </row>
    <row r="274" spans="1:8">
      <c r="A274" s="5">
        <v>89085</v>
      </c>
      <c r="B274" s="5">
        <v>16</v>
      </c>
      <c r="C274" s="5">
        <v>2</v>
      </c>
      <c r="D274" s="5">
        <v>7</v>
      </c>
      <c r="E274" s="5">
        <v>2</v>
      </c>
      <c r="F274" s="5">
        <v>1</v>
      </c>
      <c r="G274" s="5" t="s">
        <v>177</v>
      </c>
      <c r="H274" s="5">
        <v>4</v>
      </c>
    </row>
    <row r="275" spans="1:8">
      <c r="A275" s="5">
        <v>89086</v>
      </c>
      <c r="B275" s="5">
        <v>26</v>
      </c>
      <c r="C275" s="5">
        <v>4</v>
      </c>
      <c r="D275" s="5">
        <v>3</v>
      </c>
      <c r="E275" s="5">
        <v>1</v>
      </c>
      <c r="F275" s="5">
        <v>6</v>
      </c>
      <c r="G275" s="5">
        <v>3</v>
      </c>
      <c r="H275" s="5">
        <v>9</v>
      </c>
    </row>
    <row r="276" spans="1:8">
      <c r="A276" s="5">
        <v>89101</v>
      </c>
      <c r="B276" s="5">
        <v>75</v>
      </c>
      <c r="C276" s="5">
        <v>13</v>
      </c>
      <c r="D276" s="5">
        <v>8</v>
      </c>
      <c r="E276" s="5">
        <v>5</v>
      </c>
      <c r="F276" s="5">
        <v>14</v>
      </c>
      <c r="G276" s="5">
        <v>10</v>
      </c>
      <c r="H276" s="5">
        <v>25</v>
      </c>
    </row>
    <row r="277" spans="1:8">
      <c r="A277" s="5">
        <v>89102</v>
      </c>
      <c r="B277" s="5">
        <v>71</v>
      </c>
      <c r="C277" s="5">
        <v>5</v>
      </c>
      <c r="D277" s="5">
        <v>14</v>
      </c>
      <c r="E277" s="5">
        <v>9</v>
      </c>
      <c r="F277" s="5">
        <v>18</v>
      </c>
      <c r="G277" s="5">
        <v>6</v>
      </c>
      <c r="H277" s="5">
        <v>19</v>
      </c>
    </row>
    <row r="278" spans="1:8">
      <c r="A278" s="5">
        <v>89103</v>
      </c>
      <c r="B278" s="5">
        <v>97</v>
      </c>
      <c r="C278" s="5">
        <v>8</v>
      </c>
      <c r="D278" s="5">
        <v>11</v>
      </c>
      <c r="E278" s="5">
        <v>8</v>
      </c>
      <c r="F278" s="5">
        <v>24</v>
      </c>
      <c r="G278" s="5">
        <v>12</v>
      </c>
      <c r="H278" s="5">
        <v>34</v>
      </c>
    </row>
    <row r="279" spans="1:8">
      <c r="A279" s="5">
        <v>89104</v>
      </c>
      <c r="B279" s="5">
        <v>75</v>
      </c>
      <c r="C279" s="5">
        <v>15</v>
      </c>
      <c r="D279" s="5">
        <v>10</v>
      </c>
      <c r="E279" s="5">
        <v>11</v>
      </c>
      <c r="F279" s="5">
        <v>15</v>
      </c>
      <c r="G279" s="5">
        <v>8</v>
      </c>
      <c r="H279" s="5">
        <v>16</v>
      </c>
    </row>
    <row r="280" spans="1:8">
      <c r="A280" s="5">
        <v>89106</v>
      </c>
      <c r="B280" s="5">
        <v>60</v>
      </c>
      <c r="C280" s="5">
        <v>8</v>
      </c>
      <c r="D280" s="5">
        <v>8</v>
      </c>
      <c r="E280" s="5">
        <v>6</v>
      </c>
      <c r="F280" s="5">
        <v>8</v>
      </c>
      <c r="G280" s="5">
        <v>8</v>
      </c>
      <c r="H280" s="5">
        <v>22</v>
      </c>
    </row>
    <row r="281" spans="1:8">
      <c r="A281" s="5">
        <v>89107</v>
      </c>
      <c r="B281" s="5">
        <v>65</v>
      </c>
      <c r="C281" s="5">
        <v>10</v>
      </c>
      <c r="D281" s="5">
        <v>14</v>
      </c>
      <c r="E281" s="5">
        <v>8</v>
      </c>
      <c r="F281" s="5">
        <v>9</v>
      </c>
      <c r="G281" s="5">
        <v>9</v>
      </c>
      <c r="H281" s="5">
        <v>15</v>
      </c>
    </row>
    <row r="282" spans="1:8">
      <c r="A282" s="5">
        <v>89108</v>
      </c>
      <c r="B282" s="5">
        <v>116</v>
      </c>
      <c r="C282" s="5">
        <v>20</v>
      </c>
      <c r="D282" s="5">
        <v>19</v>
      </c>
      <c r="E282" s="5">
        <v>9</v>
      </c>
      <c r="F282" s="5">
        <v>14</v>
      </c>
      <c r="G282" s="5">
        <v>21</v>
      </c>
      <c r="H282" s="5">
        <v>33</v>
      </c>
    </row>
    <row r="283" spans="1:8">
      <c r="A283" s="5">
        <v>89110</v>
      </c>
      <c r="B283" s="5">
        <v>149</v>
      </c>
      <c r="C283" s="5">
        <v>17</v>
      </c>
      <c r="D283" s="5">
        <v>30</v>
      </c>
      <c r="E283" s="5">
        <v>16</v>
      </c>
      <c r="F283" s="5">
        <v>31</v>
      </c>
      <c r="G283" s="5">
        <v>24</v>
      </c>
      <c r="H283" s="5">
        <v>31</v>
      </c>
    </row>
    <row r="284" spans="1:8">
      <c r="A284" s="5">
        <v>89113</v>
      </c>
      <c r="B284" s="5">
        <v>112</v>
      </c>
      <c r="C284" s="5">
        <v>14</v>
      </c>
      <c r="D284" s="5">
        <v>10</v>
      </c>
      <c r="E284" s="5">
        <v>14</v>
      </c>
      <c r="F284" s="5">
        <v>22</v>
      </c>
      <c r="G284" s="5">
        <v>13</v>
      </c>
      <c r="H284" s="5">
        <v>39</v>
      </c>
    </row>
    <row r="285" spans="1:8">
      <c r="A285" s="5">
        <v>89115</v>
      </c>
      <c r="B285" s="5">
        <v>123</v>
      </c>
      <c r="C285" s="5">
        <v>14</v>
      </c>
      <c r="D285" s="5">
        <v>19</v>
      </c>
      <c r="E285" s="5">
        <v>15</v>
      </c>
      <c r="F285" s="5">
        <v>25</v>
      </c>
      <c r="G285" s="5">
        <v>9</v>
      </c>
      <c r="H285" s="5">
        <v>41</v>
      </c>
    </row>
    <row r="286" spans="1:8">
      <c r="A286" s="5">
        <v>89117</v>
      </c>
      <c r="B286" s="5">
        <v>110</v>
      </c>
      <c r="C286" s="5">
        <v>9</v>
      </c>
      <c r="D286" s="5">
        <v>18</v>
      </c>
      <c r="E286" s="5">
        <v>17</v>
      </c>
      <c r="F286" s="5">
        <v>24</v>
      </c>
      <c r="G286" s="5">
        <v>13</v>
      </c>
      <c r="H286" s="5">
        <v>29</v>
      </c>
    </row>
    <row r="287" spans="1:8">
      <c r="A287" s="5">
        <v>89118</v>
      </c>
      <c r="B287" s="5">
        <v>45</v>
      </c>
      <c r="C287" s="5">
        <v>6</v>
      </c>
      <c r="D287" s="5">
        <v>8</v>
      </c>
      <c r="E287" s="5">
        <v>2</v>
      </c>
      <c r="F287" s="5">
        <v>9</v>
      </c>
      <c r="G287" s="5">
        <v>7</v>
      </c>
      <c r="H287" s="5">
        <v>13</v>
      </c>
    </row>
    <row r="288" spans="1:8">
      <c r="A288" s="5">
        <v>89119</v>
      </c>
      <c r="B288" s="5">
        <v>86</v>
      </c>
      <c r="C288" s="5">
        <v>14</v>
      </c>
      <c r="D288" s="5">
        <v>14</v>
      </c>
      <c r="E288" s="5">
        <v>10</v>
      </c>
      <c r="F288" s="5">
        <v>18</v>
      </c>
      <c r="G288" s="5">
        <v>15</v>
      </c>
      <c r="H288" s="5">
        <v>15</v>
      </c>
    </row>
    <row r="289" spans="1:8">
      <c r="A289" s="5">
        <v>89120</v>
      </c>
      <c r="B289" s="5">
        <v>49</v>
      </c>
      <c r="C289" s="5">
        <v>4</v>
      </c>
      <c r="D289" s="5">
        <v>5</v>
      </c>
      <c r="E289" s="5">
        <v>7</v>
      </c>
      <c r="F289" s="5">
        <v>9</v>
      </c>
      <c r="G289" s="5">
        <v>10</v>
      </c>
      <c r="H289" s="5">
        <v>14</v>
      </c>
    </row>
    <row r="290" spans="1:8">
      <c r="A290" s="5">
        <v>89121</v>
      </c>
      <c r="B290" s="5">
        <v>155</v>
      </c>
      <c r="C290" s="5">
        <v>15</v>
      </c>
      <c r="D290" s="5">
        <v>27</v>
      </c>
      <c r="E290" s="5">
        <v>16</v>
      </c>
      <c r="F290" s="5">
        <v>36</v>
      </c>
      <c r="G290" s="5">
        <v>27</v>
      </c>
      <c r="H290" s="5">
        <v>34</v>
      </c>
    </row>
    <row r="291" spans="1:8">
      <c r="A291" s="5">
        <v>89122</v>
      </c>
      <c r="B291" s="5">
        <v>127</v>
      </c>
      <c r="C291" s="5">
        <v>17</v>
      </c>
      <c r="D291" s="5">
        <v>20</v>
      </c>
      <c r="E291" s="5">
        <v>16</v>
      </c>
      <c r="F291" s="5">
        <v>24</v>
      </c>
      <c r="G291" s="5">
        <v>18</v>
      </c>
      <c r="H291" s="5">
        <v>32</v>
      </c>
    </row>
    <row r="292" spans="1:8">
      <c r="A292" s="5">
        <v>89123</v>
      </c>
      <c r="B292" s="5">
        <v>96</v>
      </c>
      <c r="C292" s="5">
        <v>21</v>
      </c>
      <c r="D292" s="5">
        <v>9</v>
      </c>
      <c r="E292" s="5">
        <v>8</v>
      </c>
      <c r="F292" s="5">
        <v>16</v>
      </c>
      <c r="G292" s="5">
        <v>13</v>
      </c>
      <c r="H292" s="5">
        <v>29</v>
      </c>
    </row>
    <row r="293" spans="1:8">
      <c r="A293" s="5">
        <v>89128</v>
      </c>
      <c r="B293" s="5">
        <v>85</v>
      </c>
      <c r="C293" s="5">
        <v>9</v>
      </c>
      <c r="D293" s="5">
        <v>9</v>
      </c>
      <c r="E293" s="5">
        <v>26</v>
      </c>
      <c r="F293" s="5">
        <v>15</v>
      </c>
      <c r="G293" s="5">
        <v>6</v>
      </c>
      <c r="H293" s="5">
        <v>20</v>
      </c>
    </row>
    <row r="294" spans="1:8">
      <c r="A294" s="5">
        <v>89129</v>
      </c>
      <c r="B294" s="5">
        <v>105</v>
      </c>
      <c r="C294" s="5">
        <v>19</v>
      </c>
      <c r="D294" s="5">
        <v>7</v>
      </c>
      <c r="E294" s="5">
        <v>10</v>
      </c>
      <c r="F294" s="5">
        <v>22</v>
      </c>
      <c r="G294" s="5">
        <v>14</v>
      </c>
      <c r="H294" s="5">
        <v>33</v>
      </c>
    </row>
    <row r="295" spans="1:8">
      <c r="A295" s="5">
        <v>89130</v>
      </c>
      <c r="B295" s="5">
        <v>61</v>
      </c>
      <c r="C295" s="5">
        <v>4</v>
      </c>
      <c r="D295" s="5">
        <v>13</v>
      </c>
      <c r="E295" s="5">
        <v>9</v>
      </c>
      <c r="F295" s="5">
        <v>14</v>
      </c>
      <c r="G295" s="5">
        <v>8</v>
      </c>
      <c r="H295" s="5">
        <v>13</v>
      </c>
    </row>
    <row r="296" spans="1:8">
      <c r="A296" s="5">
        <v>89131</v>
      </c>
      <c r="B296" s="5">
        <v>94</v>
      </c>
      <c r="C296" s="5">
        <v>9</v>
      </c>
      <c r="D296" s="5">
        <v>11</v>
      </c>
      <c r="E296" s="5">
        <v>7</v>
      </c>
      <c r="F296" s="5">
        <v>28</v>
      </c>
      <c r="G296" s="5">
        <v>7</v>
      </c>
      <c r="H296" s="5">
        <v>32</v>
      </c>
    </row>
    <row r="297" spans="1:8">
      <c r="A297" s="5">
        <v>89134</v>
      </c>
      <c r="B297" s="5">
        <v>41</v>
      </c>
      <c r="C297" s="5">
        <v>4</v>
      </c>
      <c r="D297" s="5">
        <v>6</v>
      </c>
      <c r="E297" s="5">
        <v>4</v>
      </c>
      <c r="F297" s="5">
        <v>11</v>
      </c>
      <c r="G297" s="5">
        <v>7</v>
      </c>
      <c r="H297" s="5">
        <v>9</v>
      </c>
    </row>
    <row r="298" spans="1:8">
      <c r="A298" s="5">
        <v>89135</v>
      </c>
      <c r="B298" s="5">
        <v>78</v>
      </c>
      <c r="C298" s="5">
        <v>8</v>
      </c>
      <c r="D298" s="5">
        <v>13</v>
      </c>
      <c r="E298" s="5">
        <v>10</v>
      </c>
      <c r="F298" s="5">
        <v>19</v>
      </c>
      <c r="G298" s="5">
        <v>4</v>
      </c>
      <c r="H298" s="5">
        <v>24</v>
      </c>
    </row>
    <row r="299" spans="1:8">
      <c r="A299" s="5">
        <v>89138</v>
      </c>
      <c r="B299" s="5">
        <v>56</v>
      </c>
      <c r="C299" s="5">
        <v>12</v>
      </c>
      <c r="D299" s="5">
        <v>5</v>
      </c>
      <c r="E299" s="5">
        <v>5</v>
      </c>
      <c r="F299" s="5">
        <v>8</v>
      </c>
      <c r="G299" s="5">
        <v>8</v>
      </c>
      <c r="H299" s="5">
        <v>18</v>
      </c>
    </row>
    <row r="300" spans="1:8">
      <c r="A300" s="5">
        <v>89139</v>
      </c>
      <c r="B300" s="5">
        <v>147</v>
      </c>
      <c r="C300" s="5">
        <v>30</v>
      </c>
      <c r="D300" s="5">
        <v>16</v>
      </c>
      <c r="E300" s="5">
        <v>11</v>
      </c>
      <c r="F300" s="5">
        <v>22</v>
      </c>
      <c r="G300" s="5">
        <v>30</v>
      </c>
      <c r="H300" s="5">
        <v>38</v>
      </c>
    </row>
    <row r="301" spans="1:8">
      <c r="A301" s="5">
        <v>89141</v>
      </c>
      <c r="B301" s="5">
        <v>95</v>
      </c>
      <c r="C301" s="5">
        <v>17</v>
      </c>
      <c r="D301" s="5">
        <v>14</v>
      </c>
      <c r="E301" s="5">
        <v>11</v>
      </c>
      <c r="F301" s="5">
        <v>20</v>
      </c>
      <c r="G301" s="5">
        <v>10</v>
      </c>
      <c r="H301" s="5">
        <v>23</v>
      </c>
    </row>
    <row r="302" spans="1:8">
      <c r="A302" s="5">
        <v>89142</v>
      </c>
      <c r="B302" s="5">
        <v>63</v>
      </c>
      <c r="C302" s="5">
        <v>12</v>
      </c>
      <c r="D302" s="5">
        <v>12</v>
      </c>
      <c r="E302" s="5">
        <v>4</v>
      </c>
      <c r="F302" s="5">
        <v>8</v>
      </c>
      <c r="G302" s="5">
        <v>7</v>
      </c>
      <c r="H302" s="5">
        <v>20</v>
      </c>
    </row>
    <row r="303" spans="1:8">
      <c r="A303" s="5">
        <v>89143</v>
      </c>
      <c r="B303" s="5">
        <v>26</v>
      </c>
      <c r="C303" s="5">
        <v>4</v>
      </c>
      <c r="D303" s="5">
        <v>4</v>
      </c>
      <c r="E303" s="5">
        <v>4</v>
      </c>
      <c r="F303" s="5">
        <v>8</v>
      </c>
      <c r="G303" s="5">
        <v>3</v>
      </c>
      <c r="H303" s="5">
        <v>3</v>
      </c>
    </row>
    <row r="304" spans="1:8">
      <c r="A304" s="5">
        <v>89144</v>
      </c>
      <c r="B304" s="5">
        <v>38</v>
      </c>
      <c r="C304" s="5">
        <v>6</v>
      </c>
      <c r="D304" s="5">
        <v>7</v>
      </c>
      <c r="E304" s="5">
        <v>4</v>
      </c>
      <c r="F304" s="5">
        <v>12</v>
      </c>
      <c r="G304" s="5">
        <v>4</v>
      </c>
      <c r="H304" s="5">
        <v>5</v>
      </c>
    </row>
    <row r="305" spans="1:8">
      <c r="A305" s="5">
        <v>89145</v>
      </c>
      <c r="B305" s="5">
        <v>45</v>
      </c>
      <c r="C305" s="5">
        <v>5</v>
      </c>
      <c r="D305" s="5">
        <v>12</v>
      </c>
      <c r="E305" s="5">
        <v>7</v>
      </c>
      <c r="F305" s="5">
        <v>8</v>
      </c>
      <c r="G305" s="5">
        <v>3</v>
      </c>
      <c r="H305" s="5">
        <v>10</v>
      </c>
    </row>
    <row r="306" spans="1:8">
      <c r="A306" s="5">
        <v>89146</v>
      </c>
      <c r="B306" s="5">
        <v>43</v>
      </c>
      <c r="C306" s="5">
        <v>4</v>
      </c>
      <c r="D306" s="5">
        <v>3</v>
      </c>
      <c r="E306" s="5">
        <v>3</v>
      </c>
      <c r="F306" s="5">
        <v>6</v>
      </c>
      <c r="G306" s="5">
        <v>5</v>
      </c>
      <c r="H306" s="5">
        <v>22</v>
      </c>
    </row>
    <row r="307" spans="1:8">
      <c r="A307" s="5">
        <v>89147</v>
      </c>
      <c r="B307" s="5">
        <v>114</v>
      </c>
      <c r="C307" s="5">
        <v>17</v>
      </c>
      <c r="D307" s="5">
        <v>13</v>
      </c>
      <c r="E307" s="5">
        <v>13</v>
      </c>
      <c r="F307" s="5">
        <v>28</v>
      </c>
      <c r="G307" s="5">
        <v>12</v>
      </c>
      <c r="H307" s="5">
        <v>31</v>
      </c>
    </row>
    <row r="308" spans="1:8">
      <c r="A308" s="5">
        <v>89148</v>
      </c>
      <c r="B308" s="5">
        <v>184</v>
      </c>
      <c r="C308" s="5">
        <v>22</v>
      </c>
      <c r="D308" s="5">
        <v>26</v>
      </c>
      <c r="E308" s="5">
        <v>22</v>
      </c>
      <c r="F308" s="5">
        <v>35</v>
      </c>
      <c r="G308" s="5">
        <v>27</v>
      </c>
      <c r="H308" s="5">
        <v>52</v>
      </c>
    </row>
    <row r="309" spans="1:8">
      <c r="A309" s="5">
        <v>89149</v>
      </c>
      <c r="B309" s="5">
        <v>76</v>
      </c>
      <c r="C309" s="5">
        <v>11</v>
      </c>
      <c r="D309" s="5">
        <v>12</v>
      </c>
      <c r="E309" s="5">
        <v>12</v>
      </c>
      <c r="F309" s="5">
        <v>13</v>
      </c>
      <c r="G309" s="5">
        <v>10</v>
      </c>
      <c r="H309" s="5">
        <v>18</v>
      </c>
    </row>
    <row r="310" spans="1:8">
      <c r="A310" s="5">
        <v>89156</v>
      </c>
      <c r="B310" s="5">
        <v>55</v>
      </c>
      <c r="C310" s="5">
        <v>6</v>
      </c>
      <c r="D310" s="5">
        <v>8</v>
      </c>
      <c r="E310" s="5">
        <v>9</v>
      </c>
      <c r="F310" s="5">
        <v>14</v>
      </c>
      <c r="G310" s="5">
        <v>6</v>
      </c>
      <c r="H310" s="5">
        <v>12</v>
      </c>
    </row>
    <row r="311" spans="1:8">
      <c r="A311" s="5">
        <v>89158</v>
      </c>
      <c r="B311" s="5">
        <v>5</v>
      </c>
      <c r="C311" s="5">
        <v>3</v>
      </c>
      <c r="D311" s="5">
        <v>2</v>
      </c>
      <c r="E311" s="5" t="s">
        <v>177</v>
      </c>
      <c r="F311" s="5" t="s">
        <v>177</v>
      </c>
      <c r="G311" s="5" t="s">
        <v>177</v>
      </c>
      <c r="H311" s="5" t="s">
        <v>177</v>
      </c>
    </row>
    <row r="312" spans="1:8">
      <c r="A312" s="5">
        <v>89166</v>
      </c>
      <c r="B312" s="5">
        <v>55</v>
      </c>
      <c r="C312" s="5">
        <v>9</v>
      </c>
      <c r="D312" s="5">
        <v>7</v>
      </c>
      <c r="E312" s="5">
        <v>3</v>
      </c>
      <c r="F312" s="5">
        <v>16</v>
      </c>
      <c r="G312" s="5">
        <v>5</v>
      </c>
      <c r="H312" s="5">
        <v>15</v>
      </c>
    </row>
    <row r="313" spans="1:8">
      <c r="A313" s="5">
        <v>89169</v>
      </c>
      <c r="B313" s="5">
        <v>40</v>
      </c>
      <c r="C313" s="5">
        <v>8</v>
      </c>
      <c r="D313" s="5">
        <v>6</v>
      </c>
      <c r="E313" s="5">
        <v>8</v>
      </c>
      <c r="F313" s="5">
        <v>2</v>
      </c>
      <c r="G313" s="5">
        <v>6</v>
      </c>
      <c r="H313" s="5">
        <v>10</v>
      </c>
    </row>
    <row r="314" spans="1:8">
      <c r="A314" s="5">
        <v>89178</v>
      </c>
      <c r="B314" s="5">
        <v>107</v>
      </c>
      <c r="C314" s="5">
        <v>17</v>
      </c>
      <c r="D314" s="5">
        <v>19</v>
      </c>
      <c r="E314" s="5">
        <v>16</v>
      </c>
      <c r="F314" s="5">
        <v>21</v>
      </c>
      <c r="G314" s="5">
        <v>11</v>
      </c>
      <c r="H314" s="5">
        <v>23</v>
      </c>
    </row>
    <row r="315" spans="1:8">
      <c r="A315" s="5">
        <v>89179</v>
      </c>
      <c r="B315" s="5">
        <v>15</v>
      </c>
      <c r="C315" s="5">
        <v>3</v>
      </c>
      <c r="D315" s="5">
        <v>2</v>
      </c>
      <c r="E315" s="5">
        <v>2</v>
      </c>
      <c r="F315" s="5">
        <v>2</v>
      </c>
      <c r="G315" s="5">
        <v>1</v>
      </c>
      <c r="H315" s="5">
        <v>5</v>
      </c>
    </row>
    <row r="316" spans="1:8">
      <c r="A316" s="5">
        <v>89183</v>
      </c>
      <c r="B316" s="5">
        <v>80</v>
      </c>
      <c r="C316" s="5">
        <v>11</v>
      </c>
      <c r="D316" s="5">
        <v>11</v>
      </c>
      <c r="E316" s="5">
        <v>6</v>
      </c>
      <c r="F316" s="5">
        <v>13</v>
      </c>
      <c r="G316" s="5">
        <v>12</v>
      </c>
      <c r="H316" s="5">
        <v>27</v>
      </c>
    </row>
    <row r="317" spans="1:8">
      <c r="A317" s="5">
        <v>89191</v>
      </c>
      <c r="B317" s="5">
        <v>3</v>
      </c>
      <c r="C317" s="5" t="s">
        <v>177</v>
      </c>
      <c r="D317" s="5" t="s">
        <v>177</v>
      </c>
      <c r="E317" s="5" t="s">
        <v>177</v>
      </c>
      <c r="F317" s="5" t="s">
        <v>177</v>
      </c>
      <c r="G317" s="5" t="s">
        <v>177</v>
      </c>
      <c r="H317" s="5">
        <v>3</v>
      </c>
    </row>
    <row r="318" spans="1:8">
      <c r="A318" s="5">
        <v>90040</v>
      </c>
      <c r="B318" s="5">
        <v>28</v>
      </c>
      <c r="C318" s="5">
        <v>1</v>
      </c>
      <c r="D318" s="5">
        <v>5</v>
      </c>
      <c r="E318" s="5">
        <v>2</v>
      </c>
      <c r="F318" s="5">
        <v>14</v>
      </c>
      <c r="G318" s="5">
        <v>4</v>
      </c>
      <c r="H318" s="5">
        <v>2</v>
      </c>
    </row>
    <row r="319" spans="1:8">
      <c r="A319" s="5">
        <v>90048</v>
      </c>
      <c r="B319" s="5">
        <v>1</v>
      </c>
      <c r="C319" s="5" t="s">
        <v>177</v>
      </c>
      <c r="D319" s="5" t="s">
        <v>177</v>
      </c>
      <c r="E319" s="5">
        <v>1</v>
      </c>
      <c r="F319" s="5" t="s">
        <v>177</v>
      </c>
      <c r="G319" s="5" t="s">
        <v>177</v>
      </c>
      <c r="H319" s="5" t="s">
        <v>177</v>
      </c>
    </row>
    <row r="320" spans="1:8">
      <c r="A320" s="5">
        <v>90049</v>
      </c>
      <c r="B320" s="5">
        <v>66</v>
      </c>
      <c r="C320" s="5">
        <v>7</v>
      </c>
      <c r="D320" s="5">
        <v>13</v>
      </c>
      <c r="E320" s="5">
        <v>6</v>
      </c>
      <c r="F320" s="5">
        <v>17</v>
      </c>
      <c r="G320" s="5">
        <v>10</v>
      </c>
      <c r="H320" s="5">
        <v>13</v>
      </c>
    </row>
    <row r="321" spans="1:8">
      <c r="A321" s="5">
        <v>90077</v>
      </c>
      <c r="B321" s="5">
        <v>20</v>
      </c>
      <c r="C321" s="5">
        <v>3</v>
      </c>
      <c r="D321" s="5">
        <v>1</v>
      </c>
      <c r="E321" s="5">
        <v>3</v>
      </c>
      <c r="F321" s="5">
        <v>4</v>
      </c>
      <c r="G321" s="5">
        <v>5</v>
      </c>
      <c r="H321" s="5">
        <v>4</v>
      </c>
    </row>
    <row r="322" spans="1:8">
      <c r="A322" s="5">
        <v>90210</v>
      </c>
      <c r="B322" s="5">
        <v>43</v>
      </c>
      <c r="C322" s="5">
        <v>5</v>
      </c>
      <c r="D322" s="5">
        <v>3</v>
      </c>
      <c r="E322" s="5">
        <v>4</v>
      </c>
      <c r="F322" s="5">
        <v>9</v>
      </c>
      <c r="G322" s="5">
        <v>6</v>
      </c>
      <c r="H322" s="5">
        <v>16</v>
      </c>
    </row>
    <row r="323" spans="1:8">
      <c r="A323" s="5">
        <v>90260</v>
      </c>
      <c r="B323" s="5">
        <v>87</v>
      </c>
      <c r="C323" s="5">
        <v>11</v>
      </c>
      <c r="D323" s="5">
        <v>15</v>
      </c>
      <c r="E323" s="5">
        <v>13</v>
      </c>
      <c r="F323" s="5">
        <v>13</v>
      </c>
      <c r="G323" s="5">
        <v>8</v>
      </c>
      <c r="H323" s="5">
        <v>27</v>
      </c>
    </row>
    <row r="324" spans="1:8">
      <c r="A324" s="5">
        <v>90262</v>
      </c>
      <c r="B324" s="5">
        <v>109</v>
      </c>
      <c r="C324" s="5">
        <v>20</v>
      </c>
      <c r="D324" s="5">
        <v>17</v>
      </c>
      <c r="E324" s="5">
        <v>10</v>
      </c>
      <c r="F324" s="5">
        <v>20</v>
      </c>
      <c r="G324" s="5">
        <v>15</v>
      </c>
      <c r="H324" s="5">
        <v>27</v>
      </c>
    </row>
    <row r="325" spans="1:8">
      <c r="A325" s="5">
        <v>90270</v>
      </c>
      <c r="B325" s="5">
        <v>47</v>
      </c>
      <c r="C325" s="5">
        <v>11</v>
      </c>
      <c r="D325" s="5">
        <v>5</v>
      </c>
      <c r="E325" s="5">
        <v>4</v>
      </c>
      <c r="F325" s="5">
        <v>12</v>
      </c>
      <c r="G325" s="5">
        <v>6</v>
      </c>
      <c r="H325" s="5">
        <v>9</v>
      </c>
    </row>
    <row r="326" spans="1:8">
      <c r="A326" s="5">
        <v>90272</v>
      </c>
      <c r="B326" s="5">
        <v>8</v>
      </c>
      <c r="C326" s="5">
        <v>3</v>
      </c>
      <c r="D326" s="5">
        <v>1</v>
      </c>
      <c r="E326" s="5">
        <v>1</v>
      </c>
      <c r="F326" s="5">
        <v>1</v>
      </c>
      <c r="G326" s="5">
        <v>2</v>
      </c>
      <c r="H326" s="5" t="s">
        <v>177</v>
      </c>
    </row>
    <row r="327" spans="1:8">
      <c r="A327" s="5">
        <v>90404</v>
      </c>
      <c r="B327" s="5">
        <v>38</v>
      </c>
      <c r="C327" s="5">
        <v>5</v>
      </c>
      <c r="D327" s="5">
        <v>5</v>
      </c>
      <c r="E327" s="5">
        <v>5</v>
      </c>
      <c r="F327" s="5">
        <v>6</v>
      </c>
      <c r="G327" s="5">
        <v>5</v>
      </c>
      <c r="H327" s="5">
        <v>12</v>
      </c>
    </row>
    <row r="328" spans="1:8">
      <c r="A328" s="5">
        <v>90405</v>
      </c>
      <c r="B328" s="5">
        <v>34</v>
      </c>
      <c r="C328" s="5">
        <v>3</v>
      </c>
      <c r="D328" s="5">
        <v>5</v>
      </c>
      <c r="E328" s="5">
        <v>1</v>
      </c>
      <c r="F328" s="5">
        <v>5</v>
      </c>
      <c r="G328" s="5">
        <v>7</v>
      </c>
      <c r="H328" s="5">
        <v>13</v>
      </c>
    </row>
    <row r="329" spans="1:8">
      <c r="A329" s="5">
        <v>90502</v>
      </c>
      <c r="B329" s="5">
        <v>48</v>
      </c>
      <c r="C329" s="5">
        <v>6</v>
      </c>
      <c r="D329" s="5">
        <v>8</v>
      </c>
      <c r="E329" s="5">
        <v>4</v>
      </c>
      <c r="F329" s="5">
        <v>11</v>
      </c>
      <c r="G329" s="5">
        <v>4</v>
      </c>
      <c r="H329" s="5">
        <v>15</v>
      </c>
    </row>
    <row r="330" spans="1:8">
      <c r="A330" s="5">
        <v>90605</v>
      </c>
      <c r="B330" s="5">
        <v>62</v>
      </c>
      <c r="C330" s="5">
        <v>12</v>
      </c>
      <c r="D330" s="5">
        <v>7</v>
      </c>
      <c r="E330" s="5">
        <v>5</v>
      </c>
      <c r="F330" s="5">
        <v>12</v>
      </c>
      <c r="G330" s="5">
        <v>13</v>
      </c>
      <c r="H330" s="5">
        <v>13</v>
      </c>
    </row>
    <row r="331" spans="1:8">
      <c r="A331" s="5">
        <v>90639</v>
      </c>
      <c r="B331" s="5">
        <v>1</v>
      </c>
      <c r="C331" s="5">
        <v>1</v>
      </c>
      <c r="D331" s="5" t="s">
        <v>177</v>
      </c>
      <c r="E331" s="5" t="s">
        <v>177</v>
      </c>
      <c r="F331" s="5" t="s">
        <v>177</v>
      </c>
      <c r="G331" s="5" t="s">
        <v>177</v>
      </c>
      <c r="H331" s="5" t="s">
        <v>177</v>
      </c>
    </row>
    <row r="332" spans="1:8">
      <c r="A332" s="5">
        <v>90670</v>
      </c>
      <c r="B332" s="5">
        <v>27</v>
      </c>
      <c r="C332" s="5">
        <v>2</v>
      </c>
      <c r="D332" s="5">
        <v>4</v>
      </c>
      <c r="E332" s="5">
        <v>1</v>
      </c>
      <c r="F332" s="5">
        <v>10</v>
      </c>
      <c r="G332" s="5">
        <v>5</v>
      </c>
      <c r="H332" s="5">
        <v>5</v>
      </c>
    </row>
    <row r="333" spans="1:8">
      <c r="A333" s="5">
        <v>90680</v>
      </c>
      <c r="B333" s="5">
        <v>1</v>
      </c>
      <c r="C333" s="5" t="s">
        <v>177</v>
      </c>
      <c r="D333" s="5" t="s">
        <v>177</v>
      </c>
      <c r="E333" s="5">
        <v>1</v>
      </c>
      <c r="F333" s="5" t="s">
        <v>177</v>
      </c>
      <c r="G333" s="5" t="s">
        <v>177</v>
      </c>
      <c r="H333" s="5" t="s">
        <v>177</v>
      </c>
    </row>
    <row r="334" spans="1:8">
      <c r="A334" s="5">
        <v>90716</v>
      </c>
      <c r="B334" s="5">
        <v>34</v>
      </c>
      <c r="C334" s="5">
        <v>4</v>
      </c>
      <c r="D334" s="5">
        <v>6</v>
      </c>
      <c r="E334" s="5">
        <v>2</v>
      </c>
      <c r="F334" s="5">
        <v>5</v>
      </c>
      <c r="G334" s="5">
        <v>9</v>
      </c>
      <c r="H334" s="5">
        <v>8</v>
      </c>
    </row>
    <row r="335" spans="1:8">
      <c r="A335" s="5">
        <v>90717</v>
      </c>
      <c r="B335" s="5">
        <v>39</v>
      </c>
      <c r="C335" s="5">
        <v>8</v>
      </c>
      <c r="D335" s="5">
        <v>4</v>
      </c>
      <c r="E335" s="5">
        <v>3</v>
      </c>
      <c r="F335" s="5">
        <v>9</v>
      </c>
      <c r="G335" s="5">
        <v>6</v>
      </c>
      <c r="H335" s="5">
        <v>9</v>
      </c>
    </row>
    <row r="336" spans="1:8">
      <c r="A336" s="5">
        <v>90740</v>
      </c>
      <c r="B336" s="5">
        <v>35</v>
      </c>
      <c r="C336" s="5">
        <v>5</v>
      </c>
      <c r="D336" s="5">
        <v>8</v>
      </c>
      <c r="E336" s="5">
        <v>1</v>
      </c>
      <c r="F336" s="5">
        <v>7</v>
      </c>
      <c r="G336" s="5">
        <v>5</v>
      </c>
      <c r="H336" s="5">
        <v>9</v>
      </c>
    </row>
    <row r="337" spans="1:8">
      <c r="A337" s="5">
        <v>90808</v>
      </c>
      <c r="B337" s="5">
        <v>62</v>
      </c>
      <c r="C337" s="5">
        <v>10</v>
      </c>
      <c r="D337" s="5">
        <v>7</v>
      </c>
      <c r="E337" s="5">
        <v>7</v>
      </c>
      <c r="F337" s="5">
        <v>14</v>
      </c>
      <c r="G337" s="5">
        <v>9</v>
      </c>
      <c r="H337" s="5">
        <v>15</v>
      </c>
    </row>
    <row r="338" spans="1:8">
      <c r="A338" s="5">
        <v>90813</v>
      </c>
      <c r="B338" s="5">
        <v>91</v>
      </c>
      <c r="C338" s="5">
        <v>12</v>
      </c>
      <c r="D338" s="5">
        <v>17</v>
      </c>
      <c r="E338" s="5">
        <v>13</v>
      </c>
      <c r="F338" s="5">
        <v>15</v>
      </c>
      <c r="G338" s="5">
        <v>14</v>
      </c>
      <c r="H338" s="5">
        <v>20</v>
      </c>
    </row>
    <row r="339" spans="1:8">
      <c r="A339" s="5">
        <v>90814</v>
      </c>
      <c r="B339" s="5">
        <v>30</v>
      </c>
      <c r="C339" s="5">
        <v>6</v>
      </c>
      <c r="D339" s="5">
        <v>3</v>
      </c>
      <c r="E339" s="5">
        <v>3</v>
      </c>
      <c r="F339" s="5">
        <v>10</v>
      </c>
      <c r="G339" s="5">
        <v>2</v>
      </c>
      <c r="H339" s="5">
        <v>6</v>
      </c>
    </row>
    <row r="340" spans="1:8">
      <c r="A340" s="5">
        <v>91301</v>
      </c>
      <c r="B340" s="5">
        <v>48</v>
      </c>
      <c r="C340" s="5">
        <v>5</v>
      </c>
      <c r="D340" s="5">
        <v>4</v>
      </c>
      <c r="E340" s="5">
        <v>2</v>
      </c>
      <c r="F340" s="5">
        <v>11</v>
      </c>
      <c r="G340" s="5">
        <v>10</v>
      </c>
      <c r="H340" s="5">
        <v>16</v>
      </c>
    </row>
    <row r="341" spans="1:8">
      <c r="A341" s="5">
        <v>91316</v>
      </c>
      <c r="B341" s="5">
        <v>61</v>
      </c>
      <c r="C341" s="5">
        <v>12</v>
      </c>
      <c r="D341" s="5">
        <v>8</v>
      </c>
      <c r="E341" s="5">
        <v>5</v>
      </c>
      <c r="F341" s="5">
        <v>18</v>
      </c>
      <c r="G341" s="5">
        <v>8</v>
      </c>
      <c r="H341" s="5">
        <v>10</v>
      </c>
    </row>
    <row r="342" spans="1:8">
      <c r="A342" s="5">
        <v>91340</v>
      </c>
      <c r="B342" s="5">
        <v>48</v>
      </c>
      <c r="C342" s="5">
        <v>4</v>
      </c>
      <c r="D342" s="5">
        <v>7</v>
      </c>
      <c r="E342" s="5">
        <v>6</v>
      </c>
      <c r="F342" s="5">
        <v>8</v>
      </c>
      <c r="G342" s="5">
        <v>9</v>
      </c>
      <c r="H342" s="5">
        <v>14</v>
      </c>
    </row>
    <row r="343" spans="1:8">
      <c r="A343" s="5">
        <v>91342</v>
      </c>
      <c r="B343" s="5">
        <v>1</v>
      </c>
      <c r="C343" s="5">
        <v>1</v>
      </c>
      <c r="D343" s="5" t="s">
        <v>177</v>
      </c>
      <c r="E343" s="5" t="s">
        <v>177</v>
      </c>
      <c r="F343" s="5" t="s">
        <v>177</v>
      </c>
      <c r="G343" s="5" t="s">
        <v>177</v>
      </c>
      <c r="H343" s="5" t="s">
        <v>177</v>
      </c>
    </row>
    <row r="344" spans="1:8">
      <c r="A344" s="5">
        <v>91377</v>
      </c>
      <c r="B344" s="5">
        <v>29</v>
      </c>
      <c r="C344" s="5">
        <v>7</v>
      </c>
      <c r="D344" s="5">
        <v>10</v>
      </c>
      <c r="E344" s="5">
        <v>3</v>
      </c>
      <c r="F344" s="5">
        <v>4</v>
      </c>
      <c r="G344" s="5">
        <v>2</v>
      </c>
      <c r="H344" s="5">
        <v>3</v>
      </c>
    </row>
    <row r="345" spans="1:8">
      <c r="A345" s="5">
        <v>91706</v>
      </c>
      <c r="B345" s="5">
        <v>1</v>
      </c>
      <c r="C345" s="5">
        <v>1</v>
      </c>
      <c r="D345" s="5" t="s">
        <v>177</v>
      </c>
      <c r="E345" s="5" t="s">
        <v>177</v>
      </c>
      <c r="F345" s="5" t="s">
        <v>177</v>
      </c>
      <c r="G345" s="5" t="s">
        <v>177</v>
      </c>
      <c r="H345" s="5" t="s">
        <v>177</v>
      </c>
    </row>
    <row r="346" spans="1:8">
      <c r="A346" s="5">
        <v>91744</v>
      </c>
      <c r="B346" s="5">
        <v>1</v>
      </c>
      <c r="C346" s="5">
        <v>1</v>
      </c>
      <c r="D346" s="5" t="s">
        <v>177</v>
      </c>
      <c r="E346" s="5" t="s">
        <v>177</v>
      </c>
      <c r="F346" s="5" t="s">
        <v>177</v>
      </c>
      <c r="G346" s="5" t="s">
        <v>177</v>
      </c>
      <c r="H346" s="5" t="s">
        <v>177</v>
      </c>
    </row>
    <row r="347" spans="1:8">
      <c r="A347" s="5">
        <v>91748</v>
      </c>
      <c r="B347" s="5">
        <v>162</v>
      </c>
      <c r="C347" s="5">
        <v>33</v>
      </c>
      <c r="D347" s="5">
        <v>28</v>
      </c>
      <c r="E347" s="5">
        <v>13</v>
      </c>
      <c r="F347" s="5">
        <v>24</v>
      </c>
      <c r="G347" s="5">
        <v>21</v>
      </c>
      <c r="H347" s="5">
        <v>43</v>
      </c>
    </row>
    <row r="348" spans="1:8">
      <c r="A348" s="5">
        <v>91775</v>
      </c>
      <c r="B348" s="5">
        <v>74</v>
      </c>
      <c r="C348" s="5">
        <v>9</v>
      </c>
      <c r="D348" s="5">
        <v>10</v>
      </c>
      <c r="E348" s="5">
        <v>7</v>
      </c>
      <c r="F348" s="5">
        <v>13</v>
      </c>
      <c r="G348" s="5">
        <v>17</v>
      </c>
      <c r="H348" s="5">
        <v>18</v>
      </c>
    </row>
    <row r="349" spans="1:8">
      <c r="A349" s="5">
        <v>91945</v>
      </c>
      <c r="B349" s="5">
        <v>54</v>
      </c>
      <c r="C349" s="5">
        <v>14</v>
      </c>
      <c r="D349" s="5">
        <v>4</v>
      </c>
      <c r="E349" s="5">
        <v>6</v>
      </c>
      <c r="F349" s="5">
        <v>9</v>
      </c>
      <c r="G349" s="5">
        <v>9</v>
      </c>
      <c r="H349" s="5">
        <v>12</v>
      </c>
    </row>
    <row r="350" spans="1:8">
      <c r="A350" s="5">
        <v>91951</v>
      </c>
      <c r="B350" s="5">
        <v>2</v>
      </c>
      <c r="C350" s="5" t="s">
        <v>177</v>
      </c>
      <c r="D350" s="5" t="s">
        <v>177</v>
      </c>
      <c r="E350" s="5" t="s">
        <v>177</v>
      </c>
      <c r="F350" s="5" t="s">
        <v>177</v>
      </c>
      <c r="G350" s="5">
        <v>1</v>
      </c>
      <c r="H350" s="5">
        <v>1</v>
      </c>
    </row>
    <row r="351" spans="1:8">
      <c r="A351" s="5">
        <v>92010</v>
      </c>
      <c r="B351" s="5">
        <v>39</v>
      </c>
      <c r="C351" s="5">
        <v>8</v>
      </c>
      <c r="D351" s="5">
        <v>4</v>
      </c>
      <c r="E351" s="5">
        <v>6</v>
      </c>
      <c r="F351" s="5">
        <v>8</v>
      </c>
      <c r="G351" s="5">
        <v>3</v>
      </c>
      <c r="H351" s="5">
        <v>10</v>
      </c>
    </row>
    <row r="352" spans="1:8">
      <c r="A352" s="5">
        <v>92022</v>
      </c>
      <c r="B352" s="5">
        <v>1</v>
      </c>
      <c r="C352" s="5" t="s">
        <v>177</v>
      </c>
      <c r="D352" s="5" t="s">
        <v>177</v>
      </c>
      <c r="E352" s="5" t="s">
        <v>177</v>
      </c>
      <c r="F352" s="5" t="s">
        <v>177</v>
      </c>
      <c r="G352" s="5">
        <v>1</v>
      </c>
      <c r="H352" s="5" t="s">
        <v>177</v>
      </c>
    </row>
    <row r="353" spans="1:8">
      <c r="A353" s="5">
        <v>92092</v>
      </c>
      <c r="B353" s="5">
        <v>9</v>
      </c>
      <c r="C353" s="5">
        <v>1</v>
      </c>
      <c r="D353" s="5">
        <v>1</v>
      </c>
      <c r="E353" s="5" t="s">
        <v>177</v>
      </c>
      <c r="F353" s="5">
        <v>3</v>
      </c>
      <c r="G353" s="5">
        <v>2</v>
      </c>
      <c r="H353" s="5">
        <v>2</v>
      </c>
    </row>
    <row r="354" spans="1:8">
      <c r="A354" s="5">
        <v>92093</v>
      </c>
      <c r="B354" s="5">
        <v>1</v>
      </c>
      <c r="C354" s="5" t="s">
        <v>177</v>
      </c>
      <c r="D354" s="5" t="s">
        <v>177</v>
      </c>
      <c r="E354" s="5" t="s">
        <v>177</v>
      </c>
      <c r="F354" s="5">
        <v>1</v>
      </c>
      <c r="G354" s="5" t="s">
        <v>177</v>
      </c>
      <c r="H354" s="5" t="s">
        <v>177</v>
      </c>
    </row>
    <row r="355" spans="1:8">
      <c r="A355" s="5">
        <v>92112</v>
      </c>
      <c r="B355" s="5">
        <v>1</v>
      </c>
      <c r="C355" s="5" t="s">
        <v>177</v>
      </c>
      <c r="D355" s="5" t="s">
        <v>177</v>
      </c>
      <c r="E355" s="5" t="s">
        <v>177</v>
      </c>
      <c r="F355" s="5">
        <v>1</v>
      </c>
      <c r="G355" s="5" t="s">
        <v>177</v>
      </c>
      <c r="H355" s="5" t="s">
        <v>177</v>
      </c>
    </row>
    <row r="356" spans="1:8">
      <c r="A356" s="5">
        <v>92118</v>
      </c>
      <c r="B356" s="5">
        <v>23</v>
      </c>
      <c r="C356" s="5">
        <v>2</v>
      </c>
      <c r="D356" s="5">
        <v>3</v>
      </c>
      <c r="E356" s="5">
        <v>3</v>
      </c>
      <c r="F356" s="5">
        <v>6</v>
      </c>
      <c r="G356" s="5">
        <v>3</v>
      </c>
      <c r="H356" s="5">
        <v>6</v>
      </c>
    </row>
    <row r="357" spans="1:8">
      <c r="A357" s="5">
        <v>92119</v>
      </c>
      <c r="B357" s="5">
        <v>39</v>
      </c>
      <c r="C357" s="5">
        <v>6</v>
      </c>
      <c r="D357" s="5">
        <v>9</v>
      </c>
      <c r="E357" s="5">
        <v>5</v>
      </c>
      <c r="F357" s="5">
        <v>3</v>
      </c>
      <c r="G357" s="5">
        <v>9</v>
      </c>
      <c r="H357" s="5">
        <v>7</v>
      </c>
    </row>
    <row r="358" spans="1:8">
      <c r="A358" s="5">
        <v>92137</v>
      </c>
      <c r="B358" s="5">
        <v>1</v>
      </c>
      <c r="C358" s="5" t="s">
        <v>177</v>
      </c>
      <c r="D358" s="5" t="s">
        <v>177</v>
      </c>
      <c r="E358" s="5" t="s">
        <v>177</v>
      </c>
      <c r="F358" s="5" t="s">
        <v>177</v>
      </c>
      <c r="G358" s="5" t="s">
        <v>177</v>
      </c>
      <c r="H358" s="5">
        <v>1</v>
      </c>
    </row>
    <row r="359" spans="1:8">
      <c r="A359" s="5">
        <v>92153</v>
      </c>
      <c r="B359" s="5">
        <v>2</v>
      </c>
      <c r="C359" s="5" t="s">
        <v>177</v>
      </c>
      <c r="D359" s="5" t="s">
        <v>177</v>
      </c>
      <c r="E359" s="5">
        <v>1</v>
      </c>
      <c r="F359" s="5" t="s">
        <v>177</v>
      </c>
      <c r="G359" s="5">
        <v>1</v>
      </c>
      <c r="H359" s="5" t="s">
        <v>177</v>
      </c>
    </row>
    <row r="360" spans="1:8">
      <c r="A360" s="5">
        <v>92201</v>
      </c>
      <c r="B360" s="5">
        <v>83</v>
      </c>
      <c r="C360" s="5">
        <v>9</v>
      </c>
      <c r="D360" s="5">
        <v>12</v>
      </c>
      <c r="E360" s="5">
        <v>9</v>
      </c>
      <c r="F360" s="5">
        <v>18</v>
      </c>
      <c r="G360" s="5">
        <v>11</v>
      </c>
      <c r="H360" s="5">
        <v>24</v>
      </c>
    </row>
    <row r="361" spans="1:8">
      <c r="A361" s="5">
        <v>92203</v>
      </c>
      <c r="B361" s="5">
        <v>51</v>
      </c>
      <c r="C361" s="5">
        <v>4</v>
      </c>
      <c r="D361" s="5">
        <v>5</v>
      </c>
      <c r="E361" s="5">
        <v>6</v>
      </c>
      <c r="F361" s="5">
        <v>16</v>
      </c>
      <c r="G361" s="5">
        <v>4</v>
      </c>
      <c r="H361" s="5">
        <v>16</v>
      </c>
    </row>
    <row r="362" spans="1:8">
      <c r="A362" s="5">
        <v>92210</v>
      </c>
      <c r="B362" s="5">
        <v>6</v>
      </c>
      <c r="C362" s="5" t="s">
        <v>177</v>
      </c>
      <c r="D362" s="5">
        <v>2</v>
      </c>
      <c r="E362" s="5">
        <v>1</v>
      </c>
      <c r="F362" s="5">
        <v>1</v>
      </c>
      <c r="G362" s="5">
        <v>1</v>
      </c>
      <c r="H362" s="5">
        <v>1</v>
      </c>
    </row>
    <row r="363" spans="1:8">
      <c r="A363" s="5">
        <v>92211</v>
      </c>
      <c r="B363" s="5">
        <v>44</v>
      </c>
      <c r="C363" s="5">
        <v>6</v>
      </c>
      <c r="D363" s="5">
        <v>6</v>
      </c>
      <c r="E363" s="5">
        <v>7</v>
      </c>
      <c r="F363" s="5">
        <v>8</v>
      </c>
      <c r="G363" s="5">
        <v>8</v>
      </c>
      <c r="H363" s="5">
        <v>9</v>
      </c>
    </row>
    <row r="364" spans="1:8">
      <c r="A364" s="5">
        <v>92223</v>
      </c>
      <c r="B364" s="5">
        <v>1</v>
      </c>
      <c r="C364" s="5" t="s">
        <v>177</v>
      </c>
      <c r="D364" s="5" t="s">
        <v>177</v>
      </c>
      <c r="E364" s="5" t="s">
        <v>177</v>
      </c>
      <c r="F364" s="5" t="s">
        <v>177</v>
      </c>
      <c r="G364" s="5">
        <v>1</v>
      </c>
      <c r="H364" s="5" t="s">
        <v>177</v>
      </c>
    </row>
    <row r="365" spans="1:8">
      <c r="A365" s="5">
        <v>92230</v>
      </c>
      <c r="B365" s="5">
        <v>4</v>
      </c>
      <c r="C365" s="5">
        <v>1</v>
      </c>
      <c r="D365" s="5">
        <v>1</v>
      </c>
      <c r="E365" s="5" t="s">
        <v>177</v>
      </c>
      <c r="F365" s="5">
        <v>1</v>
      </c>
      <c r="G365" s="5" t="s">
        <v>177</v>
      </c>
      <c r="H365" s="5">
        <v>1</v>
      </c>
    </row>
    <row r="366" spans="1:8">
      <c r="A366" s="5">
        <v>92234</v>
      </c>
      <c r="B366" s="5">
        <v>85</v>
      </c>
      <c r="C366" s="5">
        <v>8</v>
      </c>
      <c r="D366" s="5">
        <v>9</v>
      </c>
      <c r="E366" s="5">
        <v>5</v>
      </c>
      <c r="F366" s="5">
        <v>20</v>
      </c>
      <c r="G366" s="5">
        <v>21</v>
      </c>
      <c r="H366" s="5">
        <v>22</v>
      </c>
    </row>
    <row r="367" spans="1:8">
      <c r="A367" s="5">
        <v>92236</v>
      </c>
      <c r="B367" s="5">
        <v>62</v>
      </c>
      <c r="C367" s="5">
        <v>5</v>
      </c>
      <c r="D367" s="5">
        <v>16</v>
      </c>
      <c r="E367" s="5">
        <v>5</v>
      </c>
      <c r="F367" s="5">
        <v>21</v>
      </c>
      <c r="G367" s="5">
        <v>4</v>
      </c>
      <c r="H367" s="5">
        <v>11</v>
      </c>
    </row>
    <row r="368" spans="1:8">
      <c r="A368" s="5">
        <v>92240</v>
      </c>
      <c r="B368" s="5">
        <v>70</v>
      </c>
      <c r="C368" s="5">
        <v>13</v>
      </c>
      <c r="D368" s="5">
        <v>6</v>
      </c>
      <c r="E368" s="5">
        <v>14</v>
      </c>
      <c r="F368" s="5">
        <v>8</v>
      </c>
      <c r="G368" s="5">
        <v>14</v>
      </c>
      <c r="H368" s="5">
        <v>15</v>
      </c>
    </row>
    <row r="369" spans="1:8">
      <c r="A369" s="5">
        <v>92241</v>
      </c>
      <c r="B369" s="5">
        <v>19</v>
      </c>
      <c r="C369" s="5">
        <v>3</v>
      </c>
      <c r="D369" s="5">
        <v>4</v>
      </c>
      <c r="E369" s="5">
        <v>3</v>
      </c>
      <c r="F369" s="5">
        <v>3</v>
      </c>
      <c r="G369" s="5">
        <v>3</v>
      </c>
      <c r="H369" s="5">
        <v>3</v>
      </c>
    </row>
    <row r="370" spans="1:8">
      <c r="A370" s="5">
        <v>92253</v>
      </c>
      <c r="B370" s="5">
        <v>66</v>
      </c>
      <c r="C370" s="5">
        <v>9</v>
      </c>
      <c r="D370" s="5">
        <v>4</v>
      </c>
      <c r="E370" s="5">
        <v>7</v>
      </c>
      <c r="F370" s="5">
        <v>16</v>
      </c>
      <c r="G370" s="5">
        <v>7</v>
      </c>
      <c r="H370" s="5">
        <v>23</v>
      </c>
    </row>
    <row r="371" spans="1:8">
      <c r="A371" s="5">
        <v>92260</v>
      </c>
      <c r="B371" s="5">
        <v>46</v>
      </c>
      <c r="C371" s="5">
        <v>6</v>
      </c>
      <c r="D371" s="5">
        <v>7</v>
      </c>
      <c r="E371" s="5">
        <v>7</v>
      </c>
      <c r="F371" s="5">
        <v>3</v>
      </c>
      <c r="G371" s="5">
        <v>11</v>
      </c>
      <c r="H371" s="5">
        <v>12</v>
      </c>
    </row>
    <row r="372" spans="1:8">
      <c r="A372" s="5">
        <v>92262</v>
      </c>
      <c r="B372" s="5">
        <v>55</v>
      </c>
      <c r="C372" s="5">
        <v>6</v>
      </c>
      <c r="D372" s="5">
        <v>7</v>
      </c>
      <c r="E372" s="5">
        <v>6</v>
      </c>
      <c r="F372" s="5">
        <v>10</v>
      </c>
      <c r="G372" s="5">
        <v>7</v>
      </c>
      <c r="H372" s="5">
        <v>19</v>
      </c>
    </row>
    <row r="373" spans="1:8">
      <c r="A373" s="5">
        <v>92264</v>
      </c>
      <c r="B373" s="5">
        <v>23</v>
      </c>
      <c r="C373" s="5">
        <v>5</v>
      </c>
      <c r="D373" s="5">
        <v>1</v>
      </c>
      <c r="E373" s="5">
        <v>3</v>
      </c>
      <c r="F373" s="5">
        <v>5</v>
      </c>
      <c r="G373" s="5">
        <v>2</v>
      </c>
      <c r="H373" s="5">
        <v>7</v>
      </c>
    </row>
    <row r="374" spans="1:8">
      <c r="A374" s="5">
        <v>92270</v>
      </c>
      <c r="B374" s="5">
        <v>26</v>
      </c>
      <c r="C374" s="5">
        <v>1</v>
      </c>
      <c r="D374" s="5">
        <v>4</v>
      </c>
      <c r="E374" s="5">
        <v>3</v>
      </c>
      <c r="F374" s="5">
        <v>10</v>
      </c>
      <c r="G374" s="5">
        <v>4</v>
      </c>
      <c r="H374" s="5">
        <v>4</v>
      </c>
    </row>
    <row r="375" spans="1:8">
      <c r="A375" s="5">
        <v>92276</v>
      </c>
      <c r="B375" s="5">
        <v>16</v>
      </c>
      <c r="C375" s="5">
        <v>6</v>
      </c>
      <c r="D375" s="5">
        <v>1</v>
      </c>
      <c r="E375" s="5">
        <v>2</v>
      </c>
      <c r="F375" s="5">
        <v>1</v>
      </c>
      <c r="G375" s="5">
        <v>1</v>
      </c>
      <c r="H375" s="5">
        <v>5</v>
      </c>
    </row>
    <row r="376" spans="1:8">
      <c r="A376" s="5">
        <v>92410</v>
      </c>
      <c r="B376" s="5">
        <v>1</v>
      </c>
      <c r="C376" s="5">
        <v>1</v>
      </c>
      <c r="D376" s="5" t="s">
        <v>177</v>
      </c>
      <c r="E376" s="5" t="s">
        <v>177</v>
      </c>
      <c r="F376" s="5" t="s">
        <v>177</v>
      </c>
      <c r="G376" s="5" t="s">
        <v>177</v>
      </c>
      <c r="H376" s="5" t="s">
        <v>177</v>
      </c>
    </row>
    <row r="377" spans="1:8">
      <c r="A377" s="5">
        <v>92504</v>
      </c>
      <c r="B377" s="5">
        <v>110</v>
      </c>
      <c r="C377" s="5">
        <v>18</v>
      </c>
      <c r="D377" s="5">
        <v>17</v>
      </c>
      <c r="E377" s="5">
        <v>10</v>
      </c>
      <c r="F377" s="5">
        <v>21</v>
      </c>
      <c r="G377" s="5">
        <v>15</v>
      </c>
      <c r="H377" s="5">
        <v>29</v>
      </c>
    </row>
    <row r="378" spans="1:8">
      <c r="A378" s="5">
        <v>92507</v>
      </c>
      <c r="B378" s="5">
        <v>1</v>
      </c>
      <c r="C378" s="5" t="s">
        <v>177</v>
      </c>
      <c r="D378" s="5">
        <v>1</v>
      </c>
      <c r="E378" s="5" t="s">
        <v>177</v>
      </c>
      <c r="F378" s="5" t="s">
        <v>177</v>
      </c>
      <c r="G378" s="5" t="s">
        <v>177</v>
      </c>
      <c r="H378" s="5" t="s">
        <v>177</v>
      </c>
    </row>
    <row r="379" spans="1:8">
      <c r="A379" s="5">
        <v>92508</v>
      </c>
      <c r="B379" s="5">
        <v>73</v>
      </c>
      <c r="C379" s="5">
        <v>16</v>
      </c>
      <c r="D379" s="5">
        <v>10</v>
      </c>
      <c r="E379" s="5">
        <v>7</v>
      </c>
      <c r="F379" s="5">
        <v>16</v>
      </c>
      <c r="G379" s="5">
        <v>5</v>
      </c>
      <c r="H379" s="5">
        <v>19</v>
      </c>
    </row>
    <row r="380" spans="1:8">
      <c r="A380" s="5">
        <v>92530</v>
      </c>
      <c r="B380" s="5">
        <v>134</v>
      </c>
      <c r="C380" s="5">
        <v>26</v>
      </c>
      <c r="D380" s="5">
        <v>13</v>
      </c>
      <c r="E380" s="5">
        <v>17</v>
      </c>
      <c r="F380" s="5">
        <v>18</v>
      </c>
      <c r="G380" s="5">
        <v>19</v>
      </c>
      <c r="H380" s="5">
        <v>41</v>
      </c>
    </row>
    <row r="381" spans="1:8">
      <c r="A381" s="5">
        <v>92548</v>
      </c>
      <c r="B381" s="5">
        <v>16</v>
      </c>
      <c r="C381" s="5">
        <v>1</v>
      </c>
      <c r="D381" s="5">
        <v>8</v>
      </c>
      <c r="E381" s="5">
        <v>1</v>
      </c>
      <c r="F381" s="5">
        <v>2</v>
      </c>
      <c r="G381" s="5">
        <v>1</v>
      </c>
      <c r="H381" s="5">
        <v>3</v>
      </c>
    </row>
    <row r="382" spans="1:8">
      <c r="A382" s="5">
        <v>92585</v>
      </c>
      <c r="B382" s="5">
        <v>69</v>
      </c>
      <c r="C382" s="5">
        <v>9</v>
      </c>
      <c r="D382" s="5">
        <v>20</v>
      </c>
      <c r="E382" s="5">
        <v>5</v>
      </c>
      <c r="F382" s="5">
        <v>15</v>
      </c>
      <c r="G382" s="5">
        <v>8</v>
      </c>
      <c r="H382" s="5">
        <v>12</v>
      </c>
    </row>
    <row r="383" spans="1:8">
      <c r="A383" s="5">
        <v>92586</v>
      </c>
      <c r="B383" s="5">
        <v>23</v>
      </c>
      <c r="C383" s="5">
        <v>4</v>
      </c>
      <c r="D383" s="5">
        <v>4</v>
      </c>
      <c r="E383" s="5">
        <v>2</v>
      </c>
      <c r="F383" s="5">
        <v>5</v>
      </c>
      <c r="G383" s="5">
        <v>6</v>
      </c>
      <c r="H383" s="5">
        <v>2</v>
      </c>
    </row>
    <row r="384" spans="1:8">
      <c r="A384" s="5">
        <v>92655</v>
      </c>
      <c r="B384" s="5">
        <v>38</v>
      </c>
      <c r="C384" s="5">
        <v>6</v>
      </c>
      <c r="D384" s="5">
        <v>6</v>
      </c>
      <c r="E384" s="5">
        <v>3</v>
      </c>
      <c r="F384" s="5">
        <v>4</v>
      </c>
      <c r="G384" s="5">
        <v>5</v>
      </c>
      <c r="H384" s="5">
        <v>14</v>
      </c>
    </row>
    <row r="385" spans="1:8">
      <c r="A385" s="5">
        <v>92672</v>
      </c>
      <c r="B385" s="5">
        <v>4</v>
      </c>
      <c r="C385" s="5">
        <v>2</v>
      </c>
      <c r="D385" s="5" t="s">
        <v>177</v>
      </c>
      <c r="E385" s="5" t="s">
        <v>177</v>
      </c>
      <c r="F385" s="5">
        <v>1</v>
      </c>
      <c r="G385" s="5">
        <v>1</v>
      </c>
      <c r="H385" s="5" t="s">
        <v>177</v>
      </c>
    </row>
    <row r="386" spans="1:8">
      <c r="A386" s="5">
        <v>92676</v>
      </c>
      <c r="B386" s="5">
        <v>6</v>
      </c>
      <c r="C386" s="5">
        <v>5</v>
      </c>
      <c r="D386" s="5" t="s">
        <v>177</v>
      </c>
      <c r="E386" s="5" t="s">
        <v>177</v>
      </c>
      <c r="F386" s="5">
        <v>1</v>
      </c>
      <c r="G386" s="5" t="s">
        <v>177</v>
      </c>
      <c r="H386" s="5" t="s">
        <v>177</v>
      </c>
    </row>
    <row r="387" spans="1:8">
      <c r="A387" s="5">
        <v>92691</v>
      </c>
      <c r="B387" s="5">
        <v>81</v>
      </c>
      <c r="C387" s="5">
        <v>9</v>
      </c>
      <c r="D387" s="5">
        <v>14</v>
      </c>
      <c r="E387" s="5">
        <v>6</v>
      </c>
      <c r="F387" s="5">
        <v>21</v>
      </c>
      <c r="G387" s="5">
        <v>8</v>
      </c>
      <c r="H387" s="5">
        <v>23</v>
      </c>
    </row>
    <row r="388" spans="1:8">
      <c r="A388" s="5">
        <v>92807</v>
      </c>
      <c r="B388" s="5">
        <v>66</v>
      </c>
      <c r="C388" s="5">
        <v>13</v>
      </c>
      <c r="D388" s="5">
        <v>10</v>
      </c>
      <c r="E388" s="5">
        <v>3</v>
      </c>
      <c r="F388" s="5">
        <v>7</v>
      </c>
      <c r="G388" s="5">
        <v>18</v>
      </c>
      <c r="H388" s="5">
        <v>15</v>
      </c>
    </row>
    <row r="389" spans="1:8">
      <c r="A389" s="5">
        <v>92821</v>
      </c>
      <c r="B389" s="5">
        <v>115</v>
      </c>
      <c r="C389" s="5">
        <v>20</v>
      </c>
      <c r="D389" s="5">
        <v>17</v>
      </c>
      <c r="E389" s="5">
        <v>17</v>
      </c>
      <c r="F389" s="5">
        <v>25</v>
      </c>
      <c r="G389" s="5">
        <v>18</v>
      </c>
      <c r="H389" s="5">
        <v>18</v>
      </c>
    </row>
    <row r="390" spans="1:8">
      <c r="A390" s="5">
        <v>92866</v>
      </c>
      <c r="B390" s="5">
        <v>23</v>
      </c>
      <c r="C390" s="5">
        <v>4</v>
      </c>
      <c r="D390" s="5">
        <v>4</v>
      </c>
      <c r="E390" s="5" t="s">
        <v>177</v>
      </c>
      <c r="F390" s="5">
        <v>7</v>
      </c>
      <c r="G390" s="5">
        <v>4</v>
      </c>
      <c r="H390" s="5">
        <v>4</v>
      </c>
    </row>
    <row r="391" spans="1:8">
      <c r="A391" s="5">
        <v>93003</v>
      </c>
      <c r="B391" s="5">
        <v>69</v>
      </c>
      <c r="C391" s="5">
        <v>11</v>
      </c>
      <c r="D391" s="5">
        <v>14</v>
      </c>
      <c r="E391" s="5">
        <v>10</v>
      </c>
      <c r="F391" s="5">
        <v>10</v>
      </c>
      <c r="G391" s="5">
        <v>9</v>
      </c>
      <c r="H391" s="5">
        <v>15</v>
      </c>
    </row>
    <row r="392" spans="1:8">
      <c r="A392" s="5">
        <v>93004</v>
      </c>
      <c r="B392" s="5">
        <v>43</v>
      </c>
      <c r="C392" s="5">
        <v>4</v>
      </c>
      <c r="D392" s="5">
        <v>5</v>
      </c>
      <c r="E392" s="5">
        <v>4</v>
      </c>
      <c r="F392" s="5">
        <v>5</v>
      </c>
      <c r="G392" s="5">
        <v>13</v>
      </c>
      <c r="H392" s="5">
        <v>12</v>
      </c>
    </row>
    <row r="393" spans="1:8">
      <c r="A393" s="5">
        <v>93010</v>
      </c>
      <c r="B393" s="5">
        <v>95</v>
      </c>
      <c r="C393" s="5">
        <v>19</v>
      </c>
      <c r="D393" s="5">
        <v>13</v>
      </c>
      <c r="E393" s="5">
        <v>3</v>
      </c>
      <c r="F393" s="5">
        <v>21</v>
      </c>
      <c r="G393" s="5">
        <v>16</v>
      </c>
      <c r="H393" s="5">
        <v>23</v>
      </c>
    </row>
    <row r="394" spans="1:8">
      <c r="A394" s="5">
        <v>93012</v>
      </c>
      <c r="B394" s="5">
        <v>55</v>
      </c>
      <c r="C394" s="5">
        <v>6</v>
      </c>
      <c r="D394" s="5">
        <v>10</v>
      </c>
      <c r="E394" s="5">
        <v>7</v>
      </c>
      <c r="F394" s="5">
        <v>9</v>
      </c>
      <c r="G394" s="5">
        <v>10</v>
      </c>
      <c r="H394" s="5">
        <v>13</v>
      </c>
    </row>
    <row r="395" spans="1:8">
      <c r="A395" s="5">
        <v>93015</v>
      </c>
      <c r="B395" s="5">
        <v>36</v>
      </c>
      <c r="C395" s="5">
        <v>6</v>
      </c>
      <c r="D395" s="5">
        <v>2</v>
      </c>
      <c r="E395" s="5">
        <v>4</v>
      </c>
      <c r="F395" s="5">
        <v>9</v>
      </c>
      <c r="G395" s="5">
        <v>5</v>
      </c>
      <c r="H395" s="5">
        <v>10</v>
      </c>
    </row>
    <row r="396" spans="1:8">
      <c r="A396" s="5">
        <v>93030</v>
      </c>
      <c r="B396" s="5">
        <v>86</v>
      </c>
      <c r="C396" s="5">
        <v>17</v>
      </c>
      <c r="D396" s="5">
        <v>8</v>
      </c>
      <c r="E396" s="5">
        <v>10</v>
      </c>
      <c r="F396" s="5">
        <v>13</v>
      </c>
      <c r="G396" s="5">
        <v>17</v>
      </c>
      <c r="H396" s="5">
        <v>21</v>
      </c>
    </row>
    <row r="397" spans="1:8">
      <c r="A397" s="5">
        <v>93033</v>
      </c>
      <c r="B397" s="5">
        <v>111</v>
      </c>
      <c r="C397" s="5">
        <v>20</v>
      </c>
      <c r="D397" s="5">
        <v>17</v>
      </c>
      <c r="E397" s="5">
        <v>9</v>
      </c>
      <c r="F397" s="5">
        <v>18</v>
      </c>
      <c r="G397" s="5">
        <v>17</v>
      </c>
      <c r="H397" s="5">
        <v>30</v>
      </c>
    </row>
    <row r="398" spans="1:8">
      <c r="A398" s="5">
        <v>93035</v>
      </c>
      <c r="B398" s="5">
        <v>39</v>
      </c>
      <c r="C398" s="5">
        <v>2</v>
      </c>
      <c r="D398" s="5">
        <v>5</v>
      </c>
      <c r="E398" s="5">
        <v>6</v>
      </c>
      <c r="F398" s="5">
        <v>11</v>
      </c>
      <c r="G398" s="5">
        <v>7</v>
      </c>
      <c r="H398" s="5">
        <v>8</v>
      </c>
    </row>
    <row r="399" spans="1:8">
      <c r="A399" s="5">
        <v>93036</v>
      </c>
      <c r="B399" s="5">
        <v>83</v>
      </c>
      <c r="C399" s="5">
        <v>13</v>
      </c>
      <c r="D399" s="5">
        <v>11</v>
      </c>
      <c r="E399" s="5">
        <v>9</v>
      </c>
      <c r="F399" s="5">
        <v>13</v>
      </c>
      <c r="G399" s="5">
        <v>11</v>
      </c>
      <c r="H399" s="5">
        <v>26</v>
      </c>
    </row>
    <row r="400" spans="1:8">
      <c r="A400" s="5">
        <v>93060</v>
      </c>
      <c r="B400" s="5">
        <v>40</v>
      </c>
      <c r="C400" s="5">
        <v>1</v>
      </c>
      <c r="D400" s="5">
        <v>11</v>
      </c>
      <c r="E400" s="5">
        <v>3</v>
      </c>
      <c r="F400" s="5">
        <v>10</v>
      </c>
      <c r="G400" s="5">
        <v>6</v>
      </c>
      <c r="H400" s="5">
        <v>9</v>
      </c>
    </row>
    <row r="401" spans="1:8">
      <c r="A401" s="5">
        <v>93063</v>
      </c>
      <c r="B401" s="5">
        <v>115</v>
      </c>
      <c r="C401" s="5">
        <v>21</v>
      </c>
      <c r="D401" s="5">
        <v>14</v>
      </c>
      <c r="E401" s="5">
        <v>14</v>
      </c>
      <c r="F401" s="5">
        <v>19</v>
      </c>
      <c r="G401" s="5">
        <v>27</v>
      </c>
      <c r="H401" s="5">
        <v>20</v>
      </c>
    </row>
    <row r="402" spans="1:8">
      <c r="A402" s="5">
        <v>93066</v>
      </c>
      <c r="B402" s="5">
        <v>3</v>
      </c>
      <c r="C402" s="5">
        <v>1</v>
      </c>
      <c r="D402" s="5">
        <v>1</v>
      </c>
      <c r="E402" s="5">
        <v>1</v>
      </c>
      <c r="F402" s="5" t="s">
        <v>177</v>
      </c>
      <c r="G402" s="5" t="s">
        <v>177</v>
      </c>
      <c r="H402" s="5" t="s">
        <v>177</v>
      </c>
    </row>
    <row r="403" spans="1:8">
      <c r="A403" s="5">
        <v>93206</v>
      </c>
      <c r="B403" s="5">
        <v>3</v>
      </c>
      <c r="C403" s="5" t="s">
        <v>177</v>
      </c>
      <c r="D403" s="5">
        <v>1</v>
      </c>
      <c r="E403" s="5" t="s">
        <v>177</v>
      </c>
      <c r="F403" s="5" t="s">
        <v>177</v>
      </c>
      <c r="G403" s="5">
        <v>1</v>
      </c>
      <c r="H403" s="5">
        <v>1</v>
      </c>
    </row>
    <row r="404" spans="1:8">
      <c r="A404" s="5">
        <v>93215</v>
      </c>
      <c r="B404" s="5">
        <v>67</v>
      </c>
      <c r="C404" s="5">
        <v>20</v>
      </c>
      <c r="D404" s="5">
        <v>8</v>
      </c>
      <c r="E404" s="5">
        <v>7</v>
      </c>
      <c r="F404" s="5">
        <v>9</v>
      </c>
      <c r="G404" s="5">
        <v>9</v>
      </c>
      <c r="H404" s="5">
        <v>14</v>
      </c>
    </row>
    <row r="405" spans="1:8">
      <c r="A405" s="5">
        <v>93224</v>
      </c>
      <c r="B405" s="5">
        <v>1</v>
      </c>
      <c r="C405" s="5" t="s">
        <v>177</v>
      </c>
      <c r="D405" s="5" t="s">
        <v>177</v>
      </c>
      <c r="E405" s="5">
        <v>1</v>
      </c>
      <c r="F405" s="5" t="s">
        <v>177</v>
      </c>
      <c r="G405" s="5" t="s">
        <v>177</v>
      </c>
      <c r="H405" s="5" t="s">
        <v>177</v>
      </c>
    </row>
    <row r="406" spans="1:8">
      <c r="A406" s="5">
        <v>93240</v>
      </c>
      <c r="B406" s="5">
        <v>10</v>
      </c>
      <c r="C406" s="5" t="s">
        <v>177</v>
      </c>
      <c r="D406" s="5">
        <v>2</v>
      </c>
      <c r="E406" s="5">
        <v>2</v>
      </c>
      <c r="F406" s="5">
        <v>2</v>
      </c>
      <c r="G406" s="5">
        <v>1</v>
      </c>
      <c r="H406" s="5">
        <v>3</v>
      </c>
    </row>
    <row r="407" spans="1:8">
      <c r="A407" s="5">
        <v>93242</v>
      </c>
      <c r="B407" s="5">
        <v>4</v>
      </c>
      <c r="C407" s="5" t="s">
        <v>177</v>
      </c>
      <c r="D407" s="5">
        <v>1</v>
      </c>
      <c r="E407" s="5">
        <v>1</v>
      </c>
      <c r="F407" s="5">
        <v>1</v>
      </c>
      <c r="G407" s="5" t="s">
        <v>177</v>
      </c>
      <c r="H407" s="5">
        <v>1</v>
      </c>
    </row>
    <row r="408" spans="1:8">
      <c r="A408" s="5">
        <v>93249</v>
      </c>
      <c r="B408" s="5">
        <v>1</v>
      </c>
      <c r="C408" s="5" t="s">
        <v>177</v>
      </c>
      <c r="D408" s="5">
        <v>1</v>
      </c>
      <c r="E408" s="5" t="s">
        <v>177</v>
      </c>
      <c r="F408" s="5" t="s">
        <v>177</v>
      </c>
      <c r="G408" s="5" t="s">
        <v>177</v>
      </c>
      <c r="H408" s="5" t="s">
        <v>177</v>
      </c>
    </row>
    <row r="409" spans="1:8">
      <c r="A409" s="5">
        <v>93250</v>
      </c>
      <c r="B409" s="5">
        <v>19</v>
      </c>
      <c r="C409" s="5">
        <v>4</v>
      </c>
      <c r="D409" s="5">
        <v>2</v>
      </c>
      <c r="E409" s="5">
        <v>2</v>
      </c>
      <c r="F409" s="5">
        <v>3</v>
      </c>
      <c r="G409" s="5">
        <v>1</v>
      </c>
      <c r="H409" s="5">
        <v>7</v>
      </c>
    </row>
    <row r="410" spans="1:8">
      <c r="A410" s="5">
        <v>93263</v>
      </c>
      <c r="B410" s="5">
        <v>31</v>
      </c>
      <c r="C410" s="5">
        <v>6</v>
      </c>
      <c r="D410" s="5">
        <v>6</v>
      </c>
      <c r="E410" s="5">
        <v>2</v>
      </c>
      <c r="F410" s="5">
        <v>7</v>
      </c>
      <c r="G410" s="5">
        <v>4</v>
      </c>
      <c r="H410" s="5">
        <v>6</v>
      </c>
    </row>
    <row r="411" spans="1:8">
      <c r="A411" s="5">
        <v>93268</v>
      </c>
      <c r="B411" s="5">
        <v>23</v>
      </c>
      <c r="C411" s="5">
        <v>2</v>
      </c>
      <c r="D411" s="5">
        <v>7</v>
      </c>
      <c r="E411" s="5">
        <v>3</v>
      </c>
      <c r="F411" s="5">
        <v>1</v>
      </c>
      <c r="G411" s="5">
        <v>6</v>
      </c>
      <c r="H411" s="5">
        <v>4</v>
      </c>
    </row>
    <row r="412" spans="1:8">
      <c r="A412" s="5">
        <v>93280</v>
      </c>
      <c r="B412" s="5">
        <v>29</v>
      </c>
      <c r="C412" s="5">
        <v>3</v>
      </c>
      <c r="D412" s="5">
        <v>5</v>
      </c>
      <c r="E412" s="5">
        <v>4</v>
      </c>
      <c r="F412" s="5">
        <v>3</v>
      </c>
      <c r="G412" s="5">
        <v>6</v>
      </c>
      <c r="H412" s="5">
        <v>8</v>
      </c>
    </row>
    <row r="413" spans="1:8">
      <c r="A413" s="5">
        <v>93285</v>
      </c>
      <c r="B413" s="5">
        <v>5</v>
      </c>
      <c r="C413" s="5" t="s">
        <v>177</v>
      </c>
      <c r="D413" s="5" t="s">
        <v>177</v>
      </c>
      <c r="E413" s="5" t="s">
        <v>177</v>
      </c>
      <c r="F413" s="5" t="s">
        <v>177</v>
      </c>
      <c r="G413" s="5" t="s">
        <v>177</v>
      </c>
      <c r="H413" s="5">
        <v>5</v>
      </c>
    </row>
    <row r="414" spans="1:8">
      <c r="A414" s="5">
        <v>93305</v>
      </c>
      <c r="B414" s="5">
        <v>79</v>
      </c>
      <c r="C414" s="5">
        <v>14</v>
      </c>
      <c r="D414" s="5">
        <v>13</v>
      </c>
      <c r="E414" s="5">
        <v>12</v>
      </c>
      <c r="F414" s="5">
        <v>12</v>
      </c>
      <c r="G414" s="5">
        <v>9</v>
      </c>
      <c r="H414" s="5">
        <v>19</v>
      </c>
    </row>
    <row r="415" spans="1:8">
      <c r="A415" s="5">
        <v>93551</v>
      </c>
      <c r="B415" s="5">
        <v>1</v>
      </c>
      <c r="C415" s="5" t="s">
        <v>177</v>
      </c>
      <c r="D415" s="5" t="s">
        <v>177</v>
      </c>
      <c r="E415" s="5" t="s">
        <v>177</v>
      </c>
      <c r="F415" s="5" t="s">
        <v>177</v>
      </c>
      <c r="G415" s="5" t="s">
        <v>177</v>
      </c>
      <c r="H415" s="5">
        <v>1</v>
      </c>
    </row>
    <row r="416" spans="1:8">
      <c r="A416" s="5">
        <v>93606</v>
      </c>
      <c r="B416" s="5">
        <v>1</v>
      </c>
      <c r="C416" s="5" t="s">
        <v>177</v>
      </c>
      <c r="D416" s="5" t="s">
        <v>177</v>
      </c>
      <c r="E416" s="5" t="s">
        <v>177</v>
      </c>
      <c r="F416" s="5" t="s">
        <v>177</v>
      </c>
      <c r="G416" s="5" t="s">
        <v>177</v>
      </c>
      <c r="H416" s="5">
        <v>1</v>
      </c>
    </row>
    <row r="417" spans="1:8">
      <c r="A417" s="5">
        <v>93608</v>
      </c>
      <c r="B417" s="5">
        <v>4</v>
      </c>
      <c r="C417" s="5" t="s">
        <v>177</v>
      </c>
      <c r="D417" s="5">
        <v>2</v>
      </c>
      <c r="E417" s="5" t="s">
        <v>177</v>
      </c>
      <c r="F417" s="5">
        <v>1</v>
      </c>
      <c r="G417" s="5">
        <v>1</v>
      </c>
      <c r="H417" s="5" t="s">
        <v>177</v>
      </c>
    </row>
    <row r="418" spans="1:8">
      <c r="A418" s="5">
        <v>93609</v>
      </c>
      <c r="B418" s="5">
        <v>2</v>
      </c>
      <c r="C418" s="5" t="s">
        <v>177</v>
      </c>
      <c r="D418" s="5" t="s">
        <v>177</v>
      </c>
      <c r="E418" s="5" t="s">
        <v>177</v>
      </c>
      <c r="F418" s="5">
        <v>1</v>
      </c>
      <c r="G418" s="5" t="s">
        <v>177</v>
      </c>
      <c r="H418" s="5">
        <v>1</v>
      </c>
    </row>
    <row r="419" spans="1:8">
      <c r="A419" s="5">
        <v>93610</v>
      </c>
      <c r="B419" s="5">
        <v>18</v>
      </c>
      <c r="C419" s="5">
        <v>2</v>
      </c>
      <c r="D419" s="5">
        <v>1</v>
      </c>
      <c r="E419" s="5">
        <v>4</v>
      </c>
      <c r="F419" s="5">
        <v>4</v>
      </c>
      <c r="G419" s="5">
        <v>3</v>
      </c>
      <c r="H419" s="5">
        <v>4</v>
      </c>
    </row>
    <row r="420" spans="1:8">
      <c r="A420" s="5">
        <v>93611</v>
      </c>
      <c r="B420" s="5">
        <v>62</v>
      </c>
      <c r="C420" s="5">
        <v>13</v>
      </c>
      <c r="D420" s="5">
        <v>13</v>
      </c>
      <c r="E420" s="5">
        <v>7</v>
      </c>
      <c r="F420" s="5">
        <v>10</v>
      </c>
      <c r="G420" s="5">
        <v>7</v>
      </c>
      <c r="H420" s="5">
        <v>12</v>
      </c>
    </row>
    <row r="421" spans="1:8">
      <c r="A421" s="5">
        <v>93612</v>
      </c>
      <c r="B421" s="5">
        <v>49</v>
      </c>
      <c r="C421" s="5">
        <v>5</v>
      </c>
      <c r="D421" s="5">
        <v>6</v>
      </c>
      <c r="E421" s="5">
        <v>5</v>
      </c>
      <c r="F421" s="5">
        <v>11</v>
      </c>
      <c r="G421" s="5">
        <v>6</v>
      </c>
      <c r="H421" s="5">
        <v>16</v>
      </c>
    </row>
    <row r="422" spans="1:8">
      <c r="A422" s="5">
        <v>93616</v>
      </c>
      <c r="B422" s="5">
        <v>2</v>
      </c>
      <c r="C422" s="5">
        <v>1</v>
      </c>
      <c r="D422" s="5" t="s">
        <v>177</v>
      </c>
      <c r="E422" s="5" t="s">
        <v>177</v>
      </c>
      <c r="F422" s="5" t="s">
        <v>177</v>
      </c>
      <c r="G422" s="5">
        <v>1</v>
      </c>
      <c r="H422" s="5" t="s">
        <v>177</v>
      </c>
    </row>
    <row r="423" spans="1:8">
      <c r="A423" s="5">
        <v>93618</v>
      </c>
      <c r="B423" s="5">
        <v>61</v>
      </c>
      <c r="C423" s="5">
        <v>7</v>
      </c>
      <c r="D423" s="5">
        <v>12</v>
      </c>
      <c r="E423" s="5">
        <v>6</v>
      </c>
      <c r="F423" s="5">
        <v>13</v>
      </c>
      <c r="G423" s="5">
        <v>10</v>
      </c>
      <c r="H423" s="5">
        <v>13</v>
      </c>
    </row>
    <row r="424" spans="1:8">
      <c r="A424" s="5">
        <v>93619</v>
      </c>
      <c r="B424" s="5">
        <v>72</v>
      </c>
      <c r="C424" s="5">
        <v>15</v>
      </c>
      <c r="D424" s="5">
        <v>6</v>
      </c>
      <c r="E424" s="5">
        <v>5</v>
      </c>
      <c r="F424" s="5">
        <v>12</v>
      </c>
      <c r="G424" s="5">
        <v>10</v>
      </c>
      <c r="H424" s="5">
        <v>24</v>
      </c>
    </row>
    <row r="425" spans="1:8">
      <c r="A425" s="5">
        <v>93620</v>
      </c>
      <c r="B425" s="5">
        <v>14</v>
      </c>
      <c r="C425" s="5" t="s">
        <v>177</v>
      </c>
      <c r="D425" s="5">
        <v>3</v>
      </c>
      <c r="E425" s="5" t="s">
        <v>177</v>
      </c>
      <c r="F425" s="5">
        <v>8</v>
      </c>
      <c r="G425" s="5">
        <v>1</v>
      </c>
      <c r="H425" s="5">
        <v>2</v>
      </c>
    </row>
    <row r="426" spans="1:8">
      <c r="A426" s="5">
        <v>93622</v>
      </c>
      <c r="B426" s="5">
        <v>10</v>
      </c>
      <c r="C426" s="5">
        <v>1</v>
      </c>
      <c r="D426" s="5">
        <v>1</v>
      </c>
      <c r="E426" s="5" t="s">
        <v>177</v>
      </c>
      <c r="F426" s="5">
        <v>3</v>
      </c>
      <c r="G426" s="5">
        <v>3</v>
      </c>
      <c r="H426" s="5">
        <v>2</v>
      </c>
    </row>
    <row r="427" spans="1:8">
      <c r="A427" s="5">
        <v>93625</v>
      </c>
      <c r="B427" s="5">
        <v>13</v>
      </c>
      <c r="C427" s="5">
        <v>2</v>
      </c>
      <c r="D427" s="5">
        <v>2</v>
      </c>
      <c r="E427" s="5">
        <v>2</v>
      </c>
      <c r="F427" s="5">
        <v>1</v>
      </c>
      <c r="G427" s="5">
        <v>3</v>
      </c>
      <c r="H427" s="5">
        <v>3</v>
      </c>
    </row>
    <row r="428" spans="1:8">
      <c r="A428" s="5">
        <v>93626</v>
      </c>
      <c r="B428" s="5">
        <v>4</v>
      </c>
      <c r="C428" s="5" t="s">
        <v>177</v>
      </c>
      <c r="D428" s="5">
        <v>2</v>
      </c>
      <c r="E428" s="5" t="s">
        <v>177</v>
      </c>
      <c r="F428" s="5" t="s">
        <v>177</v>
      </c>
      <c r="G428" s="5" t="s">
        <v>177</v>
      </c>
      <c r="H428" s="5">
        <v>2</v>
      </c>
    </row>
    <row r="429" spans="1:8">
      <c r="A429" s="5">
        <v>93631</v>
      </c>
      <c r="B429" s="5">
        <v>14</v>
      </c>
      <c r="C429" s="5">
        <v>2</v>
      </c>
      <c r="D429" s="5">
        <v>2</v>
      </c>
      <c r="E429" s="5">
        <v>2</v>
      </c>
      <c r="F429" s="5">
        <v>2</v>
      </c>
      <c r="G429" s="5">
        <v>2</v>
      </c>
      <c r="H429" s="5">
        <v>4</v>
      </c>
    </row>
    <row r="430" spans="1:8">
      <c r="A430" s="5">
        <v>93635</v>
      </c>
      <c r="B430" s="5">
        <v>85</v>
      </c>
      <c r="C430" s="5">
        <v>14</v>
      </c>
      <c r="D430" s="5">
        <v>13</v>
      </c>
      <c r="E430" s="5">
        <v>4</v>
      </c>
      <c r="F430" s="5">
        <v>15</v>
      </c>
      <c r="G430" s="5">
        <v>12</v>
      </c>
      <c r="H430" s="5">
        <v>27</v>
      </c>
    </row>
    <row r="431" spans="1:8">
      <c r="A431" s="5">
        <v>93636</v>
      </c>
      <c r="B431" s="5">
        <v>28</v>
      </c>
      <c r="C431" s="5">
        <v>4</v>
      </c>
      <c r="D431" s="5">
        <v>1</v>
      </c>
      <c r="E431" s="5">
        <v>4</v>
      </c>
      <c r="F431" s="5">
        <v>5</v>
      </c>
      <c r="G431" s="5">
        <v>4</v>
      </c>
      <c r="H431" s="5">
        <v>10</v>
      </c>
    </row>
    <row r="432" spans="1:8">
      <c r="A432" s="5">
        <v>93637</v>
      </c>
      <c r="B432" s="5">
        <v>50</v>
      </c>
      <c r="C432" s="5">
        <v>4</v>
      </c>
      <c r="D432" s="5">
        <v>9</v>
      </c>
      <c r="E432" s="5">
        <v>4</v>
      </c>
      <c r="F432" s="5">
        <v>12</v>
      </c>
      <c r="G432" s="5">
        <v>8</v>
      </c>
      <c r="H432" s="5">
        <v>13</v>
      </c>
    </row>
    <row r="433" spans="1:8">
      <c r="A433" s="5">
        <v>93638</v>
      </c>
      <c r="B433" s="5">
        <v>74</v>
      </c>
      <c r="C433" s="5">
        <v>7</v>
      </c>
      <c r="D433" s="5">
        <v>13</v>
      </c>
      <c r="E433" s="5">
        <v>11</v>
      </c>
      <c r="F433" s="5">
        <v>16</v>
      </c>
      <c r="G433" s="5">
        <v>11</v>
      </c>
      <c r="H433" s="5">
        <v>16</v>
      </c>
    </row>
    <row r="434" spans="1:8">
      <c r="A434" s="5">
        <v>93640</v>
      </c>
      <c r="B434" s="5">
        <v>12</v>
      </c>
      <c r="C434" s="5" t="s">
        <v>177</v>
      </c>
      <c r="D434" s="5">
        <v>1</v>
      </c>
      <c r="E434" s="5">
        <v>3</v>
      </c>
      <c r="F434" s="5" t="s">
        <v>177</v>
      </c>
      <c r="G434" s="5">
        <v>5</v>
      </c>
      <c r="H434" s="5">
        <v>3</v>
      </c>
    </row>
    <row r="435" spans="1:8">
      <c r="A435" s="5">
        <v>93646</v>
      </c>
      <c r="B435" s="5">
        <v>10</v>
      </c>
      <c r="C435" s="5">
        <v>1</v>
      </c>
      <c r="D435" s="5">
        <v>3</v>
      </c>
      <c r="E435" s="5" t="s">
        <v>177</v>
      </c>
      <c r="F435" s="5">
        <v>2</v>
      </c>
      <c r="G435" s="5" t="s">
        <v>177</v>
      </c>
      <c r="H435" s="5">
        <v>4</v>
      </c>
    </row>
    <row r="436" spans="1:8">
      <c r="A436" s="5">
        <v>93647</v>
      </c>
      <c r="B436" s="5">
        <v>18</v>
      </c>
      <c r="C436" s="5">
        <v>2</v>
      </c>
      <c r="D436" s="5">
        <v>5</v>
      </c>
      <c r="E436" s="5">
        <v>2</v>
      </c>
      <c r="F436" s="5">
        <v>1</v>
      </c>
      <c r="G436" s="5">
        <v>4</v>
      </c>
      <c r="H436" s="5">
        <v>4</v>
      </c>
    </row>
    <row r="437" spans="1:8">
      <c r="A437" s="5">
        <v>93648</v>
      </c>
      <c r="B437" s="5">
        <v>14</v>
      </c>
      <c r="C437" s="5">
        <v>3</v>
      </c>
      <c r="D437" s="5">
        <v>1</v>
      </c>
      <c r="E437" s="5">
        <v>2</v>
      </c>
      <c r="F437" s="5">
        <v>3</v>
      </c>
      <c r="G437" s="5">
        <v>3</v>
      </c>
      <c r="H437" s="5">
        <v>2</v>
      </c>
    </row>
    <row r="438" spans="1:8">
      <c r="A438" s="5">
        <v>93650</v>
      </c>
      <c r="B438" s="5">
        <v>11</v>
      </c>
      <c r="C438" s="5">
        <v>2</v>
      </c>
      <c r="D438" s="5">
        <v>2</v>
      </c>
      <c r="E438" s="5">
        <v>1</v>
      </c>
      <c r="F438" s="5">
        <v>3</v>
      </c>
      <c r="G438" s="5" t="s">
        <v>177</v>
      </c>
      <c r="H438" s="5">
        <v>3</v>
      </c>
    </row>
    <row r="439" spans="1:8">
      <c r="A439" s="5">
        <v>93654</v>
      </c>
      <c r="B439" s="5">
        <v>47</v>
      </c>
      <c r="C439" s="5">
        <v>10</v>
      </c>
      <c r="D439" s="5">
        <v>4</v>
      </c>
      <c r="E439" s="5">
        <v>4</v>
      </c>
      <c r="F439" s="5">
        <v>10</v>
      </c>
      <c r="G439" s="5">
        <v>7</v>
      </c>
      <c r="H439" s="5">
        <v>12</v>
      </c>
    </row>
    <row r="440" spans="1:8">
      <c r="A440" s="5">
        <v>93656</v>
      </c>
      <c r="B440" s="5">
        <v>3</v>
      </c>
      <c r="C440" s="5" t="s">
        <v>177</v>
      </c>
      <c r="D440" s="5">
        <v>1</v>
      </c>
      <c r="E440" s="5" t="s">
        <v>177</v>
      </c>
      <c r="F440" s="5" t="s">
        <v>177</v>
      </c>
      <c r="G440" s="5" t="s">
        <v>177</v>
      </c>
      <c r="H440" s="5">
        <v>2</v>
      </c>
    </row>
    <row r="441" spans="1:8">
      <c r="A441" s="5">
        <v>93657</v>
      </c>
      <c r="B441" s="5">
        <v>34</v>
      </c>
      <c r="C441" s="5">
        <v>6</v>
      </c>
      <c r="D441" s="5">
        <v>6</v>
      </c>
      <c r="E441" s="5">
        <v>3</v>
      </c>
      <c r="F441" s="5">
        <v>7</v>
      </c>
      <c r="G441" s="5">
        <v>4</v>
      </c>
      <c r="H441" s="5">
        <v>8</v>
      </c>
    </row>
    <row r="442" spans="1:8">
      <c r="A442" s="5">
        <v>93662</v>
      </c>
      <c r="B442" s="5">
        <v>41</v>
      </c>
      <c r="C442" s="5">
        <v>5</v>
      </c>
      <c r="D442" s="5">
        <v>6</v>
      </c>
      <c r="E442" s="5">
        <v>2</v>
      </c>
      <c r="F442" s="5">
        <v>10</v>
      </c>
      <c r="G442" s="5">
        <v>8</v>
      </c>
      <c r="H442" s="5">
        <v>10</v>
      </c>
    </row>
    <row r="443" spans="1:8">
      <c r="A443" s="5">
        <v>93701</v>
      </c>
      <c r="B443" s="5">
        <v>30</v>
      </c>
      <c r="C443" s="5">
        <v>3</v>
      </c>
      <c r="D443" s="5">
        <v>5</v>
      </c>
      <c r="E443" s="5">
        <v>2</v>
      </c>
      <c r="F443" s="5">
        <v>12</v>
      </c>
      <c r="G443" s="5">
        <v>2</v>
      </c>
      <c r="H443" s="5">
        <v>6</v>
      </c>
    </row>
    <row r="444" spans="1:8">
      <c r="A444" s="5">
        <v>93702</v>
      </c>
      <c r="B444" s="5">
        <v>88</v>
      </c>
      <c r="C444" s="5">
        <v>17</v>
      </c>
      <c r="D444" s="5">
        <v>14</v>
      </c>
      <c r="E444" s="5">
        <v>10</v>
      </c>
      <c r="F444" s="5">
        <v>18</v>
      </c>
      <c r="G444" s="5">
        <v>12</v>
      </c>
      <c r="H444" s="5">
        <v>17</v>
      </c>
    </row>
    <row r="445" spans="1:8">
      <c r="A445" s="5">
        <v>93703</v>
      </c>
      <c r="B445" s="5">
        <v>46</v>
      </c>
      <c r="C445" s="5">
        <v>7</v>
      </c>
      <c r="D445" s="5">
        <v>5</v>
      </c>
      <c r="E445" s="5">
        <v>2</v>
      </c>
      <c r="F445" s="5">
        <v>11</v>
      </c>
      <c r="G445" s="5">
        <v>4</v>
      </c>
      <c r="H445" s="5">
        <v>17</v>
      </c>
    </row>
    <row r="446" spans="1:8">
      <c r="A446" s="5">
        <v>93704</v>
      </c>
      <c r="B446" s="5">
        <v>44</v>
      </c>
      <c r="C446" s="5">
        <v>6</v>
      </c>
      <c r="D446" s="5">
        <v>13</v>
      </c>
      <c r="E446" s="5">
        <v>4</v>
      </c>
      <c r="F446" s="5">
        <v>10</v>
      </c>
      <c r="G446" s="5">
        <v>4</v>
      </c>
      <c r="H446" s="5">
        <v>7</v>
      </c>
    </row>
    <row r="447" spans="1:8">
      <c r="A447" s="5">
        <v>93705</v>
      </c>
      <c r="B447" s="5">
        <v>63</v>
      </c>
      <c r="C447" s="5">
        <v>13</v>
      </c>
      <c r="D447" s="5">
        <v>6</v>
      </c>
      <c r="E447" s="5">
        <v>9</v>
      </c>
      <c r="F447" s="5">
        <v>15</v>
      </c>
      <c r="G447" s="5">
        <v>11</v>
      </c>
      <c r="H447" s="5">
        <v>9</v>
      </c>
    </row>
    <row r="448" spans="1:8">
      <c r="A448" s="5">
        <v>93706</v>
      </c>
      <c r="B448" s="5">
        <v>39</v>
      </c>
      <c r="C448" s="5">
        <v>6</v>
      </c>
      <c r="D448" s="5">
        <v>6</v>
      </c>
      <c r="E448" s="5">
        <v>5</v>
      </c>
      <c r="F448" s="5">
        <v>9</v>
      </c>
      <c r="G448" s="5">
        <v>4</v>
      </c>
      <c r="H448" s="5">
        <v>9</v>
      </c>
    </row>
    <row r="449" spans="1:8">
      <c r="A449" s="5">
        <v>93710</v>
      </c>
      <c r="B449" s="5">
        <v>42</v>
      </c>
      <c r="C449" s="5">
        <v>4</v>
      </c>
      <c r="D449" s="5">
        <v>10</v>
      </c>
      <c r="E449" s="5">
        <v>2</v>
      </c>
      <c r="F449" s="5">
        <v>10</v>
      </c>
      <c r="G449" s="5">
        <v>4</v>
      </c>
      <c r="H449" s="5">
        <v>12</v>
      </c>
    </row>
    <row r="450" spans="1:8">
      <c r="A450" s="5">
        <v>93711</v>
      </c>
      <c r="B450" s="5">
        <v>52</v>
      </c>
      <c r="C450" s="5">
        <v>9</v>
      </c>
      <c r="D450" s="5">
        <v>7</v>
      </c>
      <c r="E450" s="5">
        <v>7</v>
      </c>
      <c r="F450" s="5">
        <v>10</v>
      </c>
      <c r="G450" s="5">
        <v>7</v>
      </c>
      <c r="H450" s="5">
        <v>12</v>
      </c>
    </row>
    <row r="451" spans="1:8">
      <c r="A451" s="5">
        <v>93720</v>
      </c>
      <c r="B451" s="5">
        <v>81</v>
      </c>
      <c r="C451" s="5">
        <v>12</v>
      </c>
      <c r="D451" s="5">
        <v>10</v>
      </c>
      <c r="E451" s="5">
        <v>10</v>
      </c>
      <c r="F451" s="5">
        <v>21</v>
      </c>
      <c r="G451" s="5">
        <v>10</v>
      </c>
      <c r="H451" s="5">
        <v>18</v>
      </c>
    </row>
    <row r="452" spans="1:8">
      <c r="A452" s="5">
        <v>93721</v>
      </c>
      <c r="B452" s="5">
        <v>7</v>
      </c>
      <c r="C452" s="5">
        <v>1</v>
      </c>
      <c r="D452" s="5" t="s">
        <v>177</v>
      </c>
      <c r="E452" s="5" t="s">
        <v>177</v>
      </c>
      <c r="F452" s="5">
        <v>3</v>
      </c>
      <c r="G452" s="5">
        <v>1</v>
      </c>
      <c r="H452" s="5">
        <v>2</v>
      </c>
    </row>
    <row r="453" spans="1:8">
      <c r="A453" s="5">
        <v>93722</v>
      </c>
      <c r="B453" s="5">
        <v>123</v>
      </c>
      <c r="C453" s="5">
        <v>15</v>
      </c>
      <c r="D453" s="5">
        <v>26</v>
      </c>
      <c r="E453" s="5">
        <v>15</v>
      </c>
      <c r="F453" s="5">
        <v>27</v>
      </c>
      <c r="G453" s="5">
        <v>13</v>
      </c>
      <c r="H453" s="5">
        <v>27</v>
      </c>
    </row>
    <row r="454" spans="1:8">
      <c r="A454" s="5">
        <v>93723</v>
      </c>
      <c r="B454" s="5">
        <v>23</v>
      </c>
      <c r="C454" s="5">
        <v>1</v>
      </c>
      <c r="D454" s="5">
        <v>4</v>
      </c>
      <c r="E454" s="5">
        <v>5</v>
      </c>
      <c r="F454" s="5">
        <v>5</v>
      </c>
      <c r="G454" s="5">
        <v>4</v>
      </c>
      <c r="H454" s="5">
        <v>4</v>
      </c>
    </row>
    <row r="455" spans="1:8">
      <c r="A455" s="5">
        <v>93725</v>
      </c>
      <c r="B455" s="5">
        <v>43</v>
      </c>
      <c r="C455" s="5">
        <v>7</v>
      </c>
      <c r="D455" s="5">
        <v>11</v>
      </c>
      <c r="E455" s="5">
        <v>8</v>
      </c>
      <c r="F455" s="5">
        <v>7</v>
      </c>
      <c r="G455" s="5">
        <v>6</v>
      </c>
      <c r="H455" s="5">
        <v>4</v>
      </c>
    </row>
    <row r="456" spans="1:8">
      <c r="A456" s="5">
        <v>93726</v>
      </c>
      <c r="B456" s="5">
        <v>67</v>
      </c>
      <c r="C456" s="5">
        <v>11</v>
      </c>
      <c r="D456" s="5">
        <v>12</v>
      </c>
      <c r="E456" s="5">
        <v>6</v>
      </c>
      <c r="F456" s="5">
        <v>15</v>
      </c>
      <c r="G456" s="5">
        <v>7</v>
      </c>
      <c r="H456" s="5">
        <v>16</v>
      </c>
    </row>
    <row r="457" spans="1:8">
      <c r="A457" s="5">
        <v>93727</v>
      </c>
      <c r="B457" s="5">
        <v>147</v>
      </c>
      <c r="C457" s="5">
        <v>21</v>
      </c>
      <c r="D457" s="5">
        <v>17</v>
      </c>
      <c r="E457" s="5">
        <v>16</v>
      </c>
      <c r="F457" s="5">
        <v>37</v>
      </c>
      <c r="G457" s="5">
        <v>12</v>
      </c>
      <c r="H457" s="5">
        <v>44</v>
      </c>
    </row>
    <row r="458" spans="1:8">
      <c r="A458" s="5">
        <v>93728</v>
      </c>
      <c r="B458" s="5">
        <v>31</v>
      </c>
      <c r="C458" s="5">
        <v>3</v>
      </c>
      <c r="D458" s="5">
        <v>9</v>
      </c>
      <c r="E458" s="5">
        <v>1</v>
      </c>
      <c r="F458" s="5">
        <v>6</v>
      </c>
      <c r="G458" s="5">
        <v>5</v>
      </c>
      <c r="H458" s="5">
        <v>7</v>
      </c>
    </row>
    <row r="459" spans="1:8">
      <c r="A459" s="5">
        <v>93730</v>
      </c>
      <c r="B459" s="5">
        <v>19</v>
      </c>
      <c r="C459" s="5">
        <v>1</v>
      </c>
      <c r="D459" s="5">
        <v>1</v>
      </c>
      <c r="E459" s="5">
        <v>3</v>
      </c>
      <c r="F459" s="5">
        <v>2</v>
      </c>
      <c r="G459" s="5">
        <v>4</v>
      </c>
      <c r="H459" s="5">
        <v>8</v>
      </c>
    </row>
    <row r="460" spans="1:8">
      <c r="A460" s="5">
        <v>93737</v>
      </c>
      <c r="B460" s="5">
        <v>17</v>
      </c>
      <c r="C460" s="5">
        <v>5</v>
      </c>
      <c r="D460" s="5">
        <v>4</v>
      </c>
      <c r="E460" s="5" t="s">
        <v>177</v>
      </c>
      <c r="F460" s="5">
        <v>3</v>
      </c>
      <c r="G460" s="5">
        <v>1</v>
      </c>
      <c r="H460" s="5">
        <v>4</v>
      </c>
    </row>
    <row r="461" spans="1:8">
      <c r="A461" s="5">
        <v>93901</v>
      </c>
      <c r="B461" s="5">
        <v>23</v>
      </c>
      <c r="C461" s="5">
        <v>4</v>
      </c>
      <c r="D461" s="5">
        <v>5</v>
      </c>
      <c r="E461" s="5">
        <v>2</v>
      </c>
      <c r="F461" s="5">
        <v>4</v>
      </c>
      <c r="G461" s="5">
        <v>2</v>
      </c>
      <c r="H461" s="5">
        <v>6</v>
      </c>
    </row>
    <row r="462" spans="1:8">
      <c r="A462" s="5">
        <v>93905</v>
      </c>
      <c r="B462" s="5">
        <v>93</v>
      </c>
      <c r="C462" s="5">
        <v>15</v>
      </c>
      <c r="D462" s="5">
        <v>13</v>
      </c>
      <c r="E462" s="5">
        <v>11</v>
      </c>
      <c r="F462" s="5">
        <v>21</v>
      </c>
      <c r="G462" s="5">
        <v>13</v>
      </c>
      <c r="H462" s="5">
        <v>20</v>
      </c>
    </row>
    <row r="463" spans="1:8">
      <c r="A463" s="5">
        <v>93906</v>
      </c>
      <c r="B463" s="5">
        <v>98</v>
      </c>
      <c r="C463" s="5">
        <v>19</v>
      </c>
      <c r="D463" s="5">
        <v>11</v>
      </c>
      <c r="E463" s="5">
        <v>7</v>
      </c>
      <c r="F463" s="5">
        <v>29</v>
      </c>
      <c r="G463" s="5">
        <v>10</v>
      </c>
      <c r="H463" s="5">
        <v>22</v>
      </c>
    </row>
    <row r="464" spans="1:8">
      <c r="A464" s="5">
        <v>93907</v>
      </c>
      <c r="B464" s="5">
        <v>18</v>
      </c>
      <c r="C464" s="5">
        <v>5</v>
      </c>
      <c r="D464" s="5">
        <v>3</v>
      </c>
      <c r="E464" s="5" t="s">
        <v>177</v>
      </c>
      <c r="F464" s="5" t="s">
        <v>177</v>
      </c>
      <c r="G464" s="5">
        <v>3</v>
      </c>
      <c r="H464" s="5">
        <v>7</v>
      </c>
    </row>
    <row r="465" spans="1:8">
      <c r="A465" s="5">
        <v>93921</v>
      </c>
      <c r="B465" s="5">
        <v>2</v>
      </c>
      <c r="C465" s="5">
        <v>1</v>
      </c>
      <c r="D465" s="5" t="s">
        <v>177</v>
      </c>
      <c r="E465" s="5" t="s">
        <v>177</v>
      </c>
      <c r="F465" s="5" t="s">
        <v>177</v>
      </c>
      <c r="G465" s="5" t="s">
        <v>177</v>
      </c>
      <c r="H465" s="5">
        <v>1</v>
      </c>
    </row>
    <row r="466" spans="1:8">
      <c r="A466" s="5">
        <v>93923</v>
      </c>
      <c r="B466" s="5">
        <v>26</v>
      </c>
      <c r="C466" s="5">
        <v>3</v>
      </c>
      <c r="D466" s="5">
        <v>4</v>
      </c>
      <c r="E466" s="5">
        <v>5</v>
      </c>
      <c r="F466" s="5">
        <v>5</v>
      </c>
      <c r="G466" s="5">
        <v>1</v>
      </c>
      <c r="H466" s="5">
        <v>8</v>
      </c>
    </row>
    <row r="467" spans="1:8">
      <c r="A467" s="5">
        <v>93933</v>
      </c>
      <c r="B467" s="5">
        <v>46</v>
      </c>
      <c r="C467" s="5">
        <v>7</v>
      </c>
      <c r="D467" s="5">
        <v>8</v>
      </c>
      <c r="E467" s="5">
        <v>7</v>
      </c>
      <c r="F467" s="5">
        <v>12</v>
      </c>
      <c r="G467" s="5">
        <v>7</v>
      </c>
      <c r="H467" s="5">
        <v>5</v>
      </c>
    </row>
    <row r="468" spans="1:8">
      <c r="A468" s="5">
        <v>93940</v>
      </c>
      <c r="B468" s="5">
        <v>34</v>
      </c>
      <c r="C468" s="5">
        <v>5</v>
      </c>
      <c r="D468" s="5">
        <v>6</v>
      </c>
      <c r="E468" s="5">
        <v>1</v>
      </c>
      <c r="F468" s="5">
        <v>10</v>
      </c>
      <c r="G468" s="5">
        <v>5</v>
      </c>
      <c r="H468" s="5">
        <v>7</v>
      </c>
    </row>
    <row r="469" spans="1:8">
      <c r="A469" s="5">
        <v>93950</v>
      </c>
      <c r="B469" s="5">
        <v>19</v>
      </c>
      <c r="C469" s="5">
        <v>3</v>
      </c>
      <c r="D469" s="5">
        <v>3</v>
      </c>
      <c r="E469" s="5">
        <v>2</v>
      </c>
      <c r="F469" s="5">
        <v>2</v>
      </c>
      <c r="G469" s="5">
        <v>1</v>
      </c>
      <c r="H469" s="5">
        <v>8</v>
      </c>
    </row>
    <row r="470" spans="1:8">
      <c r="A470" s="5">
        <v>93953</v>
      </c>
      <c r="B470" s="5">
        <v>7</v>
      </c>
      <c r="C470" s="5">
        <v>2</v>
      </c>
      <c r="D470" s="5">
        <v>2</v>
      </c>
      <c r="E470" s="5" t="s">
        <v>177</v>
      </c>
      <c r="F470" s="5">
        <v>3</v>
      </c>
      <c r="G470" s="5" t="s">
        <v>177</v>
      </c>
      <c r="H470" s="5" t="s">
        <v>177</v>
      </c>
    </row>
    <row r="471" spans="1:8">
      <c r="A471" s="5">
        <v>93955</v>
      </c>
      <c r="B471" s="5">
        <v>49</v>
      </c>
      <c r="C471" s="5">
        <v>9</v>
      </c>
      <c r="D471" s="5">
        <v>2</v>
      </c>
      <c r="E471" s="5">
        <v>2</v>
      </c>
      <c r="F471" s="5">
        <v>10</v>
      </c>
      <c r="G471" s="5">
        <v>6</v>
      </c>
      <c r="H471" s="5">
        <v>20</v>
      </c>
    </row>
    <row r="472" spans="1:8">
      <c r="A472" s="5">
        <v>94002</v>
      </c>
      <c r="B472" s="5">
        <v>87</v>
      </c>
      <c r="C472" s="5">
        <v>13</v>
      </c>
      <c r="D472" s="5">
        <v>27</v>
      </c>
      <c r="E472" s="5">
        <v>4</v>
      </c>
      <c r="F472" s="5">
        <v>13</v>
      </c>
      <c r="G472" s="5">
        <v>16</v>
      </c>
      <c r="H472" s="5">
        <v>14</v>
      </c>
    </row>
    <row r="473" spans="1:8">
      <c r="A473" s="5">
        <v>94005</v>
      </c>
      <c r="B473" s="5">
        <v>14</v>
      </c>
      <c r="C473" s="5">
        <v>4</v>
      </c>
      <c r="D473" s="5">
        <v>4</v>
      </c>
      <c r="E473" s="5">
        <v>2</v>
      </c>
      <c r="F473" s="5">
        <v>1</v>
      </c>
      <c r="G473" s="5" t="s">
        <v>177</v>
      </c>
      <c r="H473" s="5">
        <v>3</v>
      </c>
    </row>
    <row r="474" spans="1:8">
      <c r="A474" s="5">
        <v>94010</v>
      </c>
      <c r="B474" s="5">
        <v>81</v>
      </c>
      <c r="C474" s="5">
        <v>18</v>
      </c>
      <c r="D474" s="5">
        <v>10</v>
      </c>
      <c r="E474" s="5">
        <v>4</v>
      </c>
      <c r="F474" s="5">
        <v>27</v>
      </c>
      <c r="G474" s="5">
        <v>7</v>
      </c>
      <c r="H474" s="5">
        <v>15</v>
      </c>
    </row>
    <row r="475" spans="1:8">
      <c r="A475" s="5">
        <v>94014</v>
      </c>
      <c r="B475" s="5">
        <v>126</v>
      </c>
      <c r="C475" s="5">
        <v>23</v>
      </c>
      <c r="D475" s="5">
        <v>14</v>
      </c>
      <c r="E475" s="5">
        <v>19</v>
      </c>
      <c r="F475" s="5">
        <v>27</v>
      </c>
      <c r="G475" s="5">
        <v>12</v>
      </c>
      <c r="H475" s="5">
        <v>31</v>
      </c>
    </row>
    <row r="476" spans="1:8">
      <c r="A476" s="5">
        <v>94015</v>
      </c>
      <c r="B476" s="5">
        <v>199</v>
      </c>
      <c r="C476" s="5">
        <v>32</v>
      </c>
      <c r="D476" s="5">
        <v>32</v>
      </c>
      <c r="E476" s="5">
        <v>15</v>
      </c>
      <c r="F476" s="5">
        <v>41</v>
      </c>
      <c r="G476" s="5">
        <v>20</v>
      </c>
      <c r="H476" s="5">
        <v>59</v>
      </c>
    </row>
    <row r="477" spans="1:8">
      <c r="A477" s="5">
        <v>94022</v>
      </c>
      <c r="B477" s="5">
        <v>31</v>
      </c>
      <c r="C477" s="5">
        <v>3</v>
      </c>
      <c r="D477" s="5">
        <v>5</v>
      </c>
      <c r="E477" s="5">
        <v>2</v>
      </c>
      <c r="F477" s="5">
        <v>7</v>
      </c>
      <c r="G477" s="5">
        <v>4</v>
      </c>
      <c r="H477" s="5">
        <v>10</v>
      </c>
    </row>
    <row r="478" spans="1:8">
      <c r="A478" s="5">
        <v>94024</v>
      </c>
      <c r="B478" s="5">
        <v>42</v>
      </c>
      <c r="C478" s="5">
        <v>8</v>
      </c>
      <c r="D478" s="5">
        <v>8</v>
      </c>
      <c r="E478" s="5">
        <v>2</v>
      </c>
      <c r="F478" s="5">
        <v>13</v>
      </c>
      <c r="G478" s="5">
        <v>7</v>
      </c>
      <c r="H478" s="5">
        <v>4</v>
      </c>
    </row>
    <row r="479" spans="1:8">
      <c r="A479" s="5">
        <v>94025</v>
      </c>
      <c r="B479" s="5">
        <v>60</v>
      </c>
      <c r="C479" s="5">
        <v>8</v>
      </c>
      <c r="D479" s="5">
        <v>7</v>
      </c>
      <c r="E479" s="5">
        <v>3</v>
      </c>
      <c r="F479" s="5">
        <v>16</v>
      </c>
      <c r="G479" s="5">
        <v>6</v>
      </c>
      <c r="H479" s="5">
        <v>20</v>
      </c>
    </row>
    <row r="480" spans="1:8">
      <c r="A480" s="5">
        <v>94027</v>
      </c>
      <c r="B480" s="5">
        <v>6</v>
      </c>
      <c r="C480" s="5">
        <v>1</v>
      </c>
      <c r="D480" s="5">
        <v>2</v>
      </c>
      <c r="E480" s="5">
        <v>1</v>
      </c>
      <c r="F480" s="5" t="s">
        <v>177</v>
      </c>
      <c r="G480" s="5" t="s">
        <v>177</v>
      </c>
      <c r="H480" s="5">
        <v>2</v>
      </c>
    </row>
    <row r="481" spans="1:8">
      <c r="A481" s="5">
        <v>94028</v>
      </c>
      <c r="B481" s="5">
        <v>5</v>
      </c>
      <c r="C481" s="5" t="s">
        <v>177</v>
      </c>
      <c r="D481" s="5">
        <v>2</v>
      </c>
      <c r="E481" s="5" t="s">
        <v>177</v>
      </c>
      <c r="F481" s="5">
        <v>2</v>
      </c>
      <c r="G481" s="5" t="s">
        <v>177</v>
      </c>
      <c r="H481" s="5">
        <v>1</v>
      </c>
    </row>
    <row r="482" spans="1:8">
      <c r="A482" s="5">
        <v>94030</v>
      </c>
      <c r="B482" s="5">
        <v>47</v>
      </c>
      <c r="C482" s="5">
        <v>5</v>
      </c>
      <c r="D482" s="5">
        <v>5</v>
      </c>
      <c r="E482" s="5">
        <v>3</v>
      </c>
      <c r="F482" s="5">
        <v>10</v>
      </c>
      <c r="G482" s="5">
        <v>4</v>
      </c>
      <c r="H482" s="5">
        <v>20</v>
      </c>
    </row>
    <row r="483" spans="1:8">
      <c r="A483" s="5">
        <v>94040</v>
      </c>
      <c r="B483" s="5">
        <v>76</v>
      </c>
      <c r="C483" s="5">
        <v>10</v>
      </c>
      <c r="D483" s="5">
        <v>12</v>
      </c>
      <c r="E483" s="5">
        <v>7</v>
      </c>
      <c r="F483" s="5">
        <v>18</v>
      </c>
      <c r="G483" s="5">
        <v>9</v>
      </c>
      <c r="H483" s="5">
        <v>20</v>
      </c>
    </row>
    <row r="484" spans="1:8">
      <c r="A484" s="5">
        <v>94041</v>
      </c>
      <c r="B484" s="5">
        <v>35</v>
      </c>
      <c r="C484" s="5">
        <v>8</v>
      </c>
      <c r="D484" s="5">
        <v>5</v>
      </c>
      <c r="E484" s="5">
        <v>1</v>
      </c>
      <c r="F484" s="5">
        <v>6</v>
      </c>
      <c r="G484" s="5">
        <v>4</v>
      </c>
      <c r="H484" s="5">
        <v>11</v>
      </c>
    </row>
    <row r="485" spans="1:8">
      <c r="A485" s="5">
        <v>94043</v>
      </c>
      <c r="B485" s="5">
        <v>72</v>
      </c>
      <c r="C485" s="5">
        <v>12</v>
      </c>
      <c r="D485" s="5">
        <v>6</v>
      </c>
      <c r="E485" s="5">
        <v>4</v>
      </c>
      <c r="F485" s="5">
        <v>18</v>
      </c>
      <c r="G485" s="5">
        <v>9</v>
      </c>
      <c r="H485" s="5">
        <v>23</v>
      </c>
    </row>
    <row r="486" spans="1:8">
      <c r="A486" s="5">
        <v>94044</v>
      </c>
      <c r="B486" s="5">
        <v>75</v>
      </c>
      <c r="C486" s="5">
        <v>6</v>
      </c>
      <c r="D486" s="5">
        <v>11</v>
      </c>
      <c r="E486" s="5">
        <v>10</v>
      </c>
      <c r="F486" s="5">
        <v>21</v>
      </c>
      <c r="G486" s="5">
        <v>12</v>
      </c>
      <c r="H486" s="5">
        <v>15</v>
      </c>
    </row>
    <row r="487" spans="1:8">
      <c r="A487" s="5">
        <v>94061</v>
      </c>
      <c r="B487" s="5">
        <v>58</v>
      </c>
      <c r="C487" s="5">
        <v>6</v>
      </c>
      <c r="D487" s="5">
        <v>7</v>
      </c>
      <c r="E487" s="5">
        <v>6</v>
      </c>
      <c r="F487" s="5">
        <v>10</v>
      </c>
      <c r="G487" s="5">
        <v>7</v>
      </c>
      <c r="H487" s="5">
        <v>22</v>
      </c>
    </row>
    <row r="488" spans="1:8">
      <c r="A488" s="5">
        <v>94062</v>
      </c>
      <c r="B488" s="5">
        <v>42</v>
      </c>
      <c r="C488" s="5">
        <v>7</v>
      </c>
      <c r="D488" s="5">
        <v>5</v>
      </c>
      <c r="E488" s="5">
        <v>6</v>
      </c>
      <c r="F488" s="5">
        <v>4</v>
      </c>
      <c r="G488" s="5">
        <v>9</v>
      </c>
      <c r="H488" s="5">
        <v>11</v>
      </c>
    </row>
    <row r="489" spans="1:8">
      <c r="A489" s="5">
        <v>94063</v>
      </c>
      <c r="B489" s="5">
        <v>49</v>
      </c>
      <c r="C489" s="5">
        <v>12</v>
      </c>
      <c r="D489" s="5">
        <v>7</v>
      </c>
      <c r="E489" s="5">
        <v>4</v>
      </c>
      <c r="F489" s="5">
        <v>12</v>
      </c>
      <c r="G489" s="5">
        <v>8</v>
      </c>
      <c r="H489" s="5">
        <v>6</v>
      </c>
    </row>
    <row r="490" spans="1:8">
      <c r="A490" s="5">
        <v>94065</v>
      </c>
      <c r="B490" s="5">
        <v>24</v>
      </c>
      <c r="C490" s="5">
        <v>8</v>
      </c>
      <c r="D490" s="5">
        <v>2</v>
      </c>
      <c r="E490" s="5">
        <v>2</v>
      </c>
      <c r="F490" s="5">
        <v>3</v>
      </c>
      <c r="G490" s="5">
        <v>2</v>
      </c>
      <c r="H490" s="5">
        <v>7</v>
      </c>
    </row>
    <row r="491" spans="1:8">
      <c r="A491" s="5">
        <v>94066</v>
      </c>
      <c r="B491" s="5">
        <v>100</v>
      </c>
      <c r="C491" s="5">
        <v>18</v>
      </c>
      <c r="D491" s="5">
        <v>14</v>
      </c>
      <c r="E491" s="5">
        <v>10</v>
      </c>
      <c r="F491" s="5">
        <v>24</v>
      </c>
      <c r="G491" s="5">
        <v>12</v>
      </c>
      <c r="H491" s="5">
        <v>22</v>
      </c>
    </row>
    <row r="492" spans="1:8">
      <c r="A492" s="5">
        <v>94070</v>
      </c>
      <c r="B492" s="5">
        <v>43</v>
      </c>
      <c r="C492" s="5">
        <v>9</v>
      </c>
      <c r="D492" s="5">
        <v>7</v>
      </c>
      <c r="E492" s="5">
        <v>5</v>
      </c>
      <c r="F492" s="5">
        <v>10</v>
      </c>
      <c r="G492" s="5">
        <v>3</v>
      </c>
      <c r="H492" s="5">
        <v>9</v>
      </c>
    </row>
    <row r="493" spans="1:8">
      <c r="A493" s="5">
        <v>94080</v>
      </c>
      <c r="B493" s="5">
        <v>171</v>
      </c>
      <c r="C493" s="5">
        <v>20</v>
      </c>
      <c r="D493" s="5">
        <v>33</v>
      </c>
      <c r="E493" s="5">
        <v>14</v>
      </c>
      <c r="F493" s="5">
        <v>40</v>
      </c>
      <c r="G493" s="5">
        <v>15</v>
      </c>
      <c r="H493" s="5">
        <v>49</v>
      </c>
    </row>
    <row r="494" spans="1:8">
      <c r="A494" s="5">
        <v>94085</v>
      </c>
      <c r="B494" s="5">
        <v>52</v>
      </c>
      <c r="C494" s="5">
        <v>9</v>
      </c>
      <c r="D494" s="5">
        <v>7</v>
      </c>
      <c r="E494" s="5">
        <v>4</v>
      </c>
      <c r="F494" s="5">
        <v>12</v>
      </c>
      <c r="G494" s="5">
        <v>7</v>
      </c>
      <c r="H494" s="5">
        <v>13</v>
      </c>
    </row>
    <row r="495" spans="1:8">
      <c r="A495" s="5">
        <v>94086</v>
      </c>
      <c r="B495" s="5">
        <v>96</v>
      </c>
      <c r="C495" s="5">
        <v>9</v>
      </c>
      <c r="D495" s="5">
        <v>18</v>
      </c>
      <c r="E495" s="5">
        <v>13</v>
      </c>
      <c r="F495" s="5">
        <v>26</v>
      </c>
      <c r="G495" s="5">
        <v>5</v>
      </c>
      <c r="H495" s="5">
        <v>25</v>
      </c>
    </row>
    <row r="496" spans="1:8">
      <c r="A496" s="5">
        <v>94087</v>
      </c>
      <c r="B496" s="5">
        <v>92</v>
      </c>
      <c r="C496" s="5">
        <v>16</v>
      </c>
      <c r="D496" s="5">
        <v>16</v>
      </c>
      <c r="E496" s="5">
        <v>10</v>
      </c>
      <c r="F496" s="5">
        <v>12</v>
      </c>
      <c r="G496" s="5">
        <v>11</v>
      </c>
      <c r="H496" s="5">
        <v>27</v>
      </c>
    </row>
    <row r="497" spans="1:8">
      <c r="A497" s="5">
        <v>94089</v>
      </c>
      <c r="B497" s="5">
        <v>57</v>
      </c>
      <c r="C497" s="5">
        <v>6</v>
      </c>
      <c r="D497" s="5">
        <v>9</v>
      </c>
      <c r="E497" s="5">
        <v>5</v>
      </c>
      <c r="F497" s="5">
        <v>17</v>
      </c>
      <c r="G497" s="5">
        <v>7</v>
      </c>
      <c r="H497" s="5">
        <v>13</v>
      </c>
    </row>
    <row r="498" spans="1:8">
      <c r="A498" s="5">
        <v>94102</v>
      </c>
      <c r="B498" s="5">
        <v>68</v>
      </c>
      <c r="C498" s="5">
        <v>11</v>
      </c>
      <c r="D498" s="5">
        <v>11</v>
      </c>
      <c r="E498" s="5">
        <v>8</v>
      </c>
      <c r="F498" s="5">
        <v>6</v>
      </c>
      <c r="G498" s="5">
        <v>10</v>
      </c>
      <c r="H498" s="5">
        <v>22</v>
      </c>
    </row>
    <row r="499" spans="1:8">
      <c r="A499" s="5">
        <v>94103</v>
      </c>
      <c r="B499" s="5">
        <v>118</v>
      </c>
      <c r="C499" s="5">
        <v>20</v>
      </c>
      <c r="D499" s="5">
        <v>14</v>
      </c>
      <c r="E499" s="5">
        <v>9</v>
      </c>
      <c r="F499" s="5">
        <v>15</v>
      </c>
      <c r="G499" s="5">
        <v>30</v>
      </c>
      <c r="H499" s="5">
        <v>30</v>
      </c>
    </row>
    <row r="500" spans="1:8">
      <c r="A500" s="5">
        <v>94105</v>
      </c>
      <c r="B500" s="5">
        <v>47</v>
      </c>
      <c r="C500" s="5">
        <v>10</v>
      </c>
      <c r="D500" s="5">
        <v>8</v>
      </c>
      <c r="E500" s="5">
        <v>1</v>
      </c>
      <c r="F500" s="5">
        <v>9</v>
      </c>
      <c r="G500" s="5">
        <v>8</v>
      </c>
      <c r="H500" s="5">
        <v>11</v>
      </c>
    </row>
    <row r="501" spans="1:8">
      <c r="A501" s="5">
        <v>94107</v>
      </c>
      <c r="B501" s="5">
        <v>121</v>
      </c>
      <c r="C501" s="5">
        <v>20</v>
      </c>
      <c r="D501" s="5">
        <v>16</v>
      </c>
      <c r="E501" s="5">
        <v>13</v>
      </c>
      <c r="F501" s="5">
        <v>17</v>
      </c>
      <c r="G501" s="5">
        <v>30</v>
      </c>
      <c r="H501" s="5">
        <v>25</v>
      </c>
    </row>
    <row r="502" spans="1:8">
      <c r="A502" s="5">
        <v>94108</v>
      </c>
      <c r="B502" s="5">
        <v>38</v>
      </c>
      <c r="C502" s="5">
        <v>6</v>
      </c>
      <c r="D502" s="5">
        <v>8</v>
      </c>
      <c r="E502" s="5">
        <v>3</v>
      </c>
      <c r="F502" s="5">
        <v>7</v>
      </c>
      <c r="G502" s="5">
        <v>8</v>
      </c>
      <c r="H502" s="5">
        <v>6</v>
      </c>
    </row>
    <row r="503" spans="1:8">
      <c r="A503" s="5">
        <v>94109</v>
      </c>
      <c r="B503" s="5">
        <v>126</v>
      </c>
      <c r="C503" s="5">
        <v>20</v>
      </c>
      <c r="D503" s="5">
        <v>23</v>
      </c>
      <c r="E503" s="5">
        <v>11</v>
      </c>
      <c r="F503" s="5">
        <v>15</v>
      </c>
      <c r="G503" s="5">
        <v>30</v>
      </c>
      <c r="H503" s="5">
        <v>27</v>
      </c>
    </row>
    <row r="504" spans="1:8">
      <c r="A504" s="5">
        <v>94110</v>
      </c>
      <c r="B504" s="5">
        <v>126</v>
      </c>
      <c r="C504" s="5">
        <v>17</v>
      </c>
      <c r="D504" s="5">
        <v>23</v>
      </c>
      <c r="E504" s="5">
        <v>14</v>
      </c>
      <c r="F504" s="5">
        <v>31</v>
      </c>
      <c r="G504" s="5">
        <v>12</v>
      </c>
      <c r="H504" s="5">
        <v>29</v>
      </c>
    </row>
    <row r="505" spans="1:8">
      <c r="A505" s="5">
        <v>94111</v>
      </c>
      <c r="B505" s="5">
        <v>12</v>
      </c>
      <c r="C505" s="5" t="s">
        <v>177</v>
      </c>
      <c r="D505" s="5" t="s">
        <v>177</v>
      </c>
      <c r="E505" s="5">
        <v>2</v>
      </c>
      <c r="F505" s="5">
        <v>2</v>
      </c>
      <c r="G505" s="5">
        <v>2</v>
      </c>
      <c r="H505" s="5">
        <v>6</v>
      </c>
    </row>
    <row r="506" spans="1:8">
      <c r="A506" s="5">
        <v>94112</v>
      </c>
      <c r="B506" s="5">
        <v>189</v>
      </c>
      <c r="C506" s="5">
        <v>34</v>
      </c>
      <c r="D506" s="5">
        <v>24</v>
      </c>
      <c r="E506" s="5">
        <v>17</v>
      </c>
      <c r="F506" s="5">
        <v>48</v>
      </c>
      <c r="G506" s="5">
        <v>25</v>
      </c>
      <c r="H506" s="5">
        <v>41</v>
      </c>
    </row>
    <row r="507" spans="1:8">
      <c r="A507" s="5">
        <v>94114</v>
      </c>
      <c r="B507" s="5">
        <v>48</v>
      </c>
      <c r="C507" s="5">
        <v>6</v>
      </c>
      <c r="D507" s="5">
        <v>7</v>
      </c>
      <c r="E507" s="5">
        <v>6</v>
      </c>
      <c r="F507" s="5">
        <v>10</v>
      </c>
      <c r="G507" s="5">
        <v>7</v>
      </c>
      <c r="H507" s="5">
        <v>12</v>
      </c>
    </row>
    <row r="508" spans="1:8">
      <c r="A508" s="5">
        <v>94115</v>
      </c>
      <c r="B508" s="5">
        <v>55</v>
      </c>
      <c r="C508" s="5">
        <v>7</v>
      </c>
      <c r="D508" s="5">
        <v>9</v>
      </c>
      <c r="E508" s="5">
        <v>5</v>
      </c>
      <c r="F508" s="5">
        <v>13</v>
      </c>
      <c r="G508" s="5">
        <v>6</v>
      </c>
      <c r="H508" s="5">
        <v>15</v>
      </c>
    </row>
    <row r="509" spans="1:8">
      <c r="A509" s="5">
        <v>94116</v>
      </c>
      <c r="B509" s="5">
        <v>115</v>
      </c>
      <c r="C509" s="5">
        <v>14</v>
      </c>
      <c r="D509" s="5">
        <v>13</v>
      </c>
      <c r="E509" s="5">
        <v>16</v>
      </c>
      <c r="F509" s="5">
        <v>25</v>
      </c>
      <c r="G509" s="5">
        <v>11</v>
      </c>
      <c r="H509" s="5">
        <v>36</v>
      </c>
    </row>
    <row r="510" spans="1:8">
      <c r="A510" s="5">
        <v>94117</v>
      </c>
      <c r="B510" s="5">
        <v>67</v>
      </c>
      <c r="C510" s="5">
        <v>9</v>
      </c>
      <c r="D510" s="5">
        <v>9</v>
      </c>
      <c r="E510" s="5">
        <v>11</v>
      </c>
      <c r="F510" s="5">
        <v>18</v>
      </c>
      <c r="G510" s="5">
        <v>7</v>
      </c>
      <c r="H510" s="5">
        <v>13</v>
      </c>
    </row>
    <row r="511" spans="1:8">
      <c r="A511" s="5">
        <v>94118</v>
      </c>
      <c r="B511" s="5">
        <v>85</v>
      </c>
      <c r="C511" s="5">
        <v>10</v>
      </c>
      <c r="D511" s="5">
        <v>12</v>
      </c>
      <c r="E511" s="5">
        <v>7</v>
      </c>
      <c r="F511" s="5">
        <v>29</v>
      </c>
      <c r="G511" s="5">
        <v>13</v>
      </c>
      <c r="H511" s="5">
        <v>14</v>
      </c>
    </row>
    <row r="512" spans="1:8">
      <c r="A512" s="5">
        <v>94121</v>
      </c>
      <c r="B512" s="5">
        <v>108</v>
      </c>
      <c r="C512" s="5">
        <v>20</v>
      </c>
      <c r="D512" s="5">
        <v>10</v>
      </c>
      <c r="E512" s="5">
        <v>8</v>
      </c>
      <c r="F512" s="5">
        <v>29</v>
      </c>
      <c r="G512" s="5">
        <v>8</v>
      </c>
      <c r="H512" s="5">
        <v>33</v>
      </c>
    </row>
    <row r="513" spans="1:8">
      <c r="A513" s="5">
        <v>94122</v>
      </c>
      <c r="B513" s="5">
        <v>133</v>
      </c>
      <c r="C513" s="5">
        <v>12</v>
      </c>
      <c r="D513" s="5">
        <v>24</v>
      </c>
      <c r="E513" s="5">
        <v>14</v>
      </c>
      <c r="F513" s="5">
        <v>33</v>
      </c>
      <c r="G513" s="5">
        <v>17</v>
      </c>
      <c r="H513" s="5">
        <v>33</v>
      </c>
    </row>
    <row r="514" spans="1:8">
      <c r="A514" s="5">
        <v>94123</v>
      </c>
      <c r="B514" s="5">
        <v>29</v>
      </c>
      <c r="C514" s="5">
        <v>7</v>
      </c>
      <c r="D514" s="5">
        <v>2</v>
      </c>
      <c r="E514" s="5">
        <v>5</v>
      </c>
      <c r="F514" s="5">
        <v>2</v>
      </c>
      <c r="G514" s="5">
        <v>3</v>
      </c>
      <c r="H514" s="5">
        <v>10</v>
      </c>
    </row>
    <row r="515" spans="1:8">
      <c r="A515" s="5">
        <v>94124</v>
      </c>
      <c r="B515" s="5">
        <v>120</v>
      </c>
      <c r="C515" s="5">
        <v>13</v>
      </c>
      <c r="D515" s="5">
        <v>11</v>
      </c>
      <c r="E515" s="5">
        <v>15</v>
      </c>
      <c r="F515" s="5">
        <v>21</v>
      </c>
      <c r="G515" s="5">
        <v>17</v>
      </c>
      <c r="H515" s="5">
        <v>43</v>
      </c>
    </row>
    <row r="516" spans="1:8">
      <c r="A516" s="5">
        <v>94127</v>
      </c>
      <c r="B516" s="5">
        <v>42</v>
      </c>
      <c r="C516" s="5">
        <v>6</v>
      </c>
      <c r="D516" s="5">
        <v>8</v>
      </c>
      <c r="E516" s="5">
        <v>4</v>
      </c>
      <c r="F516" s="5">
        <v>10</v>
      </c>
      <c r="G516" s="5">
        <v>5</v>
      </c>
      <c r="H516" s="5">
        <v>9</v>
      </c>
    </row>
    <row r="517" spans="1:8">
      <c r="A517" s="5">
        <v>94129</v>
      </c>
      <c r="B517" s="5">
        <v>6</v>
      </c>
      <c r="C517" s="5" t="s">
        <v>177</v>
      </c>
      <c r="D517" s="5" t="s">
        <v>177</v>
      </c>
      <c r="E517" s="5" t="s">
        <v>177</v>
      </c>
      <c r="F517" s="5" t="s">
        <v>177</v>
      </c>
      <c r="G517" s="5">
        <v>1</v>
      </c>
      <c r="H517" s="5">
        <v>5</v>
      </c>
    </row>
    <row r="518" spans="1:8">
      <c r="A518" s="5">
        <v>94130</v>
      </c>
      <c r="B518" s="5">
        <v>6</v>
      </c>
      <c r="C518" s="5" t="s">
        <v>177</v>
      </c>
      <c r="D518" s="5">
        <v>2</v>
      </c>
      <c r="E518" s="5">
        <v>1</v>
      </c>
      <c r="F518" s="5">
        <v>1</v>
      </c>
      <c r="G518" s="5">
        <v>2</v>
      </c>
      <c r="H518" s="5" t="s">
        <v>177</v>
      </c>
    </row>
    <row r="519" spans="1:8">
      <c r="A519" s="5">
        <v>94131</v>
      </c>
      <c r="B519" s="5">
        <v>42</v>
      </c>
      <c r="C519" s="5">
        <v>7</v>
      </c>
      <c r="D519" s="5">
        <v>4</v>
      </c>
      <c r="E519" s="5">
        <v>6</v>
      </c>
      <c r="F519" s="5">
        <v>10</v>
      </c>
      <c r="G519" s="5">
        <v>5</v>
      </c>
      <c r="H519" s="5">
        <v>10</v>
      </c>
    </row>
    <row r="520" spans="1:8">
      <c r="A520" s="5">
        <v>94132</v>
      </c>
      <c r="B520" s="5">
        <v>63</v>
      </c>
      <c r="C520" s="5">
        <v>6</v>
      </c>
      <c r="D520" s="5">
        <v>7</v>
      </c>
      <c r="E520" s="5">
        <v>5</v>
      </c>
      <c r="F520" s="5">
        <v>21</v>
      </c>
      <c r="G520" s="5">
        <v>9</v>
      </c>
      <c r="H520" s="5">
        <v>15</v>
      </c>
    </row>
    <row r="521" spans="1:8">
      <c r="A521" s="5">
        <v>94133</v>
      </c>
      <c r="B521" s="5">
        <v>57</v>
      </c>
      <c r="C521" s="5">
        <v>6</v>
      </c>
      <c r="D521" s="5">
        <v>10</v>
      </c>
      <c r="E521" s="5">
        <v>6</v>
      </c>
      <c r="F521" s="5">
        <v>10</v>
      </c>
      <c r="G521" s="5">
        <v>4</v>
      </c>
      <c r="H521" s="5">
        <v>21</v>
      </c>
    </row>
    <row r="522" spans="1:8">
      <c r="A522" s="5">
        <v>94134</v>
      </c>
      <c r="B522" s="5">
        <v>81</v>
      </c>
      <c r="C522" s="5">
        <v>13</v>
      </c>
      <c r="D522" s="5">
        <v>10</v>
      </c>
      <c r="E522" s="5" t="s">
        <v>177</v>
      </c>
      <c r="F522" s="5">
        <v>22</v>
      </c>
      <c r="G522" s="5">
        <v>8</v>
      </c>
      <c r="H522" s="5">
        <v>28</v>
      </c>
    </row>
    <row r="523" spans="1:8">
      <c r="A523" s="5">
        <v>94158</v>
      </c>
      <c r="B523" s="5">
        <v>25</v>
      </c>
      <c r="C523" s="5">
        <v>3</v>
      </c>
      <c r="D523" s="5">
        <v>4</v>
      </c>
      <c r="E523" s="5">
        <v>4</v>
      </c>
      <c r="F523" s="5">
        <v>6</v>
      </c>
      <c r="G523" s="5">
        <v>3</v>
      </c>
      <c r="H523" s="5">
        <v>5</v>
      </c>
    </row>
    <row r="524" spans="1:8">
      <c r="A524" s="5">
        <v>94301</v>
      </c>
      <c r="B524" s="5">
        <v>24</v>
      </c>
      <c r="C524" s="5">
        <v>4</v>
      </c>
      <c r="D524" s="5">
        <v>4</v>
      </c>
      <c r="E524" s="5">
        <v>1</v>
      </c>
      <c r="F524" s="5">
        <v>5</v>
      </c>
      <c r="G524" s="5">
        <v>3</v>
      </c>
      <c r="H524" s="5">
        <v>7</v>
      </c>
    </row>
    <row r="525" spans="1:8">
      <c r="A525" s="5">
        <v>94303</v>
      </c>
      <c r="B525" s="5">
        <v>59</v>
      </c>
      <c r="C525" s="5">
        <v>13</v>
      </c>
      <c r="D525" s="5">
        <v>4</v>
      </c>
      <c r="E525" s="5">
        <v>6</v>
      </c>
      <c r="F525" s="5">
        <v>16</v>
      </c>
      <c r="G525" s="5">
        <v>8</v>
      </c>
      <c r="H525" s="5">
        <v>12</v>
      </c>
    </row>
    <row r="526" spans="1:8">
      <c r="A526" s="5">
        <v>94304</v>
      </c>
      <c r="B526" s="5">
        <v>6</v>
      </c>
      <c r="C526" s="5">
        <v>1</v>
      </c>
      <c r="D526" s="5">
        <v>1</v>
      </c>
      <c r="E526" s="5">
        <v>1</v>
      </c>
      <c r="F526" s="5">
        <v>1</v>
      </c>
      <c r="G526" s="5" t="s">
        <v>177</v>
      </c>
      <c r="H526" s="5">
        <v>2</v>
      </c>
    </row>
    <row r="527" spans="1:8">
      <c r="A527" s="5">
        <v>94305</v>
      </c>
      <c r="B527" s="5">
        <v>13</v>
      </c>
      <c r="C527" s="5">
        <v>1</v>
      </c>
      <c r="D527" s="5">
        <v>4</v>
      </c>
      <c r="E527" s="5">
        <v>3</v>
      </c>
      <c r="F527" s="5" t="s">
        <v>177</v>
      </c>
      <c r="G527" s="5">
        <v>1</v>
      </c>
      <c r="H527" s="5">
        <v>4</v>
      </c>
    </row>
    <row r="528" spans="1:8">
      <c r="A528" s="5">
        <v>94306</v>
      </c>
      <c r="B528" s="5">
        <v>47</v>
      </c>
      <c r="C528" s="5">
        <v>6</v>
      </c>
      <c r="D528" s="5">
        <v>8</v>
      </c>
      <c r="E528" s="5">
        <v>5</v>
      </c>
      <c r="F528" s="5">
        <v>12</v>
      </c>
      <c r="G528" s="5">
        <v>7</v>
      </c>
      <c r="H528" s="5">
        <v>9</v>
      </c>
    </row>
    <row r="529" spans="1:8">
      <c r="A529" s="5">
        <v>94401</v>
      </c>
      <c r="B529" s="5">
        <v>49</v>
      </c>
      <c r="C529" s="5">
        <v>7</v>
      </c>
      <c r="D529" s="5">
        <v>6</v>
      </c>
      <c r="E529" s="5">
        <v>3</v>
      </c>
      <c r="F529" s="5">
        <v>11</v>
      </c>
      <c r="G529" s="5">
        <v>12</v>
      </c>
      <c r="H529" s="5">
        <v>10</v>
      </c>
    </row>
    <row r="530" spans="1:8">
      <c r="A530" s="5">
        <v>94402</v>
      </c>
      <c r="B530" s="5">
        <v>30</v>
      </c>
      <c r="C530" s="5">
        <v>3</v>
      </c>
      <c r="D530" s="5">
        <v>8</v>
      </c>
      <c r="E530" s="5">
        <v>2</v>
      </c>
      <c r="F530" s="5">
        <v>5</v>
      </c>
      <c r="G530" s="5">
        <v>3</v>
      </c>
      <c r="H530" s="5">
        <v>9</v>
      </c>
    </row>
    <row r="531" spans="1:8">
      <c r="A531" s="5">
        <v>94403</v>
      </c>
      <c r="B531" s="5">
        <v>75</v>
      </c>
      <c r="C531" s="5">
        <v>17</v>
      </c>
      <c r="D531" s="5">
        <v>12</v>
      </c>
      <c r="E531" s="5">
        <v>11</v>
      </c>
      <c r="F531" s="5">
        <v>15</v>
      </c>
      <c r="G531" s="5">
        <v>11</v>
      </c>
      <c r="H531" s="5">
        <v>9</v>
      </c>
    </row>
    <row r="532" spans="1:8">
      <c r="A532" s="5">
        <v>94404</v>
      </c>
      <c r="B532" s="5">
        <v>51</v>
      </c>
      <c r="C532" s="5">
        <v>7</v>
      </c>
      <c r="D532" s="5">
        <v>3</v>
      </c>
      <c r="E532" s="5">
        <v>7</v>
      </c>
      <c r="F532" s="5">
        <v>11</v>
      </c>
      <c r="G532" s="5">
        <v>6</v>
      </c>
      <c r="H532" s="5">
        <v>17</v>
      </c>
    </row>
    <row r="533" spans="1:8">
      <c r="A533" s="5">
        <v>94501</v>
      </c>
      <c r="B533" s="5">
        <v>131</v>
      </c>
      <c r="C533" s="5">
        <v>18</v>
      </c>
      <c r="D533" s="5">
        <v>21</v>
      </c>
      <c r="E533" s="5">
        <v>10</v>
      </c>
      <c r="F533" s="5">
        <v>29</v>
      </c>
      <c r="G533" s="5">
        <v>16</v>
      </c>
      <c r="H533" s="5">
        <v>37</v>
      </c>
    </row>
    <row r="534" spans="1:8">
      <c r="A534" s="5">
        <v>94502</v>
      </c>
      <c r="B534" s="5">
        <v>27</v>
      </c>
      <c r="C534" s="5">
        <v>7</v>
      </c>
      <c r="D534" s="5">
        <v>5</v>
      </c>
      <c r="E534" s="5">
        <v>5</v>
      </c>
      <c r="F534" s="5">
        <v>4</v>
      </c>
      <c r="G534" s="5">
        <v>1</v>
      </c>
      <c r="H534" s="5">
        <v>5</v>
      </c>
    </row>
    <row r="535" spans="1:8">
      <c r="A535" s="5">
        <v>94503</v>
      </c>
      <c r="B535" s="5">
        <v>37</v>
      </c>
      <c r="C535" s="5">
        <v>5</v>
      </c>
      <c r="D535" s="5">
        <v>5</v>
      </c>
      <c r="E535" s="5">
        <v>6</v>
      </c>
      <c r="F535" s="5">
        <v>8</v>
      </c>
      <c r="G535" s="5">
        <v>2</v>
      </c>
      <c r="H535" s="5">
        <v>11</v>
      </c>
    </row>
    <row r="536" spans="1:8">
      <c r="A536" s="5">
        <v>94505</v>
      </c>
      <c r="B536" s="5">
        <v>20</v>
      </c>
      <c r="C536" s="5">
        <v>2</v>
      </c>
      <c r="D536" s="5">
        <v>4</v>
      </c>
      <c r="E536" s="5">
        <v>1</v>
      </c>
      <c r="F536" s="5">
        <v>5</v>
      </c>
      <c r="G536" s="5">
        <v>4</v>
      </c>
      <c r="H536" s="5">
        <v>4</v>
      </c>
    </row>
    <row r="537" spans="1:8">
      <c r="A537" s="5">
        <v>94506</v>
      </c>
      <c r="B537" s="5">
        <v>33</v>
      </c>
      <c r="C537" s="5">
        <v>7</v>
      </c>
      <c r="D537" s="5">
        <v>4</v>
      </c>
      <c r="E537" s="5">
        <v>2</v>
      </c>
      <c r="F537" s="5">
        <v>8</v>
      </c>
      <c r="G537" s="5">
        <v>5</v>
      </c>
      <c r="H537" s="5">
        <v>7</v>
      </c>
    </row>
    <row r="538" spans="1:8">
      <c r="A538" s="5">
        <v>94507</v>
      </c>
      <c r="B538" s="5">
        <v>30</v>
      </c>
      <c r="C538" s="5">
        <v>2</v>
      </c>
      <c r="D538" s="5">
        <v>3</v>
      </c>
      <c r="E538" s="5">
        <v>3</v>
      </c>
      <c r="F538" s="5">
        <v>11</v>
      </c>
      <c r="G538" s="5">
        <v>4</v>
      </c>
      <c r="H538" s="5">
        <v>7</v>
      </c>
    </row>
    <row r="539" spans="1:8">
      <c r="A539" s="5">
        <v>94509</v>
      </c>
      <c r="B539" s="5">
        <v>109</v>
      </c>
      <c r="C539" s="5">
        <v>9</v>
      </c>
      <c r="D539" s="5">
        <v>18</v>
      </c>
      <c r="E539" s="5">
        <v>13</v>
      </c>
      <c r="F539" s="5">
        <v>23</v>
      </c>
      <c r="G539" s="5">
        <v>10</v>
      </c>
      <c r="H539" s="5">
        <v>36</v>
      </c>
    </row>
    <row r="540" spans="1:8">
      <c r="A540" s="5">
        <v>94510</v>
      </c>
      <c r="B540" s="5">
        <v>44</v>
      </c>
      <c r="C540" s="5">
        <v>12</v>
      </c>
      <c r="D540" s="5">
        <v>10</v>
      </c>
      <c r="E540" s="5">
        <v>4</v>
      </c>
      <c r="F540" s="5">
        <v>7</v>
      </c>
      <c r="G540" s="5">
        <v>1</v>
      </c>
      <c r="H540" s="5">
        <v>10</v>
      </c>
    </row>
    <row r="541" spans="1:8">
      <c r="A541" s="5">
        <v>94513</v>
      </c>
      <c r="B541" s="5">
        <v>95</v>
      </c>
      <c r="C541" s="5">
        <v>16</v>
      </c>
      <c r="D541" s="5">
        <v>19</v>
      </c>
      <c r="E541" s="5">
        <v>7</v>
      </c>
      <c r="F541" s="5">
        <v>22</v>
      </c>
      <c r="G541" s="5">
        <v>11</v>
      </c>
      <c r="H541" s="5">
        <v>20</v>
      </c>
    </row>
    <row r="542" spans="1:8">
      <c r="A542" s="5">
        <v>94517</v>
      </c>
      <c r="B542" s="5">
        <v>11</v>
      </c>
      <c r="C542" s="5">
        <v>4</v>
      </c>
      <c r="D542" s="5">
        <v>4</v>
      </c>
      <c r="E542" s="5">
        <v>1</v>
      </c>
      <c r="F542" s="5">
        <v>1</v>
      </c>
      <c r="G542" s="5">
        <v>1</v>
      </c>
      <c r="H542" s="5" t="s">
        <v>177</v>
      </c>
    </row>
    <row r="543" spans="1:8">
      <c r="A543" s="5">
        <v>94518</v>
      </c>
      <c r="B543" s="5">
        <v>51</v>
      </c>
      <c r="C543" s="5">
        <v>4</v>
      </c>
      <c r="D543" s="5">
        <v>9</v>
      </c>
      <c r="E543" s="5">
        <v>5</v>
      </c>
      <c r="F543" s="5">
        <v>12</v>
      </c>
      <c r="G543" s="5">
        <v>10</v>
      </c>
      <c r="H543" s="5">
        <v>11</v>
      </c>
    </row>
    <row r="544" spans="1:8">
      <c r="A544" s="5">
        <v>94519</v>
      </c>
      <c r="B544" s="5">
        <v>30</v>
      </c>
      <c r="C544" s="5">
        <v>5</v>
      </c>
      <c r="D544" s="5">
        <v>10</v>
      </c>
      <c r="E544" s="5">
        <v>1</v>
      </c>
      <c r="F544" s="5">
        <v>6</v>
      </c>
      <c r="G544" s="5">
        <v>1</v>
      </c>
      <c r="H544" s="5">
        <v>7</v>
      </c>
    </row>
    <row r="545" spans="1:8">
      <c r="A545" s="5">
        <v>94520</v>
      </c>
      <c r="B545" s="5">
        <v>53</v>
      </c>
      <c r="C545" s="5">
        <v>6</v>
      </c>
      <c r="D545" s="5">
        <v>9</v>
      </c>
      <c r="E545" s="5">
        <v>1</v>
      </c>
      <c r="F545" s="5">
        <v>11</v>
      </c>
      <c r="G545" s="5">
        <v>7</v>
      </c>
      <c r="H545" s="5">
        <v>19</v>
      </c>
    </row>
    <row r="546" spans="1:8">
      <c r="A546" s="5">
        <v>94521</v>
      </c>
      <c r="B546" s="5">
        <v>61</v>
      </c>
      <c r="C546" s="5">
        <v>9</v>
      </c>
      <c r="D546" s="5">
        <v>7</v>
      </c>
      <c r="E546" s="5">
        <v>5</v>
      </c>
      <c r="F546" s="5">
        <v>16</v>
      </c>
      <c r="G546" s="5">
        <v>7</v>
      </c>
      <c r="H546" s="5">
        <v>17</v>
      </c>
    </row>
    <row r="547" spans="1:8">
      <c r="A547" s="5">
        <v>94523</v>
      </c>
      <c r="B547" s="5">
        <v>67</v>
      </c>
      <c r="C547" s="5">
        <v>9</v>
      </c>
      <c r="D547" s="5">
        <v>11</v>
      </c>
      <c r="E547" s="5">
        <v>5</v>
      </c>
      <c r="F547" s="5">
        <v>14</v>
      </c>
      <c r="G547" s="5">
        <v>3</v>
      </c>
      <c r="H547" s="5">
        <v>25</v>
      </c>
    </row>
    <row r="548" spans="1:8">
      <c r="A548" s="5">
        <v>94525</v>
      </c>
      <c r="B548" s="5">
        <v>5</v>
      </c>
      <c r="C548" s="5" t="s">
        <v>177</v>
      </c>
      <c r="D548" s="5">
        <v>1</v>
      </c>
      <c r="E548" s="5">
        <v>1</v>
      </c>
      <c r="F548" s="5">
        <v>2</v>
      </c>
      <c r="G548" s="5" t="s">
        <v>177</v>
      </c>
      <c r="H548" s="5">
        <v>1</v>
      </c>
    </row>
    <row r="549" spans="1:8">
      <c r="A549" s="5">
        <v>94526</v>
      </c>
      <c r="B549" s="5">
        <v>37</v>
      </c>
      <c r="C549" s="5">
        <v>3</v>
      </c>
      <c r="D549" s="5">
        <v>3</v>
      </c>
      <c r="E549" s="5">
        <v>5</v>
      </c>
      <c r="F549" s="5">
        <v>10</v>
      </c>
      <c r="G549" s="5">
        <v>2</v>
      </c>
      <c r="H549" s="5">
        <v>14</v>
      </c>
    </row>
    <row r="550" spans="1:8">
      <c r="A550" s="5">
        <v>94528</v>
      </c>
      <c r="B550" s="5">
        <v>1</v>
      </c>
      <c r="C550" s="5" t="s">
        <v>177</v>
      </c>
      <c r="D550" s="5" t="s">
        <v>177</v>
      </c>
      <c r="E550" s="5" t="s">
        <v>177</v>
      </c>
      <c r="F550" s="5" t="s">
        <v>177</v>
      </c>
      <c r="G550" s="5" t="s">
        <v>177</v>
      </c>
      <c r="H550" s="5">
        <v>1</v>
      </c>
    </row>
    <row r="551" spans="1:8">
      <c r="A551" s="5">
        <v>94530</v>
      </c>
      <c r="B551" s="5">
        <v>44</v>
      </c>
      <c r="C551" s="5">
        <v>5</v>
      </c>
      <c r="D551" s="5">
        <v>7</v>
      </c>
      <c r="E551" s="5">
        <v>3</v>
      </c>
      <c r="F551" s="5">
        <v>7</v>
      </c>
      <c r="G551" s="5">
        <v>11</v>
      </c>
      <c r="H551" s="5">
        <v>11</v>
      </c>
    </row>
    <row r="552" spans="1:8">
      <c r="A552" s="5">
        <v>94531</v>
      </c>
      <c r="B552" s="5">
        <v>85</v>
      </c>
      <c r="C552" s="5">
        <v>11</v>
      </c>
      <c r="D552" s="5">
        <v>19</v>
      </c>
      <c r="E552" s="5">
        <v>11</v>
      </c>
      <c r="F552" s="5">
        <v>16</v>
      </c>
      <c r="G552" s="5">
        <v>11</v>
      </c>
      <c r="H552" s="5">
        <v>17</v>
      </c>
    </row>
    <row r="553" spans="1:8">
      <c r="A553" s="5">
        <v>94536</v>
      </c>
      <c r="B553" s="5">
        <v>125</v>
      </c>
      <c r="C553" s="5">
        <v>19</v>
      </c>
      <c r="D553" s="5">
        <v>20</v>
      </c>
      <c r="E553" s="5">
        <v>17</v>
      </c>
      <c r="F553" s="5">
        <v>22</v>
      </c>
      <c r="G553" s="5">
        <v>16</v>
      </c>
      <c r="H553" s="5">
        <v>31</v>
      </c>
    </row>
    <row r="554" spans="1:8">
      <c r="A554" s="5">
        <v>94538</v>
      </c>
      <c r="B554" s="5">
        <v>137</v>
      </c>
      <c r="C554" s="5">
        <v>20</v>
      </c>
      <c r="D554" s="5">
        <v>25</v>
      </c>
      <c r="E554" s="5">
        <v>6</v>
      </c>
      <c r="F554" s="5">
        <v>27</v>
      </c>
      <c r="G554" s="5">
        <v>18</v>
      </c>
      <c r="H554" s="5">
        <v>41</v>
      </c>
    </row>
    <row r="555" spans="1:8">
      <c r="A555" s="5">
        <v>94539</v>
      </c>
      <c r="B555" s="5">
        <v>113</v>
      </c>
      <c r="C555" s="5">
        <v>24</v>
      </c>
      <c r="D555" s="5">
        <v>14</v>
      </c>
      <c r="E555" s="5">
        <v>12</v>
      </c>
      <c r="F555" s="5">
        <v>20</v>
      </c>
      <c r="G555" s="5">
        <v>11</v>
      </c>
      <c r="H555" s="5">
        <v>32</v>
      </c>
    </row>
    <row r="556" spans="1:8">
      <c r="A556" s="5">
        <v>94541</v>
      </c>
      <c r="B556" s="5">
        <v>98</v>
      </c>
      <c r="C556" s="5">
        <v>16</v>
      </c>
      <c r="D556" s="5">
        <v>22</v>
      </c>
      <c r="E556" s="5">
        <v>8</v>
      </c>
      <c r="F556" s="5">
        <v>16</v>
      </c>
      <c r="G556" s="5">
        <v>13</v>
      </c>
      <c r="H556" s="5">
        <v>23</v>
      </c>
    </row>
    <row r="557" spans="1:8">
      <c r="A557" s="5">
        <v>94542</v>
      </c>
      <c r="B557" s="5">
        <v>30</v>
      </c>
      <c r="C557" s="5">
        <v>4</v>
      </c>
      <c r="D557" s="5">
        <v>5</v>
      </c>
      <c r="E557" s="5">
        <v>4</v>
      </c>
      <c r="F557" s="5">
        <v>5</v>
      </c>
      <c r="G557" s="5">
        <v>2</v>
      </c>
      <c r="H557" s="5">
        <v>10</v>
      </c>
    </row>
    <row r="558" spans="1:8">
      <c r="A558" s="5">
        <v>94544</v>
      </c>
      <c r="B558" s="5">
        <v>163</v>
      </c>
      <c r="C558" s="5">
        <v>31</v>
      </c>
      <c r="D558" s="5">
        <v>25</v>
      </c>
      <c r="E558" s="5">
        <v>18</v>
      </c>
      <c r="F558" s="5">
        <v>40</v>
      </c>
      <c r="G558" s="5">
        <v>12</v>
      </c>
      <c r="H558" s="5">
        <v>37</v>
      </c>
    </row>
    <row r="559" spans="1:8">
      <c r="A559" s="5">
        <v>94545</v>
      </c>
      <c r="B559" s="5">
        <v>67</v>
      </c>
      <c r="C559" s="5">
        <v>15</v>
      </c>
      <c r="D559" s="5">
        <v>11</v>
      </c>
      <c r="E559" s="5">
        <v>6</v>
      </c>
      <c r="F559" s="5">
        <v>13</v>
      </c>
      <c r="G559" s="5">
        <v>6</v>
      </c>
      <c r="H559" s="5">
        <v>16</v>
      </c>
    </row>
    <row r="560" spans="1:8">
      <c r="A560" s="5">
        <v>94546</v>
      </c>
      <c r="B560" s="5">
        <v>104</v>
      </c>
      <c r="C560" s="5">
        <v>13</v>
      </c>
      <c r="D560" s="5">
        <v>9</v>
      </c>
      <c r="E560" s="5">
        <v>13</v>
      </c>
      <c r="F560" s="5">
        <v>20</v>
      </c>
      <c r="G560" s="5">
        <v>10</v>
      </c>
      <c r="H560" s="5">
        <v>39</v>
      </c>
    </row>
    <row r="561" spans="1:8">
      <c r="A561" s="5">
        <v>94547</v>
      </c>
      <c r="B561" s="5">
        <v>49</v>
      </c>
      <c r="C561" s="5">
        <v>11</v>
      </c>
      <c r="D561" s="5">
        <v>4</v>
      </c>
      <c r="E561" s="5">
        <v>3</v>
      </c>
      <c r="F561" s="5">
        <v>13</v>
      </c>
      <c r="G561" s="5">
        <v>5</v>
      </c>
      <c r="H561" s="5">
        <v>13</v>
      </c>
    </row>
    <row r="562" spans="1:8">
      <c r="A562" s="5">
        <v>94549</v>
      </c>
      <c r="B562" s="5">
        <v>31</v>
      </c>
      <c r="C562" s="5">
        <v>5</v>
      </c>
      <c r="D562" s="5">
        <v>2</v>
      </c>
      <c r="E562" s="5">
        <v>4</v>
      </c>
      <c r="F562" s="5">
        <v>4</v>
      </c>
      <c r="G562" s="5">
        <v>3</v>
      </c>
      <c r="H562" s="5">
        <v>13</v>
      </c>
    </row>
    <row r="563" spans="1:8">
      <c r="A563" s="5">
        <v>94550</v>
      </c>
      <c r="B563" s="5">
        <v>83</v>
      </c>
      <c r="C563" s="5">
        <v>10</v>
      </c>
      <c r="D563" s="5">
        <v>14</v>
      </c>
      <c r="E563" s="5">
        <v>8</v>
      </c>
      <c r="F563" s="5">
        <v>15</v>
      </c>
      <c r="G563" s="5">
        <v>12</v>
      </c>
      <c r="H563" s="5">
        <v>24</v>
      </c>
    </row>
    <row r="564" spans="1:8">
      <c r="A564" s="5">
        <v>94551</v>
      </c>
      <c r="B564" s="5">
        <v>45</v>
      </c>
      <c r="C564" s="5">
        <v>7</v>
      </c>
      <c r="D564" s="5">
        <v>6</v>
      </c>
      <c r="E564" s="5">
        <v>2</v>
      </c>
      <c r="F564" s="5">
        <v>8</v>
      </c>
      <c r="G564" s="5">
        <v>11</v>
      </c>
      <c r="H564" s="5">
        <v>11</v>
      </c>
    </row>
    <row r="565" spans="1:8">
      <c r="A565" s="5">
        <v>94552</v>
      </c>
      <c r="B565" s="5">
        <v>28</v>
      </c>
      <c r="C565" s="5">
        <v>4</v>
      </c>
      <c r="D565" s="5">
        <v>2</v>
      </c>
      <c r="E565" s="5">
        <v>1</v>
      </c>
      <c r="F565" s="5">
        <v>6</v>
      </c>
      <c r="G565" s="5">
        <v>5</v>
      </c>
      <c r="H565" s="5">
        <v>10</v>
      </c>
    </row>
    <row r="566" spans="1:8">
      <c r="A566" s="5">
        <v>94553</v>
      </c>
      <c r="B566" s="5">
        <v>50</v>
      </c>
      <c r="C566" s="5">
        <v>7</v>
      </c>
      <c r="D566" s="5">
        <v>3</v>
      </c>
      <c r="E566" s="5">
        <v>5</v>
      </c>
      <c r="F566" s="5">
        <v>16</v>
      </c>
      <c r="G566" s="5">
        <v>8</v>
      </c>
      <c r="H566" s="5">
        <v>11</v>
      </c>
    </row>
    <row r="567" spans="1:8">
      <c r="A567" s="5">
        <v>94555</v>
      </c>
      <c r="B567" s="5">
        <v>72</v>
      </c>
      <c r="C567" s="5">
        <v>14</v>
      </c>
      <c r="D567" s="5">
        <v>10</v>
      </c>
      <c r="E567" s="5">
        <v>7</v>
      </c>
      <c r="F567" s="5">
        <v>17</v>
      </c>
      <c r="G567" s="5">
        <v>8</v>
      </c>
      <c r="H567" s="5">
        <v>16</v>
      </c>
    </row>
    <row r="568" spans="1:8">
      <c r="A568" s="5">
        <v>94556</v>
      </c>
      <c r="B568" s="5">
        <v>32</v>
      </c>
      <c r="C568" s="5">
        <v>7</v>
      </c>
      <c r="D568" s="5">
        <v>5</v>
      </c>
      <c r="E568" s="5">
        <v>2</v>
      </c>
      <c r="F568" s="5">
        <v>5</v>
      </c>
      <c r="G568" s="5">
        <v>4</v>
      </c>
      <c r="H568" s="5">
        <v>9</v>
      </c>
    </row>
    <row r="569" spans="1:8">
      <c r="A569" s="5">
        <v>94560</v>
      </c>
      <c r="B569" s="5">
        <v>105</v>
      </c>
      <c r="C569" s="5">
        <v>15</v>
      </c>
      <c r="D569" s="5">
        <v>18</v>
      </c>
      <c r="E569" s="5">
        <v>9</v>
      </c>
      <c r="F569" s="5">
        <v>32</v>
      </c>
      <c r="G569" s="5">
        <v>8</v>
      </c>
      <c r="H569" s="5">
        <v>23</v>
      </c>
    </row>
    <row r="570" spans="1:8">
      <c r="A570" s="5">
        <v>94561</v>
      </c>
      <c r="B570" s="5">
        <v>63</v>
      </c>
      <c r="C570" s="5">
        <v>13</v>
      </c>
      <c r="D570" s="5">
        <v>11</v>
      </c>
      <c r="E570" s="5">
        <v>6</v>
      </c>
      <c r="F570" s="5">
        <v>14</v>
      </c>
      <c r="G570" s="5">
        <v>8</v>
      </c>
      <c r="H570" s="5">
        <v>11</v>
      </c>
    </row>
    <row r="571" spans="1:8">
      <c r="A571" s="5">
        <v>94563</v>
      </c>
      <c r="B571" s="5">
        <v>26</v>
      </c>
      <c r="C571" s="5">
        <v>6</v>
      </c>
      <c r="D571" s="5">
        <v>2</v>
      </c>
      <c r="E571" s="5" t="s">
        <v>177</v>
      </c>
      <c r="F571" s="5">
        <v>7</v>
      </c>
      <c r="G571" s="5">
        <v>3</v>
      </c>
      <c r="H571" s="5">
        <v>8</v>
      </c>
    </row>
    <row r="572" spans="1:8">
      <c r="A572" s="5">
        <v>94564</v>
      </c>
      <c r="B572" s="5">
        <v>28</v>
      </c>
      <c r="C572" s="5">
        <v>7</v>
      </c>
      <c r="D572" s="5">
        <v>2</v>
      </c>
      <c r="E572" s="5" t="s">
        <v>177</v>
      </c>
      <c r="F572" s="5">
        <v>6</v>
      </c>
      <c r="G572" s="5">
        <v>1</v>
      </c>
      <c r="H572" s="5">
        <v>12</v>
      </c>
    </row>
    <row r="573" spans="1:8">
      <c r="A573" s="5">
        <v>94565</v>
      </c>
      <c r="B573" s="5">
        <v>157</v>
      </c>
      <c r="C573" s="5">
        <v>24</v>
      </c>
      <c r="D573" s="5">
        <v>29</v>
      </c>
      <c r="E573" s="5">
        <v>18</v>
      </c>
      <c r="F573" s="5">
        <v>27</v>
      </c>
      <c r="G573" s="5">
        <v>18</v>
      </c>
      <c r="H573" s="5">
        <v>41</v>
      </c>
    </row>
    <row r="574" spans="1:8">
      <c r="A574" s="5">
        <v>94566</v>
      </c>
      <c r="B574" s="5">
        <v>58</v>
      </c>
      <c r="C574" s="5">
        <v>7</v>
      </c>
      <c r="D574" s="5">
        <v>7</v>
      </c>
      <c r="E574" s="5">
        <v>7</v>
      </c>
      <c r="F574" s="5">
        <v>12</v>
      </c>
      <c r="G574" s="5">
        <v>7</v>
      </c>
      <c r="H574" s="5">
        <v>18</v>
      </c>
    </row>
    <row r="575" spans="1:8">
      <c r="A575" s="5">
        <v>94568</v>
      </c>
      <c r="B575" s="5">
        <v>113</v>
      </c>
      <c r="C575" s="5">
        <v>15</v>
      </c>
      <c r="D575" s="5">
        <v>11</v>
      </c>
      <c r="E575" s="5">
        <v>12</v>
      </c>
      <c r="F575" s="5">
        <v>30</v>
      </c>
      <c r="G575" s="5">
        <v>12</v>
      </c>
      <c r="H575" s="5">
        <v>33</v>
      </c>
    </row>
    <row r="576" spans="1:8">
      <c r="A576" s="5">
        <v>94572</v>
      </c>
      <c r="B576" s="5">
        <v>21</v>
      </c>
      <c r="C576" s="5">
        <v>2</v>
      </c>
      <c r="D576" s="5">
        <v>4</v>
      </c>
      <c r="E576" s="5">
        <v>2</v>
      </c>
      <c r="F576" s="5">
        <v>6</v>
      </c>
      <c r="G576" s="5">
        <v>2</v>
      </c>
      <c r="H576" s="5">
        <v>5</v>
      </c>
    </row>
    <row r="577" spans="1:8">
      <c r="A577" s="5">
        <v>94577</v>
      </c>
      <c r="B577" s="5">
        <v>78</v>
      </c>
      <c r="C577" s="5">
        <v>10</v>
      </c>
      <c r="D577" s="5">
        <v>14</v>
      </c>
      <c r="E577" s="5">
        <v>7</v>
      </c>
      <c r="F577" s="5">
        <v>20</v>
      </c>
      <c r="G577" s="5">
        <v>11</v>
      </c>
      <c r="H577" s="5">
        <v>16</v>
      </c>
    </row>
    <row r="578" spans="1:8">
      <c r="A578" s="5">
        <v>94578</v>
      </c>
      <c r="B578" s="5">
        <v>80</v>
      </c>
      <c r="C578" s="5">
        <v>14</v>
      </c>
      <c r="D578" s="5">
        <v>8</v>
      </c>
      <c r="E578" s="5">
        <v>11</v>
      </c>
      <c r="F578" s="5">
        <v>15</v>
      </c>
      <c r="G578" s="5">
        <v>10</v>
      </c>
      <c r="H578" s="5">
        <v>22</v>
      </c>
    </row>
    <row r="579" spans="1:8">
      <c r="A579" s="5">
        <v>94579</v>
      </c>
      <c r="B579" s="5">
        <v>63</v>
      </c>
      <c r="C579" s="5">
        <v>10</v>
      </c>
      <c r="D579" s="5">
        <v>14</v>
      </c>
      <c r="E579" s="5">
        <v>8</v>
      </c>
      <c r="F579" s="5">
        <v>9</v>
      </c>
      <c r="G579" s="5">
        <v>8</v>
      </c>
      <c r="H579" s="5">
        <v>14</v>
      </c>
    </row>
    <row r="580" spans="1:8">
      <c r="A580" s="5">
        <v>94580</v>
      </c>
      <c r="B580" s="5">
        <v>81</v>
      </c>
      <c r="C580" s="5">
        <v>9</v>
      </c>
      <c r="D580" s="5">
        <v>13</v>
      </c>
      <c r="E580" s="5">
        <v>12</v>
      </c>
      <c r="F580" s="5">
        <v>7</v>
      </c>
      <c r="G580" s="5">
        <v>16</v>
      </c>
      <c r="H580" s="5">
        <v>24</v>
      </c>
    </row>
    <row r="581" spans="1:8">
      <c r="A581" s="5">
        <v>94582</v>
      </c>
      <c r="B581" s="5">
        <v>77</v>
      </c>
      <c r="C581" s="5">
        <v>10</v>
      </c>
      <c r="D581" s="5">
        <v>8</v>
      </c>
      <c r="E581" s="5">
        <v>6</v>
      </c>
      <c r="F581" s="5">
        <v>20</v>
      </c>
      <c r="G581" s="5">
        <v>11</v>
      </c>
      <c r="H581" s="5">
        <v>22</v>
      </c>
    </row>
    <row r="582" spans="1:8">
      <c r="A582" s="5">
        <v>94583</v>
      </c>
      <c r="B582" s="5">
        <v>64</v>
      </c>
      <c r="C582" s="5">
        <v>10</v>
      </c>
      <c r="D582" s="5">
        <v>8</v>
      </c>
      <c r="E582" s="5">
        <v>4</v>
      </c>
      <c r="F582" s="5">
        <v>12</v>
      </c>
      <c r="G582" s="5">
        <v>9</v>
      </c>
      <c r="H582" s="5">
        <v>21</v>
      </c>
    </row>
    <row r="583" spans="1:8">
      <c r="A583" s="5">
        <v>94587</v>
      </c>
      <c r="B583" s="5">
        <v>164</v>
      </c>
      <c r="C583" s="5">
        <v>37</v>
      </c>
      <c r="D583" s="5">
        <v>18</v>
      </c>
      <c r="E583" s="5">
        <v>12</v>
      </c>
      <c r="F583" s="5">
        <v>43</v>
      </c>
      <c r="G583" s="5">
        <v>15</v>
      </c>
      <c r="H583" s="5">
        <v>39</v>
      </c>
    </row>
    <row r="584" spans="1:8">
      <c r="A584" s="5">
        <v>94588</v>
      </c>
      <c r="B584" s="5">
        <v>47</v>
      </c>
      <c r="C584" s="5">
        <v>6</v>
      </c>
      <c r="D584" s="5">
        <v>6</v>
      </c>
      <c r="E584" s="5">
        <v>1</v>
      </c>
      <c r="F584" s="5">
        <v>15</v>
      </c>
      <c r="G584" s="5">
        <v>8</v>
      </c>
      <c r="H584" s="5">
        <v>11</v>
      </c>
    </row>
    <row r="585" spans="1:8">
      <c r="A585" s="5">
        <v>94589</v>
      </c>
      <c r="B585" s="5">
        <v>61</v>
      </c>
      <c r="C585" s="5">
        <v>4</v>
      </c>
      <c r="D585" s="5">
        <v>6</v>
      </c>
      <c r="E585" s="5">
        <v>11</v>
      </c>
      <c r="F585" s="5">
        <v>19</v>
      </c>
      <c r="G585" s="5">
        <v>6</v>
      </c>
      <c r="H585" s="5">
        <v>15</v>
      </c>
    </row>
    <row r="586" spans="1:8">
      <c r="A586" s="5">
        <v>94590</v>
      </c>
      <c r="B586" s="5">
        <v>52</v>
      </c>
      <c r="C586" s="5">
        <v>6</v>
      </c>
      <c r="D586" s="5">
        <v>3</v>
      </c>
      <c r="E586" s="5">
        <v>3</v>
      </c>
      <c r="F586" s="5">
        <v>15</v>
      </c>
      <c r="G586" s="5">
        <v>9</v>
      </c>
      <c r="H586" s="5">
        <v>16</v>
      </c>
    </row>
    <row r="587" spans="1:8">
      <c r="A587" s="5">
        <v>94591</v>
      </c>
      <c r="B587" s="5">
        <v>80</v>
      </c>
      <c r="C587" s="5">
        <v>10</v>
      </c>
      <c r="D587" s="5">
        <v>9</v>
      </c>
      <c r="E587" s="5">
        <v>8</v>
      </c>
      <c r="F587" s="5">
        <v>21</v>
      </c>
      <c r="G587" s="5">
        <v>9</v>
      </c>
      <c r="H587" s="5">
        <v>23</v>
      </c>
    </row>
    <row r="588" spans="1:8">
      <c r="A588" s="5">
        <v>94592</v>
      </c>
      <c r="B588" s="5">
        <v>1</v>
      </c>
      <c r="C588" s="5">
        <v>1</v>
      </c>
      <c r="D588" s="5" t="s">
        <v>177</v>
      </c>
      <c r="E588" s="5" t="s">
        <v>177</v>
      </c>
      <c r="F588" s="5" t="s">
        <v>177</v>
      </c>
      <c r="G588" s="5" t="s">
        <v>177</v>
      </c>
      <c r="H588" s="5" t="s">
        <v>177</v>
      </c>
    </row>
    <row r="589" spans="1:8">
      <c r="A589" s="5">
        <v>94595</v>
      </c>
      <c r="B589" s="5">
        <v>21</v>
      </c>
      <c r="C589" s="5">
        <v>3</v>
      </c>
      <c r="D589" s="5">
        <v>4</v>
      </c>
      <c r="E589" s="5">
        <v>2</v>
      </c>
      <c r="F589" s="5">
        <v>5</v>
      </c>
      <c r="G589" s="5">
        <v>2</v>
      </c>
      <c r="H589" s="5">
        <v>5</v>
      </c>
    </row>
    <row r="590" spans="1:8">
      <c r="A590" s="5">
        <v>94596</v>
      </c>
      <c r="B590" s="5">
        <v>24</v>
      </c>
      <c r="C590" s="5">
        <v>6</v>
      </c>
      <c r="D590" s="5">
        <v>4</v>
      </c>
      <c r="E590" s="5">
        <v>2</v>
      </c>
      <c r="F590" s="5">
        <v>7</v>
      </c>
      <c r="G590" s="5">
        <v>2</v>
      </c>
      <c r="H590" s="5">
        <v>3</v>
      </c>
    </row>
    <row r="591" spans="1:8">
      <c r="A591" s="5">
        <v>94597</v>
      </c>
      <c r="B591" s="5">
        <v>40</v>
      </c>
      <c r="C591" s="5">
        <v>9</v>
      </c>
      <c r="D591" s="5">
        <v>6</v>
      </c>
      <c r="E591" s="5">
        <v>2</v>
      </c>
      <c r="F591" s="5">
        <v>4</v>
      </c>
      <c r="G591" s="5">
        <v>4</v>
      </c>
      <c r="H591" s="5">
        <v>15</v>
      </c>
    </row>
    <row r="592" spans="1:8">
      <c r="A592" s="5">
        <v>94598</v>
      </c>
      <c r="B592" s="5">
        <v>45</v>
      </c>
      <c r="C592" s="5">
        <v>11</v>
      </c>
      <c r="D592" s="5">
        <v>4</v>
      </c>
      <c r="E592" s="5">
        <v>2</v>
      </c>
      <c r="F592" s="5">
        <v>11</v>
      </c>
      <c r="G592" s="5">
        <v>9</v>
      </c>
      <c r="H592" s="5">
        <v>8</v>
      </c>
    </row>
    <row r="593" spans="1:8">
      <c r="A593" s="5">
        <v>94601</v>
      </c>
      <c r="B593" s="5">
        <v>63</v>
      </c>
      <c r="C593" s="5">
        <v>10</v>
      </c>
      <c r="D593" s="5">
        <v>10</v>
      </c>
      <c r="E593" s="5">
        <v>4</v>
      </c>
      <c r="F593" s="5">
        <v>16</v>
      </c>
      <c r="G593" s="5">
        <v>8</v>
      </c>
      <c r="H593" s="5">
        <v>15</v>
      </c>
    </row>
    <row r="594" spans="1:8">
      <c r="A594" s="5">
        <v>94602</v>
      </c>
      <c r="B594" s="5">
        <v>39</v>
      </c>
      <c r="C594" s="5">
        <v>6</v>
      </c>
      <c r="D594" s="5">
        <v>4</v>
      </c>
      <c r="E594" s="5">
        <v>1</v>
      </c>
      <c r="F594" s="5">
        <v>11</v>
      </c>
      <c r="G594" s="5">
        <v>8</v>
      </c>
      <c r="H594" s="5">
        <v>9</v>
      </c>
    </row>
    <row r="595" spans="1:8">
      <c r="A595" s="5">
        <v>94603</v>
      </c>
      <c r="B595" s="5">
        <v>34</v>
      </c>
      <c r="C595" s="5">
        <v>3</v>
      </c>
      <c r="D595" s="5">
        <v>5</v>
      </c>
      <c r="E595" s="5">
        <v>1</v>
      </c>
      <c r="F595" s="5">
        <v>11</v>
      </c>
      <c r="G595" s="5">
        <v>2</v>
      </c>
      <c r="H595" s="5">
        <v>12</v>
      </c>
    </row>
    <row r="596" spans="1:8">
      <c r="A596" s="5">
        <v>94605</v>
      </c>
      <c r="B596" s="5">
        <v>65</v>
      </c>
      <c r="C596" s="5">
        <v>12</v>
      </c>
      <c r="D596" s="5">
        <v>10</v>
      </c>
      <c r="E596" s="5">
        <v>5</v>
      </c>
      <c r="F596" s="5">
        <v>15</v>
      </c>
      <c r="G596" s="5">
        <v>11</v>
      </c>
      <c r="H596" s="5">
        <v>12</v>
      </c>
    </row>
    <row r="597" spans="1:8">
      <c r="A597" s="5">
        <v>94606</v>
      </c>
      <c r="B597" s="5">
        <v>77</v>
      </c>
      <c r="C597" s="5">
        <v>8</v>
      </c>
      <c r="D597" s="5">
        <v>13</v>
      </c>
      <c r="E597" s="5">
        <v>8</v>
      </c>
      <c r="F597" s="5">
        <v>14</v>
      </c>
      <c r="G597" s="5">
        <v>13</v>
      </c>
      <c r="H597" s="5">
        <v>21</v>
      </c>
    </row>
    <row r="598" spans="1:8">
      <c r="A598" s="5">
        <v>94607</v>
      </c>
      <c r="B598" s="5">
        <v>69</v>
      </c>
      <c r="C598" s="5">
        <v>12</v>
      </c>
      <c r="D598" s="5">
        <v>11</v>
      </c>
      <c r="E598" s="5">
        <v>2</v>
      </c>
      <c r="F598" s="5">
        <v>14</v>
      </c>
      <c r="G598" s="5">
        <v>14</v>
      </c>
      <c r="H598" s="5">
        <v>16</v>
      </c>
    </row>
    <row r="599" spans="1:8">
      <c r="A599" s="5">
        <v>94608</v>
      </c>
      <c r="B599" s="5">
        <v>78</v>
      </c>
      <c r="C599" s="5">
        <v>6</v>
      </c>
      <c r="D599" s="5">
        <v>10</v>
      </c>
      <c r="E599" s="5">
        <v>9</v>
      </c>
      <c r="F599" s="5">
        <v>16</v>
      </c>
      <c r="G599" s="5">
        <v>17</v>
      </c>
      <c r="H599" s="5">
        <v>20</v>
      </c>
    </row>
    <row r="600" spans="1:8">
      <c r="A600" s="5">
        <v>94609</v>
      </c>
      <c r="B600" s="5">
        <v>42</v>
      </c>
      <c r="C600" s="5">
        <v>6</v>
      </c>
      <c r="D600" s="5">
        <v>6</v>
      </c>
      <c r="E600" s="5">
        <v>2</v>
      </c>
      <c r="F600" s="5">
        <v>11</v>
      </c>
      <c r="G600" s="5">
        <v>8</v>
      </c>
      <c r="H600" s="5">
        <v>9</v>
      </c>
    </row>
    <row r="601" spans="1:8">
      <c r="A601" s="5">
        <v>94610</v>
      </c>
      <c r="B601" s="5">
        <v>45</v>
      </c>
      <c r="C601" s="5">
        <v>4</v>
      </c>
      <c r="D601" s="5">
        <v>3</v>
      </c>
      <c r="E601" s="5">
        <v>7</v>
      </c>
      <c r="F601" s="5">
        <v>10</v>
      </c>
      <c r="G601" s="5">
        <v>13</v>
      </c>
      <c r="H601" s="5">
        <v>8</v>
      </c>
    </row>
    <row r="602" spans="1:8">
      <c r="A602" s="5">
        <v>94611</v>
      </c>
      <c r="B602" s="5">
        <v>61</v>
      </c>
      <c r="C602" s="5">
        <v>13</v>
      </c>
      <c r="D602" s="5">
        <v>4</v>
      </c>
      <c r="E602" s="5">
        <v>8</v>
      </c>
      <c r="F602" s="5">
        <v>16</v>
      </c>
      <c r="G602" s="5">
        <v>9</v>
      </c>
      <c r="H602" s="5">
        <v>11</v>
      </c>
    </row>
    <row r="603" spans="1:8">
      <c r="A603" s="5">
        <v>94612</v>
      </c>
      <c r="B603" s="5">
        <v>54</v>
      </c>
      <c r="C603" s="5">
        <v>7</v>
      </c>
      <c r="D603" s="5">
        <v>10</v>
      </c>
      <c r="E603" s="5">
        <v>4</v>
      </c>
      <c r="F603" s="5">
        <v>15</v>
      </c>
      <c r="G603" s="5">
        <v>2</v>
      </c>
      <c r="H603" s="5">
        <v>16</v>
      </c>
    </row>
    <row r="604" spans="1:8">
      <c r="A604" s="5">
        <v>94618</v>
      </c>
      <c r="B604" s="5">
        <v>28</v>
      </c>
      <c r="C604" s="5">
        <v>5</v>
      </c>
      <c r="D604" s="5">
        <v>5</v>
      </c>
      <c r="E604" s="5">
        <v>1</v>
      </c>
      <c r="F604" s="5">
        <v>6</v>
      </c>
      <c r="G604" s="5">
        <v>4</v>
      </c>
      <c r="H604" s="5">
        <v>7</v>
      </c>
    </row>
    <row r="605" spans="1:8">
      <c r="A605" s="5">
        <v>94619</v>
      </c>
      <c r="B605" s="5">
        <v>52</v>
      </c>
      <c r="C605" s="5">
        <v>3</v>
      </c>
      <c r="D605" s="5">
        <v>6</v>
      </c>
      <c r="E605" s="5">
        <v>8</v>
      </c>
      <c r="F605" s="5">
        <v>20</v>
      </c>
      <c r="G605" s="5">
        <v>7</v>
      </c>
      <c r="H605" s="5">
        <v>8</v>
      </c>
    </row>
    <row r="606" spans="1:8">
      <c r="A606" s="5">
        <v>94621</v>
      </c>
      <c r="B606" s="5">
        <v>37</v>
      </c>
      <c r="C606" s="5">
        <v>4</v>
      </c>
      <c r="D606" s="5">
        <v>4</v>
      </c>
      <c r="E606" s="5">
        <v>4</v>
      </c>
      <c r="F606" s="5">
        <v>9</v>
      </c>
      <c r="G606" s="5">
        <v>3</v>
      </c>
      <c r="H606" s="5">
        <v>13</v>
      </c>
    </row>
    <row r="607" spans="1:8">
      <c r="A607" s="5">
        <v>94702</v>
      </c>
      <c r="B607" s="5">
        <v>24</v>
      </c>
      <c r="C607" s="5">
        <v>2</v>
      </c>
      <c r="D607" s="5">
        <v>4</v>
      </c>
      <c r="E607" s="5">
        <v>2</v>
      </c>
      <c r="F607" s="5">
        <v>5</v>
      </c>
      <c r="G607" s="5">
        <v>5</v>
      </c>
      <c r="H607" s="5">
        <v>6</v>
      </c>
    </row>
    <row r="608" spans="1:8">
      <c r="A608" s="5">
        <v>94703</v>
      </c>
      <c r="B608" s="5">
        <v>40</v>
      </c>
      <c r="C608" s="5">
        <v>3</v>
      </c>
      <c r="D608" s="5">
        <v>4</v>
      </c>
      <c r="E608" s="5">
        <v>4</v>
      </c>
      <c r="F608" s="5">
        <v>11</v>
      </c>
      <c r="G608" s="5">
        <v>5</v>
      </c>
      <c r="H608" s="5">
        <v>13</v>
      </c>
    </row>
    <row r="609" spans="1:8">
      <c r="A609" s="5">
        <v>94704</v>
      </c>
      <c r="B609" s="5">
        <v>35</v>
      </c>
      <c r="C609" s="5">
        <v>7</v>
      </c>
      <c r="D609" s="5">
        <v>6</v>
      </c>
      <c r="E609" s="5">
        <v>1</v>
      </c>
      <c r="F609" s="5">
        <v>8</v>
      </c>
      <c r="G609" s="5">
        <v>7</v>
      </c>
      <c r="H609" s="5">
        <v>6</v>
      </c>
    </row>
    <row r="610" spans="1:8">
      <c r="A610" s="5">
        <v>94705</v>
      </c>
      <c r="B610" s="5">
        <v>19</v>
      </c>
      <c r="C610" s="5">
        <v>8</v>
      </c>
      <c r="D610" s="5">
        <v>3</v>
      </c>
      <c r="E610" s="5">
        <v>2</v>
      </c>
      <c r="F610" s="5" t="s">
        <v>177</v>
      </c>
      <c r="G610" s="5">
        <v>2</v>
      </c>
      <c r="H610" s="5">
        <v>4</v>
      </c>
    </row>
    <row r="611" spans="1:8">
      <c r="A611" s="5">
        <v>94706</v>
      </c>
      <c r="B611" s="5">
        <v>33</v>
      </c>
      <c r="C611" s="5">
        <v>1</v>
      </c>
      <c r="D611" s="5">
        <v>3</v>
      </c>
      <c r="E611" s="5">
        <v>3</v>
      </c>
      <c r="F611" s="5">
        <v>14</v>
      </c>
      <c r="G611" s="5">
        <v>5</v>
      </c>
      <c r="H611" s="5">
        <v>7</v>
      </c>
    </row>
    <row r="612" spans="1:8">
      <c r="A612" s="5">
        <v>94707</v>
      </c>
      <c r="B612" s="5">
        <v>21</v>
      </c>
      <c r="C612" s="5">
        <v>4</v>
      </c>
      <c r="D612" s="5">
        <v>5</v>
      </c>
      <c r="E612" s="5">
        <v>2</v>
      </c>
      <c r="F612" s="5">
        <v>4</v>
      </c>
      <c r="G612" s="5">
        <v>1</v>
      </c>
      <c r="H612" s="5">
        <v>5</v>
      </c>
    </row>
    <row r="613" spans="1:8">
      <c r="A613" s="5">
        <v>94708</v>
      </c>
      <c r="B613" s="5">
        <v>10</v>
      </c>
      <c r="C613" s="5">
        <v>1</v>
      </c>
      <c r="D613" s="5">
        <v>1</v>
      </c>
      <c r="E613" s="5" t="s">
        <v>177</v>
      </c>
      <c r="F613" s="5">
        <v>3</v>
      </c>
      <c r="G613" s="5">
        <v>2</v>
      </c>
      <c r="H613" s="5">
        <v>3</v>
      </c>
    </row>
    <row r="614" spans="1:8">
      <c r="A614" s="5">
        <v>94709</v>
      </c>
      <c r="B614" s="5">
        <v>10</v>
      </c>
      <c r="C614" s="5" t="s">
        <v>177</v>
      </c>
      <c r="D614" s="5">
        <v>1</v>
      </c>
      <c r="E614" s="5" t="s">
        <v>177</v>
      </c>
      <c r="F614" s="5">
        <v>3</v>
      </c>
      <c r="G614" s="5" t="s">
        <v>177</v>
      </c>
      <c r="H614" s="5">
        <v>6</v>
      </c>
    </row>
    <row r="615" spans="1:8">
      <c r="A615" s="5">
        <v>94710</v>
      </c>
      <c r="B615" s="5">
        <v>17</v>
      </c>
      <c r="C615" s="5">
        <v>4</v>
      </c>
      <c r="D615" s="5">
        <v>2</v>
      </c>
      <c r="E615" s="5">
        <v>1</v>
      </c>
      <c r="F615" s="5">
        <v>3</v>
      </c>
      <c r="G615" s="5">
        <v>4</v>
      </c>
      <c r="H615" s="5">
        <v>3</v>
      </c>
    </row>
    <row r="616" spans="1:8">
      <c r="A616" s="5">
        <v>94720</v>
      </c>
      <c r="B616" s="5">
        <v>3</v>
      </c>
      <c r="C616" s="5">
        <v>1</v>
      </c>
      <c r="D616" s="5">
        <v>1</v>
      </c>
      <c r="E616" s="5" t="s">
        <v>177</v>
      </c>
      <c r="F616" s="5" t="s">
        <v>177</v>
      </c>
      <c r="G616" s="5">
        <v>1</v>
      </c>
      <c r="H616" s="5" t="s">
        <v>177</v>
      </c>
    </row>
    <row r="617" spans="1:8">
      <c r="A617" s="5">
        <v>94801</v>
      </c>
      <c r="B617" s="5">
        <v>51</v>
      </c>
      <c r="C617" s="5">
        <v>11</v>
      </c>
      <c r="D617" s="5">
        <v>6</v>
      </c>
      <c r="E617" s="5">
        <v>7</v>
      </c>
      <c r="F617" s="5">
        <v>6</v>
      </c>
      <c r="G617" s="5">
        <v>8</v>
      </c>
      <c r="H617" s="5">
        <v>13</v>
      </c>
    </row>
    <row r="618" spans="1:8">
      <c r="A618" s="5">
        <v>94803</v>
      </c>
      <c r="B618" s="5">
        <v>49</v>
      </c>
      <c r="C618" s="5">
        <v>3</v>
      </c>
      <c r="D618" s="5">
        <v>11</v>
      </c>
      <c r="E618" s="5">
        <v>1</v>
      </c>
      <c r="F618" s="5">
        <v>16</v>
      </c>
      <c r="G618" s="5">
        <v>7</v>
      </c>
      <c r="H618" s="5">
        <v>11</v>
      </c>
    </row>
    <row r="619" spans="1:8">
      <c r="A619" s="5">
        <v>94804</v>
      </c>
      <c r="B619" s="5">
        <v>61</v>
      </c>
      <c r="C619" s="5">
        <v>11</v>
      </c>
      <c r="D619" s="5">
        <v>9</v>
      </c>
      <c r="E619" s="5">
        <v>8</v>
      </c>
      <c r="F619" s="5">
        <v>16</v>
      </c>
      <c r="G619" s="5">
        <v>6</v>
      </c>
      <c r="H619" s="5">
        <v>11</v>
      </c>
    </row>
    <row r="620" spans="1:8">
      <c r="A620" s="5">
        <v>94805</v>
      </c>
      <c r="B620" s="5">
        <v>49</v>
      </c>
      <c r="C620" s="5">
        <v>5</v>
      </c>
      <c r="D620" s="5">
        <v>6</v>
      </c>
      <c r="E620" s="5">
        <v>5</v>
      </c>
      <c r="F620" s="5">
        <v>9</v>
      </c>
      <c r="G620" s="5">
        <v>1</v>
      </c>
      <c r="H620" s="5">
        <v>23</v>
      </c>
    </row>
    <row r="621" spans="1:8">
      <c r="A621" s="5">
        <v>94806</v>
      </c>
      <c r="B621" s="5">
        <v>101</v>
      </c>
      <c r="C621" s="5">
        <v>14</v>
      </c>
      <c r="D621" s="5">
        <v>20</v>
      </c>
      <c r="E621" s="5">
        <v>9</v>
      </c>
      <c r="F621" s="5">
        <v>13</v>
      </c>
      <c r="G621" s="5">
        <v>21</v>
      </c>
      <c r="H621" s="5">
        <v>24</v>
      </c>
    </row>
    <row r="622" spans="1:8">
      <c r="A622" s="5">
        <v>94901</v>
      </c>
      <c r="B622" s="5">
        <v>61</v>
      </c>
      <c r="C622" s="5">
        <v>10</v>
      </c>
      <c r="D622" s="5">
        <v>8</v>
      </c>
      <c r="E622" s="5">
        <v>7</v>
      </c>
      <c r="F622" s="5">
        <v>13</v>
      </c>
      <c r="G622" s="5">
        <v>9</v>
      </c>
      <c r="H622" s="5">
        <v>14</v>
      </c>
    </row>
    <row r="623" spans="1:8">
      <c r="A623" s="5">
        <v>94903</v>
      </c>
      <c r="B623" s="5">
        <v>52</v>
      </c>
      <c r="C623" s="5">
        <v>10</v>
      </c>
      <c r="D623" s="5">
        <v>8</v>
      </c>
      <c r="E623" s="5">
        <v>6</v>
      </c>
      <c r="F623" s="5">
        <v>12</v>
      </c>
      <c r="G623" s="5">
        <v>2</v>
      </c>
      <c r="H623" s="5">
        <v>14</v>
      </c>
    </row>
    <row r="624" spans="1:8">
      <c r="A624" s="5">
        <v>94904</v>
      </c>
      <c r="B624" s="5">
        <v>21</v>
      </c>
      <c r="C624" s="5">
        <v>3</v>
      </c>
      <c r="D624" s="5">
        <v>4</v>
      </c>
      <c r="E624" s="5">
        <v>2</v>
      </c>
      <c r="F624" s="5">
        <v>1</v>
      </c>
      <c r="G624" s="5">
        <v>4</v>
      </c>
      <c r="H624" s="5">
        <v>7</v>
      </c>
    </row>
    <row r="625" spans="1:8">
      <c r="A625" s="5">
        <v>94920</v>
      </c>
      <c r="B625" s="5">
        <v>6</v>
      </c>
      <c r="C625" s="5">
        <v>2</v>
      </c>
      <c r="D625" s="5">
        <v>1</v>
      </c>
      <c r="E625" s="5" t="s">
        <v>177</v>
      </c>
      <c r="F625" s="5" t="s">
        <v>177</v>
      </c>
      <c r="G625" s="5" t="s">
        <v>177</v>
      </c>
      <c r="H625" s="5">
        <v>3</v>
      </c>
    </row>
    <row r="626" spans="1:8">
      <c r="A626" s="5">
        <v>94925</v>
      </c>
      <c r="B626" s="5">
        <v>13</v>
      </c>
      <c r="C626" s="5">
        <v>1</v>
      </c>
      <c r="D626" s="5">
        <v>1</v>
      </c>
      <c r="E626" s="5" t="s">
        <v>177</v>
      </c>
      <c r="F626" s="5">
        <v>5</v>
      </c>
      <c r="G626" s="5">
        <v>2</v>
      </c>
      <c r="H626" s="5">
        <v>4</v>
      </c>
    </row>
    <row r="627" spans="1:8">
      <c r="A627" s="5">
        <v>94930</v>
      </c>
      <c r="B627" s="5">
        <v>8</v>
      </c>
      <c r="C627" s="5">
        <v>1</v>
      </c>
      <c r="D627" s="5" t="s">
        <v>177</v>
      </c>
      <c r="E627" s="5">
        <v>1</v>
      </c>
      <c r="F627" s="5">
        <v>3</v>
      </c>
      <c r="G627" s="5" t="s">
        <v>177</v>
      </c>
      <c r="H627" s="5">
        <v>3</v>
      </c>
    </row>
    <row r="628" spans="1:8">
      <c r="A628" s="5">
        <v>94939</v>
      </c>
      <c r="B628" s="5">
        <v>12</v>
      </c>
      <c r="C628" s="5" t="s">
        <v>177</v>
      </c>
      <c r="D628" s="5">
        <v>2</v>
      </c>
      <c r="E628" s="5">
        <v>1</v>
      </c>
      <c r="F628" s="5">
        <v>3</v>
      </c>
      <c r="G628" s="5">
        <v>3</v>
      </c>
      <c r="H628" s="5">
        <v>3</v>
      </c>
    </row>
    <row r="629" spans="1:8">
      <c r="A629" s="5">
        <v>94941</v>
      </c>
      <c r="B629" s="5">
        <v>52</v>
      </c>
      <c r="C629" s="5">
        <v>3</v>
      </c>
      <c r="D629" s="5">
        <v>9</v>
      </c>
      <c r="E629" s="5" t="s">
        <v>177</v>
      </c>
      <c r="F629" s="5">
        <v>11</v>
      </c>
      <c r="G629" s="5">
        <v>11</v>
      </c>
      <c r="H629" s="5">
        <v>18</v>
      </c>
    </row>
    <row r="630" spans="1:8">
      <c r="A630" s="5">
        <v>94945</v>
      </c>
      <c r="B630" s="5">
        <v>27</v>
      </c>
      <c r="C630" s="5">
        <v>2</v>
      </c>
      <c r="D630" s="5">
        <v>5</v>
      </c>
      <c r="E630" s="5">
        <v>2</v>
      </c>
      <c r="F630" s="5">
        <v>6</v>
      </c>
      <c r="G630" s="5">
        <v>3</v>
      </c>
      <c r="H630" s="5">
        <v>9</v>
      </c>
    </row>
    <row r="631" spans="1:8">
      <c r="A631" s="5">
        <v>94947</v>
      </c>
      <c r="B631" s="5">
        <v>32</v>
      </c>
      <c r="C631" s="5">
        <v>3</v>
      </c>
      <c r="D631" s="5">
        <v>4</v>
      </c>
      <c r="E631" s="5">
        <v>4</v>
      </c>
      <c r="F631" s="5">
        <v>6</v>
      </c>
      <c r="G631" s="5">
        <v>7</v>
      </c>
      <c r="H631" s="5">
        <v>8</v>
      </c>
    </row>
    <row r="632" spans="1:8">
      <c r="A632" s="5">
        <v>94949</v>
      </c>
      <c r="B632" s="5">
        <v>13</v>
      </c>
      <c r="C632" s="5">
        <v>1</v>
      </c>
      <c r="D632" s="5">
        <v>2</v>
      </c>
      <c r="E632" s="5">
        <v>1</v>
      </c>
      <c r="F632" s="5">
        <v>4</v>
      </c>
      <c r="G632" s="5" t="s">
        <v>177</v>
      </c>
      <c r="H632" s="5">
        <v>5</v>
      </c>
    </row>
    <row r="633" spans="1:8">
      <c r="A633" s="5">
        <v>94960</v>
      </c>
      <c r="B633" s="5">
        <v>15</v>
      </c>
      <c r="C633" s="5">
        <v>2</v>
      </c>
      <c r="D633" s="5">
        <v>2</v>
      </c>
      <c r="E633" s="5" t="s">
        <v>177</v>
      </c>
      <c r="F633" s="5">
        <v>5</v>
      </c>
      <c r="G633" s="5">
        <v>1</v>
      </c>
      <c r="H633" s="5">
        <v>5</v>
      </c>
    </row>
    <row r="634" spans="1:8">
      <c r="A634" s="5">
        <v>94965</v>
      </c>
      <c r="B634" s="5">
        <v>17</v>
      </c>
      <c r="C634" s="5">
        <v>4</v>
      </c>
      <c r="D634" s="5">
        <v>2</v>
      </c>
      <c r="E634" s="5" t="s">
        <v>177</v>
      </c>
      <c r="F634" s="5">
        <v>3</v>
      </c>
      <c r="G634" s="5">
        <v>3</v>
      </c>
      <c r="H634" s="5">
        <v>5</v>
      </c>
    </row>
    <row r="635" spans="1:8">
      <c r="A635" s="5">
        <v>95002</v>
      </c>
      <c r="B635" s="5">
        <v>1</v>
      </c>
      <c r="C635" s="5" t="s">
        <v>177</v>
      </c>
      <c r="D635" s="5" t="s">
        <v>177</v>
      </c>
      <c r="E635" s="5">
        <v>1</v>
      </c>
      <c r="F635" s="5" t="s">
        <v>177</v>
      </c>
      <c r="G635" s="5" t="s">
        <v>177</v>
      </c>
      <c r="H635" s="5" t="s">
        <v>177</v>
      </c>
    </row>
    <row r="636" spans="1:8">
      <c r="A636" s="5">
        <v>95003</v>
      </c>
      <c r="B636" s="5">
        <v>31</v>
      </c>
      <c r="C636" s="5">
        <v>5</v>
      </c>
      <c r="D636" s="5">
        <v>8</v>
      </c>
      <c r="E636" s="5">
        <v>5</v>
      </c>
      <c r="F636" s="5">
        <v>5</v>
      </c>
      <c r="G636" s="5">
        <v>3</v>
      </c>
      <c r="H636" s="5">
        <v>5</v>
      </c>
    </row>
    <row r="637" spans="1:8">
      <c r="A637" s="5">
        <v>95005</v>
      </c>
      <c r="B637" s="5">
        <v>15</v>
      </c>
      <c r="C637" s="5">
        <v>2</v>
      </c>
      <c r="D637" s="5" t="s">
        <v>177</v>
      </c>
      <c r="E637" s="5">
        <v>3</v>
      </c>
      <c r="F637" s="5">
        <v>2</v>
      </c>
      <c r="G637" s="5">
        <v>3</v>
      </c>
      <c r="H637" s="5">
        <v>5</v>
      </c>
    </row>
    <row r="638" spans="1:8">
      <c r="A638" s="5">
        <v>95008</v>
      </c>
      <c r="B638" s="5">
        <v>109</v>
      </c>
      <c r="C638" s="5">
        <v>13</v>
      </c>
      <c r="D638" s="5">
        <v>18</v>
      </c>
      <c r="E638" s="5">
        <v>13</v>
      </c>
      <c r="F638" s="5">
        <v>24</v>
      </c>
      <c r="G638" s="5">
        <v>14</v>
      </c>
      <c r="H638" s="5">
        <v>27</v>
      </c>
    </row>
    <row r="639" spans="1:8">
      <c r="A639" s="5">
        <v>95010</v>
      </c>
      <c r="B639" s="5">
        <v>18</v>
      </c>
      <c r="C639" s="5">
        <v>5</v>
      </c>
      <c r="D639" s="5">
        <v>3</v>
      </c>
      <c r="E639" s="5">
        <v>3</v>
      </c>
      <c r="F639" s="5">
        <v>3</v>
      </c>
      <c r="G639" s="5">
        <v>1</v>
      </c>
      <c r="H639" s="5">
        <v>3</v>
      </c>
    </row>
    <row r="640" spans="1:8">
      <c r="A640" s="5">
        <v>95012</v>
      </c>
      <c r="B640" s="5">
        <v>13</v>
      </c>
      <c r="C640" s="5">
        <v>1</v>
      </c>
      <c r="D640" s="5">
        <v>3</v>
      </c>
      <c r="E640" s="5">
        <v>1</v>
      </c>
      <c r="F640" s="5">
        <v>1</v>
      </c>
      <c r="G640" s="5">
        <v>1</v>
      </c>
      <c r="H640" s="5">
        <v>6</v>
      </c>
    </row>
    <row r="641" spans="1:8">
      <c r="A641" s="5">
        <v>95014</v>
      </c>
      <c r="B641" s="5">
        <v>126</v>
      </c>
      <c r="C641" s="5">
        <v>25</v>
      </c>
      <c r="D641" s="5">
        <v>14</v>
      </c>
      <c r="E641" s="5">
        <v>14</v>
      </c>
      <c r="F641" s="5">
        <v>26</v>
      </c>
      <c r="G641" s="5">
        <v>18</v>
      </c>
      <c r="H641" s="5">
        <v>29</v>
      </c>
    </row>
    <row r="642" spans="1:8">
      <c r="A642" s="5">
        <v>95018</v>
      </c>
      <c r="B642" s="5">
        <v>10</v>
      </c>
      <c r="C642" s="5" t="s">
        <v>177</v>
      </c>
      <c r="D642" s="5">
        <v>3</v>
      </c>
      <c r="E642" s="5" t="s">
        <v>177</v>
      </c>
      <c r="F642" s="5">
        <v>6</v>
      </c>
      <c r="G642" s="5" t="s">
        <v>177</v>
      </c>
      <c r="H642" s="5">
        <v>1</v>
      </c>
    </row>
    <row r="643" spans="1:8">
      <c r="A643" s="5">
        <v>95019</v>
      </c>
      <c r="B643" s="5">
        <v>11</v>
      </c>
      <c r="C643" s="5">
        <v>1</v>
      </c>
      <c r="D643" s="5">
        <v>3</v>
      </c>
      <c r="E643" s="5">
        <v>1</v>
      </c>
      <c r="F643" s="5" t="s">
        <v>177</v>
      </c>
      <c r="G643" s="5">
        <v>2</v>
      </c>
      <c r="H643" s="5">
        <v>4</v>
      </c>
    </row>
    <row r="644" spans="1:8">
      <c r="A644" s="5">
        <v>95020</v>
      </c>
      <c r="B644" s="5">
        <v>95</v>
      </c>
      <c r="C644" s="5">
        <v>12</v>
      </c>
      <c r="D644" s="5">
        <v>13</v>
      </c>
      <c r="E644" s="5">
        <v>8</v>
      </c>
      <c r="F644" s="5">
        <v>16</v>
      </c>
      <c r="G644" s="5">
        <v>15</v>
      </c>
      <c r="H644" s="5">
        <v>31</v>
      </c>
    </row>
    <row r="645" spans="1:8">
      <c r="A645" s="5">
        <v>95023</v>
      </c>
      <c r="B645" s="5">
        <v>82</v>
      </c>
      <c r="C645" s="5">
        <v>5</v>
      </c>
      <c r="D645" s="5">
        <v>14</v>
      </c>
      <c r="E645" s="5">
        <v>11</v>
      </c>
      <c r="F645" s="5">
        <v>21</v>
      </c>
      <c r="G645" s="5">
        <v>10</v>
      </c>
      <c r="H645" s="5">
        <v>21</v>
      </c>
    </row>
    <row r="646" spans="1:8">
      <c r="A646" s="5">
        <v>95030</v>
      </c>
      <c r="B646" s="5">
        <v>11</v>
      </c>
      <c r="C646" s="5">
        <v>2</v>
      </c>
      <c r="D646" s="5">
        <v>1</v>
      </c>
      <c r="E646" s="5">
        <v>1</v>
      </c>
      <c r="F646" s="5">
        <v>4</v>
      </c>
      <c r="G646" s="5">
        <v>1</v>
      </c>
      <c r="H646" s="5">
        <v>2</v>
      </c>
    </row>
    <row r="647" spans="1:8">
      <c r="A647" s="5">
        <v>95032</v>
      </c>
      <c r="B647" s="5">
        <v>55</v>
      </c>
      <c r="C647" s="5">
        <v>11</v>
      </c>
      <c r="D647" s="5">
        <v>10</v>
      </c>
      <c r="E647" s="5">
        <v>3</v>
      </c>
      <c r="F647" s="5">
        <v>11</v>
      </c>
      <c r="G647" s="5">
        <v>8</v>
      </c>
      <c r="H647" s="5">
        <v>12</v>
      </c>
    </row>
    <row r="648" spans="1:8">
      <c r="A648" s="5">
        <v>95035</v>
      </c>
      <c r="B648" s="5">
        <v>208</v>
      </c>
      <c r="C648" s="5">
        <v>45</v>
      </c>
      <c r="D648" s="5">
        <v>37</v>
      </c>
      <c r="E648" s="5">
        <v>16</v>
      </c>
      <c r="F648" s="5">
        <v>54</v>
      </c>
      <c r="G648" s="5">
        <v>14</v>
      </c>
      <c r="H648" s="5">
        <v>42</v>
      </c>
    </row>
    <row r="649" spans="1:8">
      <c r="A649" s="5">
        <v>95037</v>
      </c>
      <c r="B649" s="5">
        <v>123</v>
      </c>
      <c r="C649" s="5">
        <v>17</v>
      </c>
      <c r="D649" s="5">
        <v>23</v>
      </c>
      <c r="E649" s="5">
        <v>8</v>
      </c>
      <c r="F649" s="5">
        <v>25</v>
      </c>
      <c r="G649" s="5">
        <v>18</v>
      </c>
      <c r="H649" s="5">
        <v>32</v>
      </c>
    </row>
    <row r="650" spans="1:8">
      <c r="A650" s="5">
        <v>95039</v>
      </c>
      <c r="B650" s="5">
        <v>3</v>
      </c>
      <c r="C650" s="5" t="s">
        <v>177</v>
      </c>
      <c r="D650" s="5" t="s">
        <v>177</v>
      </c>
      <c r="E650" s="5" t="s">
        <v>177</v>
      </c>
      <c r="F650" s="5">
        <v>1</v>
      </c>
      <c r="G650" s="5" t="s">
        <v>177</v>
      </c>
      <c r="H650" s="5">
        <v>2</v>
      </c>
    </row>
    <row r="651" spans="1:8">
      <c r="A651" s="5">
        <v>95050</v>
      </c>
      <c r="B651" s="5">
        <v>81</v>
      </c>
      <c r="C651" s="5">
        <v>15</v>
      </c>
      <c r="D651" s="5">
        <v>5</v>
      </c>
      <c r="E651" s="5">
        <v>9</v>
      </c>
      <c r="F651" s="5">
        <v>15</v>
      </c>
      <c r="G651" s="5">
        <v>13</v>
      </c>
      <c r="H651" s="5">
        <v>24</v>
      </c>
    </row>
    <row r="652" spans="1:8">
      <c r="A652" s="5">
        <v>95051</v>
      </c>
      <c r="B652" s="5">
        <v>96</v>
      </c>
      <c r="C652" s="5">
        <v>10</v>
      </c>
      <c r="D652" s="5">
        <v>18</v>
      </c>
      <c r="E652" s="5">
        <v>7</v>
      </c>
      <c r="F652" s="5">
        <v>24</v>
      </c>
      <c r="G652" s="5">
        <v>10</v>
      </c>
      <c r="H652" s="5">
        <v>27</v>
      </c>
    </row>
    <row r="653" spans="1:8">
      <c r="A653" s="5">
        <v>95054</v>
      </c>
      <c r="B653" s="5">
        <v>77</v>
      </c>
      <c r="C653" s="5">
        <v>13</v>
      </c>
      <c r="D653" s="5">
        <v>8</v>
      </c>
      <c r="E653" s="5">
        <v>8</v>
      </c>
      <c r="F653" s="5">
        <v>12</v>
      </c>
      <c r="G653" s="5">
        <v>9</v>
      </c>
      <c r="H653" s="5">
        <v>27</v>
      </c>
    </row>
    <row r="654" spans="1:8">
      <c r="A654" s="5">
        <v>95060</v>
      </c>
      <c r="B654" s="5">
        <v>81</v>
      </c>
      <c r="C654" s="5">
        <v>15</v>
      </c>
      <c r="D654" s="5">
        <v>12</v>
      </c>
      <c r="E654" s="5">
        <v>11</v>
      </c>
      <c r="F654" s="5">
        <v>17</v>
      </c>
      <c r="G654" s="5">
        <v>11</v>
      </c>
      <c r="H654" s="5">
        <v>15</v>
      </c>
    </row>
    <row r="655" spans="1:8">
      <c r="A655" s="5">
        <v>95062</v>
      </c>
      <c r="B655" s="5">
        <v>48</v>
      </c>
      <c r="C655" s="5">
        <v>10</v>
      </c>
      <c r="D655" s="5">
        <v>9</v>
      </c>
      <c r="E655" s="5">
        <v>6</v>
      </c>
      <c r="F655" s="5">
        <v>12</v>
      </c>
      <c r="G655" s="5">
        <v>6</v>
      </c>
      <c r="H655" s="5">
        <v>5</v>
      </c>
    </row>
    <row r="656" spans="1:8">
      <c r="A656" s="5">
        <v>95064</v>
      </c>
      <c r="B656" s="5">
        <v>2</v>
      </c>
      <c r="C656" s="5" t="s">
        <v>177</v>
      </c>
      <c r="D656" s="5" t="s">
        <v>177</v>
      </c>
      <c r="E656" s="5" t="s">
        <v>177</v>
      </c>
      <c r="F656" s="5">
        <v>1</v>
      </c>
      <c r="G656" s="5" t="s">
        <v>177</v>
      </c>
      <c r="H656" s="5">
        <v>1</v>
      </c>
    </row>
    <row r="657" spans="1:8">
      <c r="A657" s="5">
        <v>95065</v>
      </c>
      <c r="B657" s="5">
        <v>16</v>
      </c>
      <c r="C657" s="5">
        <v>1</v>
      </c>
      <c r="D657" s="5">
        <v>2</v>
      </c>
      <c r="E657" s="5">
        <v>4</v>
      </c>
      <c r="F657" s="5">
        <v>4</v>
      </c>
      <c r="G657" s="5" t="s">
        <v>177</v>
      </c>
      <c r="H657" s="5">
        <v>5</v>
      </c>
    </row>
    <row r="658" spans="1:8">
      <c r="A658" s="5">
        <v>95066</v>
      </c>
      <c r="B658" s="5">
        <v>21</v>
      </c>
      <c r="C658" s="5">
        <v>2</v>
      </c>
      <c r="D658" s="5">
        <v>5</v>
      </c>
      <c r="E658" s="5">
        <v>2</v>
      </c>
      <c r="F658" s="5">
        <v>4</v>
      </c>
      <c r="G658" s="5">
        <v>5</v>
      </c>
      <c r="H658" s="5">
        <v>3</v>
      </c>
    </row>
    <row r="659" spans="1:8">
      <c r="A659" s="5">
        <v>95070</v>
      </c>
      <c r="B659" s="5">
        <v>74</v>
      </c>
      <c r="C659" s="5">
        <v>3</v>
      </c>
      <c r="D659" s="5">
        <v>9</v>
      </c>
      <c r="E659" s="5">
        <v>13</v>
      </c>
      <c r="F659" s="5">
        <v>15</v>
      </c>
      <c r="G659" s="5">
        <v>19</v>
      </c>
      <c r="H659" s="5">
        <v>15</v>
      </c>
    </row>
    <row r="660" spans="1:8">
      <c r="A660" s="5">
        <v>95076</v>
      </c>
      <c r="B660" s="5">
        <v>113</v>
      </c>
      <c r="C660" s="5">
        <v>22</v>
      </c>
      <c r="D660" s="5">
        <v>13</v>
      </c>
      <c r="E660" s="5">
        <v>13</v>
      </c>
      <c r="F660" s="5">
        <v>28</v>
      </c>
      <c r="G660" s="5">
        <v>13</v>
      </c>
      <c r="H660" s="5">
        <v>24</v>
      </c>
    </row>
    <row r="661" spans="1:8">
      <c r="A661" s="5">
        <v>95110</v>
      </c>
      <c r="B661" s="5">
        <v>33</v>
      </c>
      <c r="C661" s="5">
        <v>5</v>
      </c>
      <c r="D661" s="5">
        <v>5</v>
      </c>
      <c r="E661" s="5">
        <v>5</v>
      </c>
      <c r="F661" s="5">
        <v>11</v>
      </c>
      <c r="G661" s="5">
        <v>2</v>
      </c>
      <c r="H661" s="5">
        <v>5</v>
      </c>
    </row>
    <row r="662" spans="1:8">
      <c r="A662" s="5">
        <v>95111</v>
      </c>
      <c r="B662" s="5">
        <v>150</v>
      </c>
      <c r="C662" s="5">
        <v>33</v>
      </c>
      <c r="D662" s="5">
        <v>29</v>
      </c>
      <c r="E662" s="5">
        <v>15</v>
      </c>
      <c r="F662" s="5">
        <v>27</v>
      </c>
      <c r="G662" s="5">
        <v>9</v>
      </c>
      <c r="H662" s="5">
        <v>37</v>
      </c>
    </row>
    <row r="663" spans="1:8">
      <c r="A663" s="5">
        <v>95112</v>
      </c>
      <c r="B663" s="5">
        <v>120</v>
      </c>
      <c r="C663" s="5">
        <v>19</v>
      </c>
      <c r="D663" s="5">
        <v>15</v>
      </c>
      <c r="E663" s="5">
        <v>15</v>
      </c>
      <c r="F663" s="5">
        <v>19</v>
      </c>
      <c r="G663" s="5">
        <v>20</v>
      </c>
      <c r="H663" s="5">
        <v>32</v>
      </c>
    </row>
    <row r="664" spans="1:8">
      <c r="A664" s="5">
        <v>95113</v>
      </c>
      <c r="B664" s="5">
        <v>8</v>
      </c>
      <c r="C664" s="5">
        <v>1</v>
      </c>
      <c r="D664" s="5" t="s">
        <v>177</v>
      </c>
      <c r="E664" s="5">
        <v>1</v>
      </c>
      <c r="F664" s="5">
        <v>1</v>
      </c>
      <c r="G664" s="5">
        <v>2</v>
      </c>
      <c r="H664" s="5">
        <v>3</v>
      </c>
    </row>
    <row r="665" spans="1:8">
      <c r="A665" s="5">
        <v>95116</v>
      </c>
      <c r="B665" s="5">
        <v>94</v>
      </c>
      <c r="C665" s="5">
        <v>12</v>
      </c>
      <c r="D665" s="5">
        <v>15</v>
      </c>
      <c r="E665" s="5">
        <v>9</v>
      </c>
      <c r="F665" s="5">
        <v>16</v>
      </c>
      <c r="G665" s="5">
        <v>12</v>
      </c>
      <c r="H665" s="5">
        <v>30</v>
      </c>
    </row>
    <row r="666" spans="1:8">
      <c r="A666" s="5">
        <v>95117</v>
      </c>
      <c r="B666" s="5">
        <v>54</v>
      </c>
      <c r="C666" s="5">
        <v>8</v>
      </c>
      <c r="D666" s="5">
        <v>8</v>
      </c>
      <c r="E666" s="5">
        <v>4</v>
      </c>
      <c r="F666" s="5">
        <v>14</v>
      </c>
      <c r="G666" s="5">
        <v>7</v>
      </c>
      <c r="H666" s="5">
        <v>13</v>
      </c>
    </row>
    <row r="667" spans="1:8">
      <c r="A667" s="5">
        <v>95118</v>
      </c>
      <c r="B667" s="5">
        <v>55</v>
      </c>
      <c r="C667" s="5">
        <v>8</v>
      </c>
      <c r="D667" s="5">
        <v>11</v>
      </c>
      <c r="E667" s="5">
        <v>9</v>
      </c>
      <c r="F667" s="5">
        <v>8</v>
      </c>
      <c r="G667" s="5">
        <v>7</v>
      </c>
      <c r="H667" s="5">
        <v>12</v>
      </c>
    </row>
    <row r="668" spans="1:8">
      <c r="A668" s="5">
        <v>95119</v>
      </c>
      <c r="B668" s="5">
        <v>25</v>
      </c>
      <c r="C668" s="5">
        <v>3</v>
      </c>
      <c r="D668" s="5">
        <v>3</v>
      </c>
      <c r="E668" s="5">
        <v>4</v>
      </c>
      <c r="F668" s="5">
        <v>4</v>
      </c>
      <c r="G668" s="5">
        <v>2</v>
      </c>
      <c r="H668" s="5">
        <v>9</v>
      </c>
    </row>
    <row r="669" spans="1:8">
      <c r="A669" s="5">
        <v>95120</v>
      </c>
      <c r="B669" s="5">
        <v>73</v>
      </c>
      <c r="C669" s="5">
        <v>9</v>
      </c>
      <c r="D669" s="5">
        <v>11</v>
      </c>
      <c r="E669" s="5">
        <v>8</v>
      </c>
      <c r="F669" s="5">
        <v>16</v>
      </c>
      <c r="G669" s="5">
        <v>11</v>
      </c>
      <c r="H669" s="5">
        <v>18</v>
      </c>
    </row>
    <row r="670" spans="1:8">
      <c r="A670" s="5">
        <v>95121</v>
      </c>
      <c r="B670" s="5">
        <v>119</v>
      </c>
      <c r="C670" s="5">
        <v>23</v>
      </c>
      <c r="D670" s="5">
        <v>21</v>
      </c>
      <c r="E670" s="5">
        <v>11</v>
      </c>
      <c r="F670" s="5">
        <v>21</v>
      </c>
      <c r="G670" s="5">
        <v>14</v>
      </c>
      <c r="H670" s="5">
        <v>29</v>
      </c>
    </row>
    <row r="671" spans="1:8">
      <c r="A671" s="5">
        <v>95122</v>
      </c>
      <c r="B671" s="5">
        <v>123</v>
      </c>
      <c r="C671" s="5">
        <v>16</v>
      </c>
      <c r="D671" s="5">
        <v>26</v>
      </c>
      <c r="E671" s="5">
        <v>9</v>
      </c>
      <c r="F671" s="5">
        <v>21</v>
      </c>
      <c r="G671" s="5">
        <v>19</v>
      </c>
      <c r="H671" s="5">
        <v>32</v>
      </c>
    </row>
    <row r="672" spans="1:8">
      <c r="A672" s="5">
        <v>95123</v>
      </c>
      <c r="B672" s="5">
        <v>111</v>
      </c>
      <c r="C672" s="5">
        <v>19</v>
      </c>
      <c r="D672" s="5">
        <v>18</v>
      </c>
      <c r="E672" s="5">
        <v>10</v>
      </c>
      <c r="F672" s="5">
        <v>25</v>
      </c>
      <c r="G672" s="5">
        <v>15</v>
      </c>
      <c r="H672" s="5">
        <v>24</v>
      </c>
    </row>
    <row r="673" spans="1:8">
      <c r="A673" s="5">
        <v>95124</v>
      </c>
      <c r="B673" s="5">
        <v>72</v>
      </c>
      <c r="C673" s="5">
        <v>11</v>
      </c>
      <c r="D673" s="5">
        <v>7</v>
      </c>
      <c r="E673" s="5">
        <v>6</v>
      </c>
      <c r="F673" s="5">
        <v>20</v>
      </c>
      <c r="G673" s="5">
        <v>9</v>
      </c>
      <c r="H673" s="5">
        <v>19</v>
      </c>
    </row>
    <row r="674" spans="1:8">
      <c r="A674" s="5">
        <v>95125</v>
      </c>
      <c r="B674" s="5">
        <v>83</v>
      </c>
      <c r="C674" s="5">
        <v>18</v>
      </c>
      <c r="D674" s="5">
        <v>8</v>
      </c>
      <c r="E674" s="5">
        <v>6</v>
      </c>
      <c r="F674" s="5">
        <v>21</v>
      </c>
      <c r="G674" s="5">
        <v>11</v>
      </c>
      <c r="H674" s="5">
        <v>19</v>
      </c>
    </row>
    <row r="675" spans="1:8">
      <c r="A675" s="5">
        <v>95126</v>
      </c>
      <c r="B675" s="5">
        <v>64</v>
      </c>
      <c r="C675" s="5">
        <v>13</v>
      </c>
      <c r="D675" s="5">
        <v>11</v>
      </c>
      <c r="E675" s="5">
        <v>7</v>
      </c>
      <c r="F675" s="5">
        <v>11</v>
      </c>
      <c r="G675" s="5">
        <v>7</v>
      </c>
      <c r="H675" s="5">
        <v>15</v>
      </c>
    </row>
    <row r="676" spans="1:8">
      <c r="A676" s="5">
        <v>95127</v>
      </c>
      <c r="B676" s="5">
        <v>133</v>
      </c>
      <c r="C676" s="5">
        <v>26</v>
      </c>
      <c r="D676" s="5">
        <v>18</v>
      </c>
      <c r="E676" s="5">
        <v>14</v>
      </c>
      <c r="F676" s="5">
        <v>27</v>
      </c>
      <c r="G676" s="5">
        <v>17</v>
      </c>
      <c r="H676" s="5">
        <v>31</v>
      </c>
    </row>
    <row r="677" spans="1:8">
      <c r="A677" s="5">
        <v>95128</v>
      </c>
      <c r="B677" s="5">
        <v>63</v>
      </c>
      <c r="C677" s="5">
        <v>9</v>
      </c>
      <c r="D677" s="5">
        <v>9</v>
      </c>
      <c r="E677" s="5">
        <v>8</v>
      </c>
      <c r="F677" s="5">
        <v>17</v>
      </c>
      <c r="G677" s="5">
        <v>4</v>
      </c>
      <c r="H677" s="5">
        <v>16</v>
      </c>
    </row>
    <row r="678" spans="1:8">
      <c r="A678" s="5">
        <v>95129</v>
      </c>
      <c r="B678" s="5">
        <v>103</v>
      </c>
      <c r="C678" s="5">
        <v>16</v>
      </c>
      <c r="D678" s="5">
        <v>14</v>
      </c>
      <c r="E678" s="5">
        <v>10</v>
      </c>
      <c r="F678" s="5">
        <v>15</v>
      </c>
      <c r="G678" s="5">
        <v>18</v>
      </c>
      <c r="H678" s="5">
        <v>30</v>
      </c>
    </row>
    <row r="679" spans="1:8">
      <c r="A679" s="5">
        <v>95130</v>
      </c>
      <c r="B679" s="5">
        <v>31</v>
      </c>
      <c r="C679" s="5">
        <v>5</v>
      </c>
      <c r="D679" s="5">
        <v>4</v>
      </c>
      <c r="E679" s="5" t="s">
        <v>177</v>
      </c>
      <c r="F679" s="5">
        <v>8</v>
      </c>
      <c r="G679" s="5">
        <v>4</v>
      </c>
      <c r="H679" s="5">
        <v>10</v>
      </c>
    </row>
    <row r="680" spans="1:8">
      <c r="A680" s="5">
        <v>95131</v>
      </c>
      <c r="B680" s="5">
        <v>99</v>
      </c>
      <c r="C680" s="5">
        <v>16</v>
      </c>
      <c r="D680" s="5">
        <v>15</v>
      </c>
      <c r="E680" s="5">
        <v>10</v>
      </c>
      <c r="F680" s="5">
        <v>22</v>
      </c>
      <c r="G680" s="5">
        <v>7</v>
      </c>
      <c r="H680" s="5">
        <v>29</v>
      </c>
    </row>
    <row r="681" spans="1:8">
      <c r="A681" s="5">
        <v>95132</v>
      </c>
      <c r="B681" s="5">
        <v>104</v>
      </c>
      <c r="C681" s="5">
        <v>13</v>
      </c>
      <c r="D681" s="5">
        <v>21</v>
      </c>
      <c r="E681" s="5">
        <v>10</v>
      </c>
      <c r="F681" s="5">
        <v>23</v>
      </c>
      <c r="G681" s="5">
        <v>9</v>
      </c>
      <c r="H681" s="5">
        <v>28</v>
      </c>
    </row>
    <row r="682" spans="1:8">
      <c r="A682" s="5">
        <v>95133</v>
      </c>
      <c r="B682" s="5">
        <v>60</v>
      </c>
      <c r="C682" s="5">
        <v>11</v>
      </c>
      <c r="D682" s="5">
        <v>6</v>
      </c>
      <c r="E682" s="5">
        <v>2</v>
      </c>
      <c r="F682" s="5">
        <v>16</v>
      </c>
      <c r="G682" s="5">
        <v>7</v>
      </c>
      <c r="H682" s="5">
        <v>18</v>
      </c>
    </row>
    <row r="683" spans="1:8">
      <c r="A683" s="5">
        <v>95134</v>
      </c>
      <c r="B683" s="5">
        <v>60</v>
      </c>
      <c r="C683" s="5">
        <v>11</v>
      </c>
      <c r="D683" s="5">
        <v>10</v>
      </c>
      <c r="E683" s="5">
        <v>3</v>
      </c>
      <c r="F683" s="5">
        <v>9</v>
      </c>
      <c r="G683" s="5">
        <v>11</v>
      </c>
      <c r="H683" s="5">
        <v>16</v>
      </c>
    </row>
    <row r="684" spans="1:8">
      <c r="A684" s="5">
        <v>95135</v>
      </c>
      <c r="B684" s="5">
        <v>25</v>
      </c>
      <c r="C684" s="5">
        <v>3</v>
      </c>
      <c r="D684" s="5">
        <v>5</v>
      </c>
      <c r="E684" s="5">
        <v>1</v>
      </c>
      <c r="F684" s="5">
        <v>7</v>
      </c>
      <c r="G684" s="5">
        <v>1</v>
      </c>
      <c r="H684" s="5">
        <v>8</v>
      </c>
    </row>
    <row r="685" spans="1:8">
      <c r="A685" s="5">
        <v>95136</v>
      </c>
      <c r="B685" s="5">
        <v>104</v>
      </c>
      <c r="C685" s="5">
        <v>11</v>
      </c>
      <c r="D685" s="5">
        <v>10</v>
      </c>
      <c r="E685" s="5">
        <v>16</v>
      </c>
      <c r="F685" s="5">
        <v>21</v>
      </c>
      <c r="G685" s="5">
        <v>8</v>
      </c>
      <c r="H685" s="5">
        <v>38</v>
      </c>
    </row>
    <row r="686" spans="1:8">
      <c r="A686" s="5">
        <v>95138</v>
      </c>
      <c r="B686" s="5">
        <v>49</v>
      </c>
      <c r="C686" s="5">
        <v>3</v>
      </c>
      <c r="D686" s="5">
        <v>7</v>
      </c>
      <c r="E686" s="5">
        <v>6</v>
      </c>
      <c r="F686" s="5">
        <v>10</v>
      </c>
      <c r="G686" s="5">
        <v>9</v>
      </c>
      <c r="H686" s="5">
        <v>14</v>
      </c>
    </row>
    <row r="687" spans="1:8">
      <c r="A687" s="5">
        <v>95139</v>
      </c>
      <c r="B687" s="5">
        <v>14</v>
      </c>
      <c r="C687" s="5">
        <v>1</v>
      </c>
      <c r="D687" s="5">
        <v>3</v>
      </c>
      <c r="E687" s="5">
        <v>1</v>
      </c>
      <c r="F687" s="5">
        <v>1</v>
      </c>
      <c r="G687" s="5">
        <v>1</v>
      </c>
      <c r="H687" s="5">
        <v>7</v>
      </c>
    </row>
    <row r="688" spans="1:8">
      <c r="A688" s="5">
        <v>95148</v>
      </c>
      <c r="B688" s="5">
        <v>126</v>
      </c>
      <c r="C688" s="5">
        <v>21</v>
      </c>
      <c r="D688" s="5">
        <v>19</v>
      </c>
      <c r="E688" s="5">
        <v>11</v>
      </c>
      <c r="F688" s="5">
        <v>30</v>
      </c>
      <c r="G688" s="5">
        <v>12</v>
      </c>
      <c r="H688" s="5">
        <v>33</v>
      </c>
    </row>
    <row r="689" spans="1:8">
      <c r="A689" s="5">
        <v>95202</v>
      </c>
      <c r="B689" s="5">
        <v>4</v>
      </c>
      <c r="C689" s="5" t="s">
        <v>177</v>
      </c>
      <c r="D689" s="5">
        <v>1</v>
      </c>
      <c r="E689" s="5" t="s">
        <v>177</v>
      </c>
      <c r="F689" s="5">
        <v>1</v>
      </c>
      <c r="G689" s="5">
        <v>1</v>
      </c>
      <c r="H689" s="5">
        <v>1</v>
      </c>
    </row>
    <row r="690" spans="1:8">
      <c r="A690" s="5">
        <v>95203</v>
      </c>
      <c r="B690" s="5">
        <v>18</v>
      </c>
      <c r="C690" s="5">
        <v>2</v>
      </c>
      <c r="D690" s="5">
        <v>2</v>
      </c>
      <c r="E690" s="5">
        <v>2</v>
      </c>
      <c r="F690" s="5">
        <v>5</v>
      </c>
      <c r="G690" s="5">
        <v>2</v>
      </c>
      <c r="H690" s="5">
        <v>5</v>
      </c>
    </row>
    <row r="691" spans="1:8">
      <c r="A691" s="5">
        <v>95204</v>
      </c>
      <c r="B691" s="5">
        <v>35</v>
      </c>
      <c r="C691" s="5">
        <v>3</v>
      </c>
      <c r="D691" s="5">
        <v>7</v>
      </c>
      <c r="E691" s="5">
        <v>2</v>
      </c>
      <c r="F691" s="5">
        <v>10</v>
      </c>
      <c r="G691" s="5">
        <v>8</v>
      </c>
      <c r="H691" s="5">
        <v>5</v>
      </c>
    </row>
    <row r="692" spans="1:8">
      <c r="A692" s="5">
        <v>95205</v>
      </c>
      <c r="B692" s="5">
        <v>70</v>
      </c>
      <c r="C692" s="5">
        <v>8</v>
      </c>
      <c r="D692" s="5">
        <v>12</v>
      </c>
      <c r="E692" s="5">
        <v>14</v>
      </c>
      <c r="F692" s="5">
        <v>12</v>
      </c>
      <c r="G692" s="5">
        <v>13</v>
      </c>
      <c r="H692" s="5">
        <v>11</v>
      </c>
    </row>
    <row r="693" spans="1:8">
      <c r="A693" s="5">
        <v>95206</v>
      </c>
      <c r="B693" s="5">
        <v>114</v>
      </c>
      <c r="C693" s="5">
        <v>16</v>
      </c>
      <c r="D693" s="5">
        <v>13</v>
      </c>
      <c r="E693" s="5">
        <v>8</v>
      </c>
      <c r="F693" s="5">
        <v>24</v>
      </c>
      <c r="G693" s="5">
        <v>19</v>
      </c>
      <c r="H693" s="5">
        <v>34</v>
      </c>
    </row>
    <row r="694" spans="1:8">
      <c r="A694" s="5">
        <v>95207</v>
      </c>
      <c r="B694" s="5">
        <v>77</v>
      </c>
      <c r="C694" s="5">
        <v>10</v>
      </c>
      <c r="D694" s="5">
        <v>13</v>
      </c>
      <c r="E694" s="5">
        <v>9</v>
      </c>
      <c r="F694" s="5">
        <v>23</v>
      </c>
      <c r="G694" s="5">
        <v>8</v>
      </c>
      <c r="H694" s="5">
        <v>14</v>
      </c>
    </row>
    <row r="695" spans="1:8">
      <c r="A695" s="5">
        <v>95209</v>
      </c>
      <c r="B695" s="5">
        <v>54</v>
      </c>
      <c r="C695" s="5">
        <v>7</v>
      </c>
      <c r="D695" s="5">
        <v>8</v>
      </c>
      <c r="E695" s="5">
        <v>6</v>
      </c>
      <c r="F695" s="5">
        <v>15</v>
      </c>
      <c r="G695" s="5">
        <v>7</v>
      </c>
      <c r="H695" s="5">
        <v>11</v>
      </c>
    </row>
    <row r="696" spans="1:8">
      <c r="A696" s="5">
        <v>95210</v>
      </c>
      <c r="B696" s="5">
        <v>54</v>
      </c>
      <c r="C696" s="5">
        <v>10</v>
      </c>
      <c r="D696" s="5">
        <v>7</v>
      </c>
      <c r="E696" s="5">
        <v>6</v>
      </c>
      <c r="F696" s="5">
        <v>14</v>
      </c>
      <c r="G696" s="5">
        <v>6</v>
      </c>
      <c r="H696" s="5">
        <v>11</v>
      </c>
    </row>
    <row r="697" spans="1:8">
      <c r="A697" s="5">
        <v>95212</v>
      </c>
      <c r="B697" s="5">
        <v>64</v>
      </c>
      <c r="C697" s="5">
        <v>11</v>
      </c>
      <c r="D697" s="5">
        <v>11</v>
      </c>
      <c r="E697" s="5">
        <v>4</v>
      </c>
      <c r="F697" s="5">
        <v>18</v>
      </c>
      <c r="G697" s="5">
        <v>4</v>
      </c>
      <c r="H697" s="5">
        <v>16</v>
      </c>
    </row>
    <row r="698" spans="1:8">
      <c r="A698" s="5">
        <v>95215</v>
      </c>
      <c r="B698" s="5">
        <v>27</v>
      </c>
      <c r="C698" s="5">
        <v>2</v>
      </c>
      <c r="D698" s="5">
        <v>5</v>
      </c>
      <c r="E698" s="5">
        <v>2</v>
      </c>
      <c r="F698" s="5">
        <v>4</v>
      </c>
      <c r="G698" s="5">
        <v>2</v>
      </c>
      <c r="H698" s="5">
        <v>12</v>
      </c>
    </row>
    <row r="699" spans="1:8">
      <c r="A699" s="5">
        <v>95219</v>
      </c>
      <c r="B699" s="5">
        <v>39</v>
      </c>
      <c r="C699" s="5">
        <v>6</v>
      </c>
      <c r="D699" s="5">
        <v>5</v>
      </c>
      <c r="E699" s="5">
        <v>10</v>
      </c>
      <c r="F699" s="5">
        <v>5</v>
      </c>
      <c r="G699" s="5">
        <v>2</v>
      </c>
      <c r="H699" s="5">
        <v>11</v>
      </c>
    </row>
    <row r="700" spans="1:8">
      <c r="A700" s="5">
        <v>95220</v>
      </c>
      <c r="B700" s="5">
        <v>6</v>
      </c>
      <c r="C700" s="5">
        <v>1</v>
      </c>
      <c r="D700" s="5">
        <v>1</v>
      </c>
      <c r="E700" s="5" t="s">
        <v>177</v>
      </c>
      <c r="F700" s="5">
        <v>1</v>
      </c>
      <c r="G700" s="5" t="s">
        <v>177</v>
      </c>
      <c r="H700" s="5">
        <v>3</v>
      </c>
    </row>
    <row r="701" spans="1:8">
      <c r="A701" s="5">
        <v>95231</v>
      </c>
      <c r="B701" s="5">
        <v>10</v>
      </c>
      <c r="C701" s="5">
        <v>2</v>
      </c>
      <c r="D701" s="5">
        <v>2</v>
      </c>
      <c r="E701" s="5" t="s">
        <v>177</v>
      </c>
      <c r="F701" s="5">
        <v>2</v>
      </c>
      <c r="G701" s="5">
        <v>1</v>
      </c>
      <c r="H701" s="5">
        <v>3</v>
      </c>
    </row>
    <row r="702" spans="1:8">
      <c r="A702" s="5">
        <v>95236</v>
      </c>
      <c r="B702" s="5">
        <v>3</v>
      </c>
      <c r="C702" s="5" t="s">
        <v>177</v>
      </c>
      <c r="D702" s="5" t="s">
        <v>177</v>
      </c>
      <c r="E702" s="5">
        <v>1</v>
      </c>
      <c r="F702" s="5">
        <v>2</v>
      </c>
      <c r="G702" s="5" t="s">
        <v>177</v>
      </c>
      <c r="H702" s="5" t="s">
        <v>177</v>
      </c>
    </row>
    <row r="703" spans="1:8">
      <c r="A703" s="5">
        <v>95240</v>
      </c>
      <c r="B703" s="5">
        <v>65</v>
      </c>
      <c r="C703" s="5">
        <v>12</v>
      </c>
      <c r="D703" s="5">
        <v>9</v>
      </c>
      <c r="E703" s="5">
        <v>4</v>
      </c>
      <c r="F703" s="5">
        <v>16</v>
      </c>
      <c r="G703" s="5">
        <v>6</v>
      </c>
      <c r="H703" s="5">
        <v>18</v>
      </c>
    </row>
    <row r="704" spans="1:8">
      <c r="A704" s="5">
        <v>95242</v>
      </c>
      <c r="B704" s="5">
        <v>23</v>
      </c>
      <c r="C704" s="5">
        <v>2</v>
      </c>
      <c r="D704" s="5">
        <v>2</v>
      </c>
      <c r="E704" s="5">
        <v>3</v>
      </c>
      <c r="F704" s="5">
        <v>4</v>
      </c>
      <c r="G704" s="5">
        <v>1</v>
      </c>
      <c r="H704" s="5">
        <v>11</v>
      </c>
    </row>
    <row r="705" spans="1:8">
      <c r="A705" s="5">
        <v>95258</v>
      </c>
      <c r="B705" s="5">
        <v>2</v>
      </c>
      <c r="C705" s="5">
        <v>1</v>
      </c>
      <c r="D705" s="5" t="s">
        <v>177</v>
      </c>
      <c r="E705" s="5" t="s">
        <v>177</v>
      </c>
      <c r="F705" s="5" t="s">
        <v>177</v>
      </c>
      <c r="G705" s="5" t="s">
        <v>177</v>
      </c>
      <c r="H705" s="5">
        <v>1</v>
      </c>
    </row>
    <row r="706" spans="1:8">
      <c r="A706" s="5">
        <v>95301</v>
      </c>
      <c r="B706" s="5">
        <v>85</v>
      </c>
      <c r="C706" s="5">
        <v>9</v>
      </c>
      <c r="D706" s="5">
        <v>13</v>
      </c>
      <c r="E706" s="5">
        <v>3</v>
      </c>
      <c r="F706" s="5">
        <v>16</v>
      </c>
      <c r="G706" s="5">
        <v>32</v>
      </c>
      <c r="H706" s="5">
        <v>12</v>
      </c>
    </row>
    <row r="707" spans="1:8">
      <c r="A707" s="5">
        <v>95304</v>
      </c>
      <c r="B707" s="5">
        <v>13</v>
      </c>
      <c r="C707" s="5" t="s">
        <v>177</v>
      </c>
      <c r="D707" s="5">
        <v>1</v>
      </c>
      <c r="E707" s="5">
        <v>1</v>
      </c>
      <c r="F707" s="5">
        <v>5</v>
      </c>
      <c r="G707" s="5">
        <v>2</v>
      </c>
      <c r="H707" s="5">
        <v>4</v>
      </c>
    </row>
    <row r="708" spans="1:8">
      <c r="A708" s="5">
        <v>95307</v>
      </c>
      <c r="B708" s="5">
        <v>60</v>
      </c>
      <c r="C708" s="5">
        <v>7</v>
      </c>
      <c r="D708" s="5">
        <v>8</v>
      </c>
      <c r="E708" s="5">
        <v>7</v>
      </c>
      <c r="F708" s="5">
        <v>15</v>
      </c>
      <c r="G708" s="5">
        <v>6</v>
      </c>
      <c r="H708" s="5">
        <v>17</v>
      </c>
    </row>
    <row r="709" spans="1:8">
      <c r="A709" s="5">
        <v>95315</v>
      </c>
      <c r="B709" s="5">
        <v>21</v>
      </c>
      <c r="C709" s="5">
        <v>5</v>
      </c>
      <c r="D709" s="5">
        <v>5</v>
      </c>
      <c r="E709" s="5">
        <v>1</v>
      </c>
      <c r="F709" s="5">
        <v>4</v>
      </c>
      <c r="G709" s="5">
        <v>1</v>
      </c>
      <c r="H709" s="5">
        <v>5</v>
      </c>
    </row>
    <row r="710" spans="1:8">
      <c r="A710" s="5">
        <v>95316</v>
      </c>
      <c r="B710" s="5">
        <v>5</v>
      </c>
      <c r="C710" s="5" t="s">
        <v>177</v>
      </c>
      <c r="D710" s="5">
        <v>2</v>
      </c>
      <c r="E710" s="5" t="s">
        <v>177</v>
      </c>
      <c r="F710" s="5">
        <v>1</v>
      </c>
      <c r="G710" s="5">
        <v>1</v>
      </c>
      <c r="H710" s="5">
        <v>1</v>
      </c>
    </row>
    <row r="711" spans="1:8">
      <c r="A711" s="5">
        <v>95319</v>
      </c>
      <c r="B711" s="5">
        <v>2</v>
      </c>
      <c r="C711" s="5" t="s">
        <v>177</v>
      </c>
      <c r="D711" s="5" t="s">
        <v>177</v>
      </c>
      <c r="E711" s="5" t="s">
        <v>177</v>
      </c>
      <c r="F711" s="5">
        <v>1</v>
      </c>
      <c r="G711" s="5">
        <v>1</v>
      </c>
      <c r="H711" s="5" t="s">
        <v>177</v>
      </c>
    </row>
    <row r="712" spans="1:8">
      <c r="A712" s="5">
        <v>95320</v>
      </c>
      <c r="B712" s="5">
        <v>10</v>
      </c>
      <c r="C712" s="5" t="s">
        <v>177</v>
      </c>
      <c r="D712" s="5">
        <v>1</v>
      </c>
      <c r="E712" s="5">
        <v>1</v>
      </c>
      <c r="F712" s="5">
        <v>3</v>
      </c>
      <c r="G712" s="5">
        <v>3</v>
      </c>
      <c r="H712" s="5">
        <v>2</v>
      </c>
    </row>
    <row r="713" spans="1:8">
      <c r="A713" s="5">
        <v>95324</v>
      </c>
      <c r="B713" s="5">
        <v>3</v>
      </c>
      <c r="C713" s="5" t="s">
        <v>177</v>
      </c>
      <c r="D713" s="5">
        <v>1</v>
      </c>
      <c r="E713" s="5" t="s">
        <v>177</v>
      </c>
      <c r="F713" s="5">
        <v>2</v>
      </c>
      <c r="G713" s="5" t="s">
        <v>177</v>
      </c>
      <c r="H713" s="5" t="s">
        <v>177</v>
      </c>
    </row>
    <row r="714" spans="1:8">
      <c r="A714" s="5">
        <v>95326</v>
      </c>
      <c r="B714" s="5">
        <v>7</v>
      </c>
      <c r="C714" s="5" t="s">
        <v>177</v>
      </c>
      <c r="D714" s="5" t="s">
        <v>177</v>
      </c>
      <c r="E714" s="5" t="s">
        <v>177</v>
      </c>
      <c r="F714" s="5">
        <v>2</v>
      </c>
      <c r="G714" s="5">
        <v>4</v>
      </c>
      <c r="H714" s="5">
        <v>1</v>
      </c>
    </row>
    <row r="715" spans="1:8">
      <c r="A715" s="5">
        <v>95328</v>
      </c>
      <c r="B715" s="5">
        <v>8</v>
      </c>
      <c r="C715" s="5">
        <v>1</v>
      </c>
      <c r="D715" s="5">
        <v>2</v>
      </c>
      <c r="E715" s="5">
        <v>1</v>
      </c>
      <c r="F715" s="5">
        <v>1</v>
      </c>
      <c r="G715" s="5">
        <v>2</v>
      </c>
      <c r="H715" s="5">
        <v>1</v>
      </c>
    </row>
    <row r="716" spans="1:8">
      <c r="A716" s="5">
        <v>95330</v>
      </c>
      <c r="B716" s="5">
        <v>60</v>
      </c>
      <c r="C716" s="5">
        <v>7</v>
      </c>
      <c r="D716" s="5">
        <v>6</v>
      </c>
      <c r="E716" s="5">
        <v>5</v>
      </c>
      <c r="F716" s="5">
        <v>20</v>
      </c>
      <c r="G716" s="5">
        <v>8</v>
      </c>
      <c r="H716" s="5">
        <v>14</v>
      </c>
    </row>
    <row r="717" spans="1:8">
      <c r="A717" s="5">
        <v>95334</v>
      </c>
      <c r="B717" s="5">
        <v>18</v>
      </c>
      <c r="C717" s="5">
        <v>5</v>
      </c>
      <c r="D717" s="5">
        <v>4</v>
      </c>
      <c r="E717" s="5">
        <v>1</v>
      </c>
      <c r="F717" s="5">
        <v>4</v>
      </c>
      <c r="G717" s="5">
        <v>2</v>
      </c>
      <c r="H717" s="5">
        <v>2</v>
      </c>
    </row>
    <row r="718" spans="1:8">
      <c r="A718" s="5">
        <v>95336</v>
      </c>
      <c r="B718" s="5">
        <v>67</v>
      </c>
      <c r="C718" s="5">
        <v>7</v>
      </c>
      <c r="D718" s="5">
        <v>9</v>
      </c>
      <c r="E718" s="5">
        <v>13</v>
      </c>
      <c r="F718" s="5">
        <v>13</v>
      </c>
      <c r="G718" s="5">
        <v>10</v>
      </c>
      <c r="H718" s="5">
        <v>15</v>
      </c>
    </row>
    <row r="719" spans="1:8">
      <c r="A719" s="5">
        <v>95337</v>
      </c>
      <c r="B719" s="5">
        <v>73</v>
      </c>
      <c r="C719" s="5">
        <v>11</v>
      </c>
      <c r="D719" s="5">
        <v>10</v>
      </c>
      <c r="E719" s="5">
        <v>7</v>
      </c>
      <c r="F719" s="5">
        <v>17</v>
      </c>
      <c r="G719" s="5">
        <v>11</v>
      </c>
      <c r="H719" s="5">
        <v>17</v>
      </c>
    </row>
    <row r="720" spans="1:8">
      <c r="A720" s="5">
        <v>95340</v>
      </c>
      <c r="B720" s="5">
        <v>41</v>
      </c>
      <c r="C720" s="5">
        <v>6</v>
      </c>
      <c r="D720" s="5">
        <v>7</v>
      </c>
      <c r="E720" s="5">
        <v>2</v>
      </c>
      <c r="F720" s="5">
        <v>9</v>
      </c>
      <c r="G720" s="5">
        <v>8</v>
      </c>
      <c r="H720" s="5">
        <v>9</v>
      </c>
    </row>
    <row r="721" spans="1:8">
      <c r="A721" s="5">
        <v>95341</v>
      </c>
      <c r="B721" s="5">
        <v>53</v>
      </c>
      <c r="C721" s="5">
        <v>8</v>
      </c>
      <c r="D721" s="5">
        <v>7</v>
      </c>
      <c r="E721" s="5">
        <v>9</v>
      </c>
      <c r="F721" s="5">
        <v>7</v>
      </c>
      <c r="G721" s="5">
        <v>9</v>
      </c>
      <c r="H721" s="5">
        <v>13</v>
      </c>
    </row>
    <row r="722" spans="1:8">
      <c r="A722" s="5">
        <v>95348</v>
      </c>
      <c r="B722" s="5">
        <v>71</v>
      </c>
      <c r="C722" s="5">
        <v>9</v>
      </c>
      <c r="D722" s="5">
        <v>13</v>
      </c>
      <c r="E722" s="5">
        <v>4</v>
      </c>
      <c r="F722" s="5">
        <v>15</v>
      </c>
      <c r="G722" s="5">
        <v>14</v>
      </c>
      <c r="H722" s="5">
        <v>16</v>
      </c>
    </row>
    <row r="723" spans="1:8">
      <c r="A723" s="5">
        <v>95350</v>
      </c>
      <c r="B723" s="5">
        <v>75</v>
      </c>
      <c r="C723" s="5">
        <v>12</v>
      </c>
      <c r="D723" s="5">
        <v>10</v>
      </c>
      <c r="E723" s="5">
        <v>7</v>
      </c>
      <c r="F723" s="5">
        <v>22</v>
      </c>
      <c r="G723" s="5">
        <v>11</v>
      </c>
      <c r="H723" s="5">
        <v>13</v>
      </c>
    </row>
    <row r="724" spans="1:8">
      <c r="A724" s="5">
        <v>95351</v>
      </c>
      <c r="B724" s="5">
        <v>62</v>
      </c>
      <c r="C724" s="5">
        <v>10</v>
      </c>
      <c r="D724" s="5">
        <v>8</v>
      </c>
      <c r="E724" s="5">
        <v>12</v>
      </c>
      <c r="F724" s="5">
        <v>16</v>
      </c>
      <c r="G724" s="5">
        <v>4</v>
      </c>
      <c r="H724" s="5">
        <v>12</v>
      </c>
    </row>
    <row r="725" spans="1:8">
      <c r="A725" s="5">
        <v>95354</v>
      </c>
      <c r="B725" s="5">
        <v>34</v>
      </c>
      <c r="C725" s="5">
        <v>3</v>
      </c>
      <c r="D725" s="5">
        <v>5</v>
      </c>
      <c r="E725" s="5">
        <v>2</v>
      </c>
      <c r="F725" s="5">
        <v>9</v>
      </c>
      <c r="G725" s="5">
        <v>5</v>
      </c>
      <c r="H725" s="5">
        <v>10</v>
      </c>
    </row>
    <row r="726" spans="1:8">
      <c r="A726" s="5">
        <v>95355</v>
      </c>
      <c r="B726" s="5">
        <v>97</v>
      </c>
      <c r="C726" s="5">
        <v>16</v>
      </c>
      <c r="D726" s="5">
        <v>9</v>
      </c>
      <c r="E726" s="5">
        <v>12</v>
      </c>
      <c r="F726" s="5">
        <v>17</v>
      </c>
      <c r="G726" s="5">
        <v>11</v>
      </c>
      <c r="H726" s="5">
        <v>32</v>
      </c>
    </row>
    <row r="727" spans="1:8">
      <c r="A727" s="5">
        <v>95356</v>
      </c>
      <c r="B727" s="5">
        <v>61</v>
      </c>
      <c r="C727" s="5">
        <v>6</v>
      </c>
      <c r="D727" s="5">
        <v>14</v>
      </c>
      <c r="E727" s="5">
        <v>3</v>
      </c>
      <c r="F727" s="5">
        <v>13</v>
      </c>
      <c r="G727" s="5">
        <v>11</v>
      </c>
      <c r="H727" s="5">
        <v>14</v>
      </c>
    </row>
    <row r="728" spans="1:8">
      <c r="A728" s="5">
        <v>95357</v>
      </c>
      <c r="B728" s="5">
        <v>11</v>
      </c>
      <c r="C728" s="5">
        <v>2</v>
      </c>
      <c r="D728" s="5">
        <v>2</v>
      </c>
      <c r="E728" s="5" t="s">
        <v>177</v>
      </c>
      <c r="F728" s="5">
        <v>1</v>
      </c>
      <c r="G728" s="5">
        <v>2</v>
      </c>
      <c r="H728" s="5">
        <v>4</v>
      </c>
    </row>
    <row r="729" spans="1:8">
      <c r="A729" s="5">
        <v>95358</v>
      </c>
      <c r="B729" s="5">
        <v>51</v>
      </c>
      <c r="C729" s="5">
        <v>7</v>
      </c>
      <c r="D729" s="5">
        <v>4</v>
      </c>
      <c r="E729" s="5">
        <v>7</v>
      </c>
      <c r="F729" s="5">
        <v>9</v>
      </c>
      <c r="G729" s="5">
        <v>11</v>
      </c>
      <c r="H729" s="5">
        <v>13</v>
      </c>
    </row>
    <row r="730" spans="1:8">
      <c r="A730" s="5">
        <v>95360</v>
      </c>
      <c r="B730" s="5">
        <v>16</v>
      </c>
      <c r="C730" s="5">
        <v>3</v>
      </c>
      <c r="D730" s="5">
        <v>4</v>
      </c>
      <c r="E730" s="5">
        <v>2</v>
      </c>
      <c r="F730" s="5">
        <v>1</v>
      </c>
      <c r="G730" s="5">
        <v>4</v>
      </c>
      <c r="H730" s="5">
        <v>2</v>
      </c>
    </row>
    <row r="731" spans="1:8">
      <c r="A731" s="5">
        <v>95361</v>
      </c>
      <c r="B731" s="5">
        <v>40</v>
      </c>
      <c r="C731" s="5">
        <v>11</v>
      </c>
      <c r="D731" s="5">
        <v>9</v>
      </c>
      <c r="E731" s="5">
        <v>5</v>
      </c>
      <c r="F731" s="5">
        <v>6</v>
      </c>
      <c r="G731" s="5">
        <v>3</v>
      </c>
      <c r="H731" s="5">
        <v>6</v>
      </c>
    </row>
    <row r="732" spans="1:8">
      <c r="A732" s="5">
        <v>95363</v>
      </c>
      <c r="B732" s="5">
        <v>56</v>
      </c>
      <c r="C732" s="5">
        <v>11</v>
      </c>
      <c r="D732" s="5">
        <v>8</v>
      </c>
      <c r="E732" s="5">
        <v>6</v>
      </c>
      <c r="F732" s="5">
        <v>14</v>
      </c>
      <c r="G732" s="5">
        <v>6</v>
      </c>
      <c r="H732" s="5">
        <v>11</v>
      </c>
    </row>
    <row r="733" spans="1:8">
      <c r="A733" s="5">
        <v>95366</v>
      </c>
      <c r="B733" s="5">
        <v>16</v>
      </c>
      <c r="C733" s="5">
        <v>3</v>
      </c>
      <c r="D733" s="5">
        <v>1</v>
      </c>
      <c r="E733" s="5">
        <v>3</v>
      </c>
      <c r="F733" s="5">
        <v>3</v>
      </c>
      <c r="G733" s="5">
        <v>2</v>
      </c>
      <c r="H733" s="5">
        <v>4</v>
      </c>
    </row>
    <row r="734" spans="1:8">
      <c r="A734" s="5">
        <v>95367</v>
      </c>
      <c r="B734" s="5">
        <v>54</v>
      </c>
      <c r="C734" s="5">
        <v>10</v>
      </c>
      <c r="D734" s="5">
        <v>8</v>
      </c>
      <c r="E734" s="5">
        <v>2</v>
      </c>
      <c r="F734" s="5">
        <v>10</v>
      </c>
      <c r="G734" s="5">
        <v>6</v>
      </c>
      <c r="H734" s="5">
        <v>18</v>
      </c>
    </row>
    <row r="735" spans="1:8">
      <c r="A735" s="5">
        <v>95368</v>
      </c>
      <c r="B735" s="5">
        <v>36</v>
      </c>
      <c r="C735" s="5">
        <v>3</v>
      </c>
      <c r="D735" s="5">
        <v>9</v>
      </c>
      <c r="E735" s="5">
        <v>3</v>
      </c>
      <c r="F735" s="5">
        <v>6</v>
      </c>
      <c r="G735" s="5">
        <v>5</v>
      </c>
      <c r="H735" s="5">
        <v>10</v>
      </c>
    </row>
    <row r="736" spans="1:8">
      <c r="A736" s="5">
        <v>95374</v>
      </c>
      <c r="B736" s="5">
        <v>7</v>
      </c>
      <c r="C736" s="5" t="s">
        <v>177</v>
      </c>
      <c r="D736" s="5">
        <v>2</v>
      </c>
      <c r="E736" s="5">
        <v>3</v>
      </c>
      <c r="F736" s="5" t="s">
        <v>177</v>
      </c>
      <c r="G736" s="5" t="s">
        <v>177</v>
      </c>
      <c r="H736" s="5">
        <v>2</v>
      </c>
    </row>
    <row r="737" spans="1:8">
      <c r="A737" s="5">
        <v>95376</v>
      </c>
      <c r="B737" s="5">
        <v>79</v>
      </c>
      <c r="C737" s="5">
        <v>11</v>
      </c>
      <c r="D737" s="5">
        <v>14</v>
      </c>
      <c r="E737" s="5">
        <v>5</v>
      </c>
      <c r="F737" s="5">
        <v>16</v>
      </c>
      <c r="G737" s="5">
        <v>6</v>
      </c>
      <c r="H737" s="5">
        <v>27</v>
      </c>
    </row>
    <row r="738" spans="1:8">
      <c r="A738" s="5">
        <v>95377</v>
      </c>
      <c r="B738" s="5">
        <v>67</v>
      </c>
      <c r="C738" s="5">
        <v>9</v>
      </c>
      <c r="D738" s="5">
        <v>10</v>
      </c>
      <c r="E738" s="5">
        <v>10</v>
      </c>
      <c r="F738" s="5">
        <v>12</v>
      </c>
      <c r="G738" s="5">
        <v>6</v>
      </c>
      <c r="H738" s="5">
        <v>20</v>
      </c>
    </row>
    <row r="739" spans="1:8">
      <c r="A739" s="5">
        <v>95380</v>
      </c>
      <c r="B739" s="5">
        <v>47</v>
      </c>
      <c r="C739" s="5">
        <v>8</v>
      </c>
      <c r="D739" s="5">
        <v>6</v>
      </c>
      <c r="E739" s="5">
        <v>6</v>
      </c>
      <c r="F739" s="5">
        <v>7</v>
      </c>
      <c r="G739" s="5">
        <v>11</v>
      </c>
      <c r="H739" s="5">
        <v>9</v>
      </c>
    </row>
    <row r="740" spans="1:8">
      <c r="A740" s="5">
        <v>95382</v>
      </c>
      <c r="B740" s="5">
        <v>62</v>
      </c>
      <c r="C740" s="5">
        <v>10</v>
      </c>
      <c r="D740" s="5">
        <v>7</v>
      </c>
      <c r="E740" s="5">
        <v>10</v>
      </c>
      <c r="F740" s="5">
        <v>11</v>
      </c>
      <c r="G740" s="5">
        <v>11</v>
      </c>
      <c r="H740" s="5">
        <v>13</v>
      </c>
    </row>
    <row r="741" spans="1:8">
      <c r="A741" s="5">
        <v>95386</v>
      </c>
      <c r="B741" s="5">
        <v>20</v>
      </c>
      <c r="C741" s="5">
        <v>1</v>
      </c>
      <c r="D741" s="5">
        <v>2</v>
      </c>
      <c r="E741" s="5">
        <v>3</v>
      </c>
      <c r="F741" s="5">
        <v>6</v>
      </c>
      <c r="G741" s="5">
        <v>2</v>
      </c>
      <c r="H741" s="5">
        <v>6</v>
      </c>
    </row>
    <row r="742" spans="1:8">
      <c r="A742" s="5">
        <v>95388</v>
      </c>
      <c r="B742" s="5">
        <v>19</v>
      </c>
      <c r="C742" s="5">
        <v>5</v>
      </c>
      <c r="D742" s="5">
        <v>2</v>
      </c>
      <c r="E742" s="5">
        <v>3</v>
      </c>
      <c r="F742" s="5">
        <v>5</v>
      </c>
      <c r="G742" s="5">
        <v>1</v>
      </c>
      <c r="H742" s="5">
        <v>3</v>
      </c>
    </row>
    <row r="743" spans="1:8">
      <c r="A743" s="5">
        <v>95391</v>
      </c>
      <c r="B743" s="5">
        <v>52</v>
      </c>
      <c r="C743" s="5">
        <v>9</v>
      </c>
      <c r="D743" s="5">
        <v>5</v>
      </c>
      <c r="E743" s="5">
        <v>6</v>
      </c>
      <c r="F743" s="5">
        <v>11</v>
      </c>
      <c r="G743" s="5">
        <v>9</v>
      </c>
      <c r="H743" s="5">
        <v>12</v>
      </c>
    </row>
    <row r="744" spans="1:8">
      <c r="A744" s="5">
        <v>95602</v>
      </c>
      <c r="B744" s="5">
        <v>28</v>
      </c>
      <c r="C744" s="5">
        <v>3</v>
      </c>
      <c r="D744" s="5">
        <v>5</v>
      </c>
      <c r="E744" s="5">
        <v>3</v>
      </c>
      <c r="F744" s="5">
        <v>6</v>
      </c>
      <c r="G744" s="5">
        <v>3</v>
      </c>
      <c r="H744" s="5">
        <v>8</v>
      </c>
    </row>
    <row r="745" spans="1:8">
      <c r="A745" s="5">
        <v>95608</v>
      </c>
      <c r="B745" s="5">
        <v>2</v>
      </c>
      <c r="C745" s="5">
        <v>1</v>
      </c>
      <c r="D745" s="5" t="s">
        <v>177</v>
      </c>
      <c r="E745" s="5" t="s">
        <v>177</v>
      </c>
      <c r="F745" s="5" t="s">
        <v>177</v>
      </c>
      <c r="G745" s="5">
        <v>1</v>
      </c>
      <c r="H745" s="5" t="s">
        <v>177</v>
      </c>
    </row>
    <row r="746" spans="1:8">
      <c r="A746" s="5">
        <v>95616</v>
      </c>
      <c r="B746" s="5">
        <v>67</v>
      </c>
      <c r="C746" s="5">
        <v>15</v>
      </c>
      <c r="D746" s="5">
        <v>9</v>
      </c>
      <c r="E746" s="5">
        <v>7</v>
      </c>
      <c r="F746" s="5">
        <v>14</v>
      </c>
      <c r="G746" s="5">
        <v>7</v>
      </c>
      <c r="H746" s="5">
        <v>15</v>
      </c>
    </row>
    <row r="747" spans="1:8">
      <c r="A747" s="5">
        <v>95618</v>
      </c>
      <c r="B747" s="5">
        <v>1</v>
      </c>
      <c r="C747" s="5" t="s">
        <v>177</v>
      </c>
      <c r="D747" s="5" t="s">
        <v>177</v>
      </c>
      <c r="E747" s="5">
        <v>1</v>
      </c>
      <c r="F747" s="5" t="s">
        <v>177</v>
      </c>
      <c r="G747" s="5" t="s">
        <v>177</v>
      </c>
      <c r="H747" s="5" t="s">
        <v>177</v>
      </c>
    </row>
    <row r="748" spans="1:8">
      <c r="A748" s="5">
        <v>95620</v>
      </c>
      <c r="B748" s="5">
        <v>48</v>
      </c>
      <c r="C748" s="5">
        <v>7</v>
      </c>
      <c r="D748" s="5">
        <v>7</v>
      </c>
      <c r="E748" s="5">
        <v>6</v>
      </c>
      <c r="F748" s="5">
        <v>11</v>
      </c>
      <c r="G748" s="5">
        <v>2</v>
      </c>
      <c r="H748" s="5">
        <v>15</v>
      </c>
    </row>
    <row r="749" spans="1:8">
      <c r="A749" s="5">
        <v>95628</v>
      </c>
      <c r="B749" s="5">
        <v>4</v>
      </c>
      <c r="C749" s="5" t="s">
        <v>177</v>
      </c>
      <c r="D749" s="5" t="s">
        <v>177</v>
      </c>
      <c r="E749" s="5" t="s">
        <v>177</v>
      </c>
      <c r="F749" s="5">
        <v>1</v>
      </c>
      <c r="G749" s="5" t="s">
        <v>177</v>
      </c>
      <c r="H749" s="5">
        <v>3</v>
      </c>
    </row>
    <row r="750" spans="1:8">
      <c r="A750" s="5">
        <v>95630</v>
      </c>
      <c r="B750" s="5">
        <v>2</v>
      </c>
      <c r="C750" s="5">
        <v>1</v>
      </c>
      <c r="D750" s="5" t="s">
        <v>177</v>
      </c>
      <c r="E750" s="5" t="s">
        <v>177</v>
      </c>
      <c r="F750" s="5" t="s">
        <v>177</v>
      </c>
      <c r="G750" s="5" t="s">
        <v>177</v>
      </c>
      <c r="H750" s="5">
        <v>1</v>
      </c>
    </row>
    <row r="751" spans="1:8">
      <c r="A751" s="5">
        <v>95648</v>
      </c>
      <c r="B751" s="5">
        <v>5</v>
      </c>
      <c r="C751" s="5">
        <v>1</v>
      </c>
      <c r="D751" s="5" t="s">
        <v>177</v>
      </c>
      <c r="E751" s="5">
        <v>1</v>
      </c>
      <c r="F751" s="5">
        <v>3</v>
      </c>
      <c r="G751" s="5" t="s">
        <v>177</v>
      </c>
      <c r="H751" s="5" t="s">
        <v>177</v>
      </c>
    </row>
    <row r="752" spans="1:8">
      <c r="A752" s="5">
        <v>95650</v>
      </c>
      <c r="B752" s="5">
        <v>1</v>
      </c>
      <c r="C752" s="5" t="s">
        <v>177</v>
      </c>
      <c r="D752" s="5" t="s">
        <v>177</v>
      </c>
      <c r="E752" s="5" t="s">
        <v>177</v>
      </c>
      <c r="F752" s="5" t="s">
        <v>177</v>
      </c>
      <c r="G752" s="5">
        <v>1</v>
      </c>
      <c r="H752" s="5" t="s">
        <v>177</v>
      </c>
    </row>
    <row r="753" spans="1:8">
      <c r="A753" s="5">
        <v>95652</v>
      </c>
      <c r="B753" s="5">
        <v>1</v>
      </c>
      <c r="C753" s="5" t="s">
        <v>177</v>
      </c>
      <c r="D753" s="5" t="s">
        <v>177</v>
      </c>
      <c r="E753" s="5" t="s">
        <v>177</v>
      </c>
      <c r="F753" s="5" t="s">
        <v>177</v>
      </c>
      <c r="G753" s="5" t="s">
        <v>177</v>
      </c>
      <c r="H753" s="5">
        <v>1</v>
      </c>
    </row>
    <row r="754" spans="1:8">
      <c r="A754" s="5">
        <v>95678</v>
      </c>
      <c r="B754" s="5">
        <v>2</v>
      </c>
      <c r="C754" s="5">
        <v>1</v>
      </c>
      <c r="D754" s="5" t="s">
        <v>177</v>
      </c>
      <c r="E754" s="5" t="s">
        <v>177</v>
      </c>
      <c r="F754" s="5">
        <v>1</v>
      </c>
      <c r="G754" s="5" t="s">
        <v>177</v>
      </c>
      <c r="H754" s="5" t="s">
        <v>177</v>
      </c>
    </row>
    <row r="755" spans="1:8">
      <c r="A755" s="5">
        <v>95682</v>
      </c>
      <c r="B755" s="5">
        <v>41</v>
      </c>
      <c r="C755" s="5">
        <v>4</v>
      </c>
      <c r="D755" s="5">
        <v>11</v>
      </c>
      <c r="E755" s="5">
        <v>4</v>
      </c>
      <c r="F755" s="5">
        <v>5</v>
      </c>
      <c r="G755" s="5">
        <v>9</v>
      </c>
      <c r="H755" s="5">
        <v>8</v>
      </c>
    </row>
    <row r="756" spans="1:8">
      <c r="A756" s="5">
        <v>95683</v>
      </c>
      <c r="B756" s="5">
        <v>6</v>
      </c>
      <c r="C756" s="5">
        <v>1</v>
      </c>
      <c r="D756" s="5">
        <v>1</v>
      </c>
      <c r="E756" s="5" t="s">
        <v>177</v>
      </c>
      <c r="F756" s="5" t="s">
        <v>177</v>
      </c>
      <c r="G756" s="5">
        <v>1</v>
      </c>
      <c r="H756" s="5">
        <v>3</v>
      </c>
    </row>
    <row r="757" spans="1:8">
      <c r="A757" s="5">
        <v>95686</v>
      </c>
      <c r="B757" s="5">
        <v>1</v>
      </c>
      <c r="C757" s="5">
        <v>1</v>
      </c>
      <c r="D757" s="5" t="s">
        <v>177</v>
      </c>
      <c r="E757" s="5" t="s">
        <v>177</v>
      </c>
      <c r="F757" s="5" t="s">
        <v>177</v>
      </c>
      <c r="G757" s="5" t="s">
        <v>177</v>
      </c>
      <c r="H757" s="5" t="s">
        <v>177</v>
      </c>
    </row>
    <row r="758" spans="1:8">
      <c r="A758" s="5">
        <v>95687</v>
      </c>
      <c r="B758" s="5">
        <v>115</v>
      </c>
      <c r="C758" s="5">
        <v>21</v>
      </c>
      <c r="D758" s="5">
        <v>20</v>
      </c>
      <c r="E758" s="5">
        <v>5</v>
      </c>
      <c r="F758" s="5">
        <v>21</v>
      </c>
      <c r="G758" s="5">
        <v>19</v>
      </c>
      <c r="H758" s="5">
        <v>29</v>
      </c>
    </row>
    <row r="759" spans="1:8">
      <c r="A759" s="5">
        <v>95688</v>
      </c>
      <c r="B759" s="5">
        <v>68</v>
      </c>
      <c r="C759" s="5">
        <v>9</v>
      </c>
      <c r="D759" s="5">
        <v>12</v>
      </c>
      <c r="E759" s="5">
        <v>9</v>
      </c>
      <c r="F759" s="5">
        <v>11</v>
      </c>
      <c r="G759" s="5">
        <v>10</v>
      </c>
      <c r="H759" s="5">
        <v>17</v>
      </c>
    </row>
    <row r="760" spans="1:8">
      <c r="A760" s="5">
        <v>95694</v>
      </c>
      <c r="B760" s="5">
        <v>11</v>
      </c>
      <c r="C760" s="5">
        <v>1</v>
      </c>
      <c r="D760" s="5">
        <v>2</v>
      </c>
      <c r="E760" s="5" t="s">
        <v>177</v>
      </c>
      <c r="F760" s="5">
        <v>1</v>
      </c>
      <c r="G760" s="5">
        <v>1</v>
      </c>
      <c r="H760" s="5">
        <v>6</v>
      </c>
    </row>
    <row r="761" spans="1:8">
      <c r="A761" s="5">
        <v>95703</v>
      </c>
      <c r="B761" s="5">
        <v>2</v>
      </c>
      <c r="C761" s="5">
        <v>1</v>
      </c>
      <c r="D761" s="5" t="s">
        <v>177</v>
      </c>
      <c r="E761" s="5">
        <v>1</v>
      </c>
      <c r="F761" s="5" t="s">
        <v>177</v>
      </c>
      <c r="G761" s="5" t="s">
        <v>177</v>
      </c>
      <c r="H761" s="5" t="s">
        <v>177</v>
      </c>
    </row>
    <row r="762" spans="1:8">
      <c r="A762" s="5">
        <v>95722</v>
      </c>
      <c r="B762" s="5">
        <v>5</v>
      </c>
      <c r="C762" s="5" t="s">
        <v>177</v>
      </c>
      <c r="D762" s="5">
        <v>1</v>
      </c>
      <c r="E762" s="5" t="s">
        <v>177</v>
      </c>
      <c r="F762" s="5">
        <v>1</v>
      </c>
      <c r="G762" s="5">
        <v>3</v>
      </c>
      <c r="H762" s="5" t="s">
        <v>177</v>
      </c>
    </row>
    <row r="763" spans="1:8">
      <c r="A763" s="5">
        <v>95742</v>
      </c>
      <c r="B763" s="5">
        <v>1</v>
      </c>
      <c r="C763" s="5" t="s">
        <v>177</v>
      </c>
      <c r="D763" s="5">
        <v>1</v>
      </c>
      <c r="E763" s="5" t="s">
        <v>177</v>
      </c>
      <c r="F763" s="5" t="s">
        <v>177</v>
      </c>
      <c r="G763" s="5" t="s">
        <v>177</v>
      </c>
      <c r="H763" s="5" t="s">
        <v>177</v>
      </c>
    </row>
    <row r="764" spans="1:8">
      <c r="A764" s="5">
        <v>95747</v>
      </c>
      <c r="B764" s="5">
        <v>1</v>
      </c>
      <c r="C764" s="5">
        <v>1</v>
      </c>
      <c r="D764" s="5" t="s">
        <v>177</v>
      </c>
      <c r="E764" s="5" t="s">
        <v>177</v>
      </c>
      <c r="F764" s="5" t="s">
        <v>177</v>
      </c>
      <c r="G764" s="5" t="s">
        <v>177</v>
      </c>
      <c r="H764" s="5" t="s">
        <v>177</v>
      </c>
    </row>
    <row r="765" spans="1:8">
      <c r="A765" s="5">
        <v>95758</v>
      </c>
      <c r="B765" s="5">
        <v>1</v>
      </c>
      <c r="C765" s="5" t="s">
        <v>177</v>
      </c>
      <c r="D765" s="5" t="s">
        <v>177</v>
      </c>
      <c r="E765" s="5" t="s">
        <v>177</v>
      </c>
      <c r="F765" s="5">
        <v>1</v>
      </c>
      <c r="G765" s="5" t="s">
        <v>177</v>
      </c>
      <c r="H765" s="5" t="s">
        <v>177</v>
      </c>
    </row>
    <row r="766" spans="1:8">
      <c r="A766" s="5">
        <v>95762</v>
      </c>
      <c r="B766" s="5">
        <v>67</v>
      </c>
      <c r="C766" s="5">
        <v>10</v>
      </c>
      <c r="D766" s="5">
        <v>10</v>
      </c>
      <c r="E766" s="5">
        <v>7</v>
      </c>
      <c r="F766" s="5">
        <v>15</v>
      </c>
      <c r="G766" s="5">
        <v>8</v>
      </c>
      <c r="H766" s="5">
        <v>17</v>
      </c>
    </row>
    <row r="767" spans="1:8">
      <c r="A767" s="5">
        <v>95776</v>
      </c>
      <c r="B767" s="5">
        <v>1</v>
      </c>
      <c r="C767" s="5" t="s">
        <v>177</v>
      </c>
      <c r="D767" s="5" t="s">
        <v>177</v>
      </c>
      <c r="E767" s="5" t="s">
        <v>177</v>
      </c>
      <c r="F767" s="5" t="s">
        <v>177</v>
      </c>
      <c r="G767" s="5" t="s">
        <v>177</v>
      </c>
      <c r="H767" s="5">
        <v>1</v>
      </c>
    </row>
    <row r="768" spans="1:8">
      <c r="A768" s="5">
        <v>95819</v>
      </c>
      <c r="B768" s="5">
        <v>1</v>
      </c>
      <c r="C768" s="5" t="s">
        <v>177</v>
      </c>
      <c r="D768" s="5" t="s">
        <v>177</v>
      </c>
      <c r="E768" s="5" t="s">
        <v>177</v>
      </c>
      <c r="F768" s="5" t="s">
        <v>177</v>
      </c>
      <c r="G768" s="5" t="s">
        <v>177</v>
      </c>
      <c r="H768" s="5">
        <v>1</v>
      </c>
    </row>
    <row r="769" spans="1:8">
      <c r="A769" s="5">
        <v>95821</v>
      </c>
      <c r="B769" s="5">
        <v>1</v>
      </c>
      <c r="C769" s="5" t="s">
        <v>177</v>
      </c>
      <c r="D769" s="5" t="s">
        <v>177</v>
      </c>
      <c r="E769" s="5" t="s">
        <v>177</v>
      </c>
      <c r="F769" s="5">
        <v>1</v>
      </c>
      <c r="G769" s="5" t="s">
        <v>177</v>
      </c>
      <c r="H769" s="5" t="s">
        <v>177</v>
      </c>
    </row>
    <row r="770" spans="1:8">
      <c r="A770" s="5">
        <v>95822</v>
      </c>
      <c r="B770" s="5">
        <v>1</v>
      </c>
      <c r="C770" s="5" t="s">
        <v>177</v>
      </c>
      <c r="D770" s="5" t="s">
        <v>177</v>
      </c>
      <c r="E770" s="5" t="s">
        <v>177</v>
      </c>
      <c r="F770" s="5" t="s">
        <v>177</v>
      </c>
      <c r="G770" s="5" t="s">
        <v>177</v>
      </c>
      <c r="H770" s="5">
        <v>1</v>
      </c>
    </row>
    <row r="771" spans="1:8">
      <c r="A771" s="5">
        <v>95824</v>
      </c>
      <c r="B771" s="5">
        <v>1</v>
      </c>
      <c r="C771" s="5">
        <v>1</v>
      </c>
      <c r="D771" s="5" t="s">
        <v>177</v>
      </c>
      <c r="E771" s="5" t="s">
        <v>177</v>
      </c>
      <c r="F771" s="5" t="s">
        <v>177</v>
      </c>
      <c r="G771" s="5" t="s">
        <v>177</v>
      </c>
      <c r="H771" s="5" t="s">
        <v>177</v>
      </c>
    </row>
    <row r="772" spans="1:8">
      <c r="A772" s="5">
        <v>95828</v>
      </c>
      <c r="B772" s="5">
        <v>2</v>
      </c>
      <c r="C772" s="5">
        <v>1</v>
      </c>
      <c r="D772" s="5">
        <v>1</v>
      </c>
      <c r="E772" s="5" t="s">
        <v>177</v>
      </c>
      <c r="F772" s="5" t="s">
        <v>177</v>
      </c>
      <c r="G772" s="5" t="s">
        <v>177</v>
      </c>
      <c r="H772" s="5" t="s">
        <v>177</v>
      </c>
    </row>
    <row r="773" spans="1:8">
      <c r="A773" s="5">
        <v>95829</v>
      </c>
      <c r="B773" s="5">
        <v>3</v>
      </c>
      <c r="C773" s="5" t="s">
        <v>177</v>
      </c>
      <c r="D773" s="5" t="s">
        <v>177</v>
      </c>
      <c r="E773" s="5">
        <v>1</v>
      </c>
      <c r="F773" s="5">
        <v>2</v>
      </c>
      <c r="G773" s="5" t="s">
        <v>177</v>
      </c>
      <c r="H773" s="5" t="s">
        <v>177</v>
      </c>
    </row>
    <row r="774" spans="1:8">
      <c r="A774" s="5">
        <v>95833</v>
      </c>
      <c r="B774" s="5">
        <v>2</v>
      </c>
      <c r="C774" s="5" t="s">
        <v>177</v>
      </c>
      <c r="D774" s="5" t="s">
        <v>177</v>
      </c>
      <c r="E774" s="5" t="s">
        <v>177</v>
      </c>
      <c r="F774" s="5" t="s">
        <v>177</v>
      </c>
      <c r="G774" s="5">
        <v>2</v>
      </c>
      <c r="H774" s="5" t="s">
        <v>177</v>
      </c>
    </row>
    <row r="775" spans="1:8">
      <c r="A775" s="5">
        <v>95834</v>
      </c>
      <c r="B775" s="5">
        <v>1</v>
      </c>
      <c r="C775" s="5" t="s">
        <v>177</v>
      </c>
      <c r="D775" s="5" t="s">
        <v>177</v>
      </c>
      <c r="E775" s="5" t="s">
        <v>177</v>
      </c>
      <c r="F775" s="5">
        <v>1</v>
      </c>
      <c r="G775" s="5" t="s">
        <v>177</v>
      </c>
      <c r="H775" s="5" t="s">
        <v>177</v>
      </c>
    </row>
    <row r="776" spans="1:8">
      <c r="A776" s="5">
        <v>95835</v>
      </c>
      <c r="B776" s="5">
        <v>1</v>
      </c>
      <c r="C776" s="5" t="s">
        <v>177</v>
      </c>
      <c r="D776" s="5" t="s">
        <v>177</v>
      </c>
      <c r="E776" s="5" t="s">
        <v>177</v>
      </c>
      <c r="F776" s="5" t="s">
        <v>177</v>
      </c>
      <c r="G776" s="5" t="s">
        <v>177</v>
      </c>
      <c r="H776" s="5">
        <v>1</v>
      </c>
    </row>
    <row r="777" spans="1:8">
      <c r="A777" s="5">
        <v>95838</v>
      </c>
      <c r="B777" s="5">
        <v>1</v>
      </c>
      <c r="C777" s="5" t="s">
        <v>177</v>
      </c>
      <c r="D777" s="5" t="s">
        <v>177</v>
      </c>
      <c r="E777" s="5">
        <v>1</v>
      </c>
      <c r="F777" s="5" t="s">
        <v>177</v>
      </c>
      <c r="G777" s="5" t="s">
        <v>177</v>
      </c>
      <c r="H777" s="5" t="s">
        <v>177</v>
      </c>
    </row>
    <row r="778" spans="1:8">
      <c r="A778" s="5">
        <v>95842</v>
      </c>
      <c r="B778" s="5">
        <v>2</v>
      </c>
      <c r="C778" s="5" t="s">
        <v>177</v>
      </c>
      <c r="D778" s="5">
        <v>1</v>
      </c>
      <c r="E778" s="5" t="s">
        <v>177</v>
      </c>
      <c r="F778" s="5">
        <v>1</v>
      </c>
      <c r="G778" s="5" t="s">
        <v>177</v>
      </c>
      <c r="H778" s="5" t="s">
        <v>177</v>
      </c>
    </row>
    <row r="779" spans="1:8">
      <c r="A779" s="5">
        <v>95843</v>
      </c>
      <c r="B779" s="5">
        <v>1</v>
      </c>
      <c r="C779" s="5" t="s">
        <v>177</v>
      </c>
      <c r="D779" s="5" t="s">
        <v>177</v>
      </c>
      <c r="E779" s="5" t="s">
        <v>177</v>
      </c>
      <c r="F779" s="5" t="s">
        <v>177</v>
      </c>
      <c r="G779" s="5">
        <v>1</v>
      </c>
      <c r="H779" s="5" t="s">
        <v>177</v>
      </c>
    </row>
    <row r="780" spans="1:8">
      <c r="A780" s="5">
        <v>97003</v>
      </c>
      <c r="B780" s="5">
        <v>56</v>
      </c>
      <c r="C780" s="5">
        <v>9</v>
      </c>
      <c r="D780" s="5">
        <v>9</v>
      </c>
      <c r="E780" s="5">
        <v>4</v>
      </c>
      <c r="F780" s="5">
        <v>11</v>
      </c>
      <c r="G780" s="5">
        <v>7</v>
      </c>
      <c r="H780" s="5">
        <v>16</v>
      </c>
    </row>
    <row r="781" spans="1:8">
      <c r="A781" s="5">
        <v>97005</v>
      </c>
      <c r="B781" s="5">
        <v>65</v>
      </c>
      <c r="C781" s="5">
        <v>5</v>
      </c>
      <c r="D781" s="5">
        <v>9</v>
      </c>
      <c r="E781" s="5">
        <v>6</v>
      </c>
      <c r="F781" s="5">
        <v>15</v>
      </c>
      <c r="G781" s="5">
        <v>9</v>
      </c>
      <c r="H781" s="5">
        <v>21</v>
      </c>
    </row>
    <row r="782" spans="1:8">
      <c r="A782" s="5">
        <v>97007</v>
      </c>
      <c r="B782" s="5">
        <v>96</v>
      </c>
      <c r="C782" s="5">
        <v>22</v>
      </c>
      <c r="D782" s="5">
        <v>17</v>
      </c>
      <c r="E782" s="5">
        <v>10</v>
      </c>
      <c r="F782" s="5">
        <v>12</v>
      </c>
      <c r="G782" s="5">
        <v>12</v>
      </c>
      <c r="H782" s="5">
        <v>23</v>
      </c>
    </row>
    <row r="783" spans="1:8">
      <c r="A783" s="5">
        <v>97009</v>
      </c>
      <c r="B783" s="5">
        <v>13</v>
      </c>
      <c r="C783" s="5">
        <v>3</v>
      </c>
      <c r="D783" s="5">
        <v>1</v>
      </c>
      <c r="E783" s="5">
        <v>2</v>
      </c>
      <c r="F783" s="5">
        <v>2</v>
      </c>
      <c r="G783" s="5">
        <v>2</v>
      </c>
      <c r="H783" s="5">
        <v>3</v>
      </c>
    </row>
    <row r="784" spans="1:8">
      <c r="A784" s="5">
        <v>97015</v>
      </c>
      <c r="B784" s="5">
        <v>51</v>
      </c>
      <c r="C784" s="5">
        <v>5</v>
      </c>
      <c r="D784" s="5">
        <v>10</v>
      </c>
      <c r="E784" s="5">
        <v>8</v>
      </c>
      <c r="F784" s="5">
        <v>8</v>
      </c>
      <c r="G784" s="5">
        <v>5</v>
      </c>
      <c r="H784" s="5">
        <v>15</v>
      </c>
    </row>
    <row r="785" spans="1:8">
      <c r="A785" s="5">
        <v>97024</v>
      </c>
      <c r="B785" s="5">
        <v>18</v>
      </c>
      <c r="C785" s="5">
        <v>3</v>
      </c>
      <c r="D785" s="5">
        <v>3</v>
      </c>
      <c r="E785" s="5">
        <v>3</v>
      </c>
      <c r="F785" s="5">
        <v>4</v>
      </c>
      <c r="G785" s="5" t="s">
        <v>177</v>
      </c>
      <c r="H785" s="5">
        <v>5</v>
      </c>
    </row>
    <row r="786" spans="1:8">
      <c r="A786" s="5">
        <v>97027</v>
      </c>
      <c r="B786" s="5">
        <v>23</v>
      </c>
      <c r="C786" s="5">
        <v>2</v>
      </c>
      <c r="D786" s="5">
        <v>4</v>
      </c>
      <c r="E786" s="5" t="s">
        <v>177</v>
      </c>
      <c r="F786" s="5">
        <v>6</v>
      </c>
      <c r="G786" s="5">
        <v>3</v>
      </c>
      <c r="H786" s="5">
        <v>8</v>
      </c>
    </row>
    <row r="787" spans="1:8">
      <c r="A787" s="5">
        <v>97030</v>
      </c>
      <c r="B787" s="5">
        <v>77</v>
      </c>
      <c r="C787" s="5">
        <v>13</v>
      </c>
      <c r="D787" s="5">
        <v>19</v>
      </c>
      <c r="E787" s="5">
        <v>10</v>
      </c>
      <c r="F787" s="5">
        <v>6</v>
      </c>
      <c r="G787" s="5">
        <v>12</v>
      </c>
      <c r="H787" s="5">
        <v>17</v>
      </c>
    </row>
    <row r="788" spans="1:8">
      <c r="A788" s="5">
        <v>97034</v>
      </c>
      <c r="B788" s="5">
        <v>19</v>
      </c>
      <c r="C788" s="5">
        <v>2</v>
      </c>
      <c r="D788" s="5">
        <v>2</v>
      </c>
      <c r="E788" s="5">
        <v>1</v>
      </c>
      <c r="F788" s="5">
        <v>4</v>
      </c>
      <c r="G788" s="5">
        <v>4</v>
      </c>
      <c r="H788" s="5">
        <v>6</v>
      </c>
    </row>
    <row r="789" spans="1:8">
      <c r="A789" s="5">
        <v>97035</v>
      </c>
      <c r="B789" s="5">
        <v>40</v>
      </c>
      <c r="C789" s="5">
        <v>6</v>
      </c>
      <c r="D789" s="5">
        <v>8</v>
      </c>
      <c r="E789" s="5">
        <v>4</v>
      </c>
      <c r="F789" s="5">
        <v>9</v>
      </c>
      <c r="G789" s="5" t="s">
        <v>177</v>
      </c>
      <c r="H789" s="5">
        <v>13</v>
      </c>
    </row>
    <row r="790" spans="1:8">
      <c r="A790" s="5">
        <v>97045</v>
      </c>
      <c r="B790" s="5">
        <v>81</v>
      </c>
      <c r="C790" s="5">
        <v>9</v>
      </c>
      <c r="D790" s="5">
        <v>10</v>
      </c>
      <c r="E790" s="5">
        <v>11</v>
      </c>
      <c r="F790" s="5">
        <v>12</v>
      </c>
      <c r="G790" s="5">
        <v>12</v>
      </c>
      <c r="H790" s="5">
        <v>27</v>
      </c>
    </row>
    <row r="791" spans="1:8">
      <c r="A791" s="5">
        <v>97060</v>
      </c>
      <c r="B791" s="5">
        <v>36</v>
      </c>
      <c r="C791" s="5">
        <v>10</v>
      </c>
      <c r="D791" s="5">
        <v>3</v>
      </c>
      <c r="E791" s="5">
        <v>3</v>
      </c>
      <c r="F791" s="5">
        <v>8</v>
      </c>
      <c r="G791" s="5">
        <v>5</v>
      </c>
      <c r="H791" s="5">
        <v>7</v>
      </c>
    </row>
    <row r="792" spans="1:8">
      <c r="A792" s="5">
        <v>97062</v>
      </c>
      <c r="B792" s="5">
        <v>58</v>
      </c>
      <c r="C792" s="5">
        <v>10</v>
      </c>
      <c r="D792" s="5">
        <v>7</v>
      </c>
      <c r="E792" s="5">
        <v>6</v>
      </c>
      <c r="F792" s="5">
        <v>10</v>
      </c>
      <c r="G792" s="5">
        <v>6</v>
      </c>
      <c r="H792" s="5">
        <v>19</v>
      </c>
    </row>
    <row r="793" spans="1:8">
      <c r="A793" s="5">
        <v>97068</v>
      </c>
      <c r="B793" s="5">
        <v>37</v>
      </c>
      <c r="C793" s="5">
        <v>6</v>
      </c>
      <c r="D793" s="5">
        <v>5</v>
      </c>
      <c r="E793" s="5">
        <v>3</v>
      </c>
      <c r="F793" s="5">
        <v>11</v>
      </c>
      <c r="G793" s="5">
        <v>4</v>
      </c>
      <c r="H793" s="5">
        <v>8</v>
      </c>
    </row>
    <row r="794" spans="1:8">
      <c r="A794" s="5">
        <v>97070</v>
      </c>
      <c r="B794" s="5">
        <v>27</v>
      </c>
      <c r="C794" s="5">
        <v>2</v>
      </c>
      <c r="D794" s="5">
        <v>6</v>
      </c>
      <c r="E794" s="5">
        <v>5</v>
      </c>
      <c r="F794" s="5">
        <v>6</v>
      </c>
      <c r="G794" s="5">
        <v>4</v>
      </c>
      <c r="H794" s="5">
        <v>4</v>
      </c>
    </row>
    <row r="795" spans="1:8">
      <c r="A795" s="5">
        <v>97080</v>
      </c>
      <c r="B795" s="5">
        <v>72</v>
      </c>
      <c r="C795" s="5">
        <v>9</v>
      </c>
      <c r="D795" s="5">
        <v>12</v>
      </c>
      <c r="E795" s="5">
        <v>5</v>
      </c>
      <c r="F795" s="5">
        <v>12</v>
      </c>
      <c r="G795" s="5">
        <v>10</v>
      </c>
      <c r="H795" s="5">
        <v>24</v>
      </c>
    </row>
    <row r="796" spans="1:8">
      <c r="A796" s="5">
        <v>97086</v>
      </c>
      <c r="B796" s="5">
        <v>82</v>
      </c>
      <c r="C796" s="5">
        <v>11</v>
      </c>
      <c r="D796" s="5">
        <v>11</v>
      </c>
      <c r="E796" s="5">
        <v>7</v>
      </c>
      <c r="F796" s="5">
        <v>20</v>
      </c>
      <c r="G796" s="5">
        <v>12</v>
      </c>
      <c r="H796" s="5">
        <v>21</v>
      </c>
    </row>
    <row r="797" spans="1:8">
      <c r="A797" s="5">
        <v>97089</v>
      </c>
      <c r="B797" s="5">
        <v>20</v>
      </c>
      <c r="C797" s="5">
        <v>6</v>
      </c>
      <c r="D797" s="5">
        <v>1</v>
      </c>
      <c r="E797" s="5">
        <v>4</v>
      </c>
      <c r="F797" s="5">
        <v>4</v>
      </c>
      <c r="G797" s="5">
        <v>1</v>
      </c>
      <c r="H797" s="5">
        <v>4</v>
      </c>
    </row>
    <row r="798" spans="1:8">
      <c r="A798" s="5">
        <v>97140</v>
      </c>
      <c r="B798" s="5">
        <v>21</v>
      </c>
      <c r="C798" s="5">
        <v>2</v>
      </c>
      <c r="D798" s="5">
        <v>4</v>
      </c>
      <c r="E798" s="5">
        <v>2</v>
      </c>
      <c r="F798" s="5">
        <v>5</v>
      </c>
      <c r="G798" s="5">
        <v>1</v>
      </c>
      <c r="H798" s="5">
        <v>7</v>
      </c>
    </row>
    <row r="799" spans="1:8">
      <c r="A799" s="5">
        <v>97201</v>
      </c>
      <c r="B799" s="5">
        <v>47</v>
      </c>
      <c r="C799" s="5">
        <v>5</v>
      </c>
      <c r="D799" s="5">
        <v>7</v>
      </c>
      <c r="E799" s="5">
        <v>7</v>
      </c>
      <c r="F799" s="5">
        <v>10</v>
      </c>
      <c r="G799" s="5">
        <v>7</v>
      </c>
      <c r="H799" s="5">
        <v>11</v>
      </c>
    </row>
    <row r="800" spans="1:8">
      <c r="A800" s="5">
        <v>97202</v>
      </c>
      <c r="B800" s="5">
        <v>76</v>
      </c>
      <c r="C800" s="5">
        <v>16</v>
      </c>
      <c r="D800" s="5">
        <v>7</v>
      </c>
      <c r="E800" s="5">
        <v>9</v>
      </c>
      <c r="F800" s="5">
        <v>12</v>
      </c>
      <c r="G800" s="5">
        <v>11</v>
      </c>
      <c r="H800" s="5">
        <v>21</v>
      </c>
    </row>
    <row r="801" spans="1:8">
      <c r="A801" s="5">
        <v>97203</v>
      </c>
      <c r="B801" s="5">
        <v>58</v>
      </c>
      <c r="C801" s="5">
        <v>10</v>
      </c>
      <c r="D801" s="5">
        <v>7</v>
      </c>
      <c r="E801" s="5">
        <v>4</v>
      </c>
      <c r="F801" s="5">
        <v>15</v>
      </c>
      <c r="G801" s="5">
        <v>4</v>
      </c>
      <c r="H801" s="5">
        <v>18</v>
      </c>
    </row>
    <row r="802" spans="1:8">
      <c r="A802" s="5">
        <v>97205</v>
      </c>
      <c r="B802" s="5">
        <v>18</v>
      </c>
      <c r="C802" s="5">
        <v>1</v>
      </c>
      <c r="D802" s="5" t="s">
        <v>177</v>
      </c>
      <c r="E802" s="5">
        <v>5</v>
      </c>
      <c r="F802" s="5">
        <v>5</v>
      </c>
      <c r="G802" s="5">
        <v>2</v>
      </c>
      <c r="H802" s="5">
        <v>5</v>
      </c>
    </row>
    <row r="803" spans="1:8">
      <c r="A803" s="5">
        <v>97206</v>
      </c>
      <c r="B803" s="5">
        <v>111</v>
      </c>
      <c r="C803" s="5">
        <v>14</v>
      </c>
      <c r="D803" s="5">
        <v>14</v>
      </c>
      <c r="E803" s="5">
        <v>10</v>
      </c>
      <c r="F803" s="5">
        <v>30</v>
      </c>
      <c r="G803" s="5">
        <v>16</v>
      </c>
      <c r="H803" s="5">
        <v>27</v>
      </c>
    </row>
    <row r="804" spans="1:8">
      <c r="A804" s="5">
        <v>97210</v>
      </c>
      <c r="B804" s="5">
        <v>29</v>
      </c>
      <c r="C804" s="5">
        <v>4</v>
      </c>
      <c r="D804" s="5">
        <v>4</v>
      </c>
      <c r="E804" s="5">
        <v>3</v>
      </c>
      <c r="F804" s="5">
        <v>3</v>
      </c>
      <c r="G804" s="5">
        <v>6</v>
      </c>
      <c r="H804" s="5">
        <v>9</v>
      </c>
    </row>
    <row r="805" spans="1:8">
      <c r="A805" s="5">
        <v>97211</v>
      </c>
      <c r="B805" s="5">
        <v>53</v>
      </c>
      <c r="C805" s="5">
        <v>4</v>
      </c>
      <c r="D805" s="5">
        <v>5</v>
      </c>
      <c r="E805" s="5">
        <v>8</v>
      </c>
      <c r="F805" s="5">
        <v>17</v>
      </c>
      <c r="G805" s="5">
        <v>7</v>
      </c>
      <c r="H805" s="5">
        <v>12</v>
      </c>
    </row>
    <row r="806" spans="1:8">
      <c r="A806" s="5">
        <v>97212</v>
      </c>
      <c r="B806" s="5">
        <v>33</v>
      </c>
      <c r="C806" s="5">
        <v>6</v>
      </c>
      <c r="D806" s="5">
        <v>5</v>
      </c>
      <c r="E806" s="5">
        <v>1</v>
      </c>
      <c r="F806" s="5">
        <v>6</v>
      </c>
      <c r="G806" s="5">
        <v>6</v>
      </c>
      <c r="H806" s="5">
        <v>9</v>
      </c>
    </row>
    <row r="807" spans="1:8">
      <c r="A807" s="5">
        <v>97213</v>
      </c>
      <c r="B807" s="5">
        <v>55</v>
      </c>
      <c r="C807" s="5">
        <v>3</v>
      </c>
      <c r="D807" s="5">
        <v>12</v>
      </c>
      <c r="E807" s="5">
        <v>11</v>
      </c>
      <c r="F807" s="5">
        <v>8</v>
      </c>
      <c r="G807" s="5">
        <v>8</v>
      </c>
      <c r="H807" s="5">
        <v>13</v>
      </c>
    </row>
    <row r="808" spans="1:8">
      <c r="A808" s="5">
        <v>97216</v>
      </c>
      <c r="B808" s="5">
        <v>40</v>
      </c>
      <c r="C808" s="5">
        <v>7</v>
      </c>
      <c r="D808" s="5">
        <v>5</v>
      </c>
      <c r="E808" s="5">
        <v>5</v>
      </c>
      <c r="F808" s="5">
        <v>8</v>
      </c>
      <c r="G808" s="5">
        <v>5</v>
      </c>
      <c r="H808" s="5">
        <v>10</v>
      </c>
    </row>
    <row r="809" spans="1:8">
      <c r="A809" s="5">
        <v>97217</v>
      </c>
      <c r="B809" s="5">
        <v>55</v>
      </c>
      <c r="C809" s="5">
        <v>8</v>
      </c>
      <c r="D809" s="5">
        <v>10</v>
      </c>
      <c r="E809" s="5">
        <v>6</v>
      </c>
      <c r="F809" s="5">
        <v>8</v>
      </c>
      <c r="G809" s="5">
        <v>10</v>
      </c>
      <c r="H809" s="5">
        <v>13</v>
      </c>
    </row>
    <row r="810" spans="1:8">
      <c r="A810" s="5">
        <v>97218</v>
      </c>
      <c r="B810" s="5">
        <v>28</v>
      </c>
      <c r="C810" s="5">
        <v>4</v>
      </c>
      <c r="D810" s="5">
        <v>6</v>
      </c>
      <c r="E810" s="5">
        <v>4</v>
      </c>
      <c r="F810" s="5">
        <v>4</v>
      </c>
      <c r="G810" s="5">
        <v>2</v>
      </c>
      <c r="H810" s="5">
        <v>8</v>
      </c>
    </row>
    <row r="811" spans="1:8">
      <c r="A811" s="5">
        <v>97219</v>
      </c>
      <c r="B811" s="5">
        <v>72</v>
      </c>
      <c r="C811" s="5">
        <v>11</v>
      </c>
      <c r="D811" s="5">
        <v>15</v>
      </c>
      <c r="E811" s="5">
        <v>7</v>
      </c>
      <c r="F811" s="5">
        <v>14</v>
      </c>
      <c r="G811" s="5">
        <v>8</v>
      </c>
      <c r="H811" s="5">
        <v>17</v>
      </c>
    </row>
    <row r="812" spans="1:8">
      <c r="A812" s="5">
        <v>97220</v>
      </c>
      <c r="B812" s="5">
        <v>70</v>
      </c>
      <c r="C812" s="5">
        <v>12</v>
      </c>
      <c r="D812" s="5">
        <v>12</v>
      </c>
      <c r="E812" s="5">
        <v>13</v>
      </c>
      <c r="F812" s="5">
        <v>8</v>
      </c>
      <c r="G812" s="5">
        <v>12</v>
      </c>
      <c r="H812" s="5">
        <v>13</v>
      </c>
    </row>
    <row r="813" spans="1:8">
      <c r="A813" s="5">
        <v>97221</v>
      </c>
      <c r="B813" s="5">
        <v>9</v>
      </c>
      <c r="C813" s="5" t="s">
        <v>177</v>
      </c>
      <c r="D813" s="5">
        <v>2</v>
      </c>
      <c r="E813" s="5">
        <v>2</v>
      </c>
      <c r="F813" s="5">
        <v>3</v>
      </c>
      <c r="G813" s="5" t="s">
        <v>177</v>
      </c>
      <c r="H813" s="5">
        <v>2</v>
      </c>
    </row>
    <row r="814" spans="1:8">
      <c r="A814" s="5">
        <v>97222</v>
      </c>
      <c r="B814" s="5">
        <v>64</v>
      </c>
      <c r="C814" s="5">
        <v>7</v>
      </c>
      <c r="D814" s="5">
        <v>8</v>
      </c>
      <c r="E814" s="5">
        <v>4</v>
      </c>
      <c r="F814" s="5">
        <v>16</v>
      </c>
      <c r="G814" s="5">
        <v>11</v>
      </c>
      <c r="H814" s="5">
        <v>18</v>
      </c>
    </row>
    <row r="815" spans="1:8">
      <c r="A815" s="5">
        <v>97223</v>
      </c>
      <c r="B815" s="5">
        <v>81</v>
      </c>
      <c r="C815" s="5">
        <v>15</v>
      </c>
      <c r="D815" s="5">
        <v>12</v>
      </c>
      <c r="E815" s="5">
        <v>6</v>
      </c>
      <c r="F815" s="5">
        <v>15</v>
      </c>
      <c r="G815" s="5">
        <v>16</v>
      </c>
      <c r="H815" s="5">
        <v>17</v>
      </c>
    </row>
    <row r="816" spans="1:8">
      <c r="A816" s="5">
        <v>97224</v>
      </c>
      <c r="B816" s="5">
        <v>67</v>
      </c>
      <c r="C816" s="5">
        <v>5</v>
      </c>
      <c r="D816" s="5">
        <v>6</v>
      </c>
      <c r="E816" s="5">
        <v>9</v>
      </c>
      <c r="F816" s="5">
        <v>10</v>
      </c>
      <c r="G816" s="5">
        <v>10</v>
      </c>
      <c r="H816" s="5">
        <v>27</v>
      </c>
    </row>
    <row r="817" spans="1:8">
      <c r="A817" s="5">
        <v>97225</v>
      </c>
      <c r="B817" s="5">
        <v>34</v>
      </c>
      <c r="C817" s="5">
        <v>8</v>
      </c>
      <c r="D817" s="5">
        <v>5</v>
      </c>
      <c r="E817" s="5">
        <v>3</v>
      </c>
      <c r="F817" s="5">
        <v>7</v>
      </c>
      <c r="G817" s="5">
        <v>4</v>
      </c>
      <c r="H817" s="5">
        <v>7</v>
      </c>
    </row>
    <row r="818" spans="1:8">
      <c r="A818" s="5">
        <v>97227</v>
      </c>
      <c r="B818" s="5">
        <v>7</v>
      </c>
      <c r="C818" s="5" t="s">
        <v>177</v>
      </c>
      <c r="D818" s="5" t="s">
        <v>177</v>
      </c>
      <c r="E818" s="5" t="s">
        <v>177</v>
      </c>
      <c r="F818" s="5">
        <v>2</v>
      </c>
      <c r="G818" s="5">
        <v>2</v>
      </c>
      <c r="H818" s="5">
        <v>3</v>
      </c>
    </row>
    <row r="819" spans="1:8">
      <c r="A819" s="5">
        <v>97229</v>
      </c>
      <c r="B819" s="5">
        <v>140</v>
      </c>
      <c r="C819" s="5">
        <v>16</v>
      </c>
      <c r="D819" s="5">
        <v>19</v>
      </c>
      <c r="E819" s="5">
        <v>15</v>
      </c>
      <c r="F819" s="5">
        <v>25</v>
      </c>
      <c r="G819" s="5">
        <v>26</v>
      </c>
      <c r="H819" s="5">
        <v>39</v>
      </c>
    </row>
    <row r="820" spans="1:8">
      <c r="A820" s="5">
        <v>97230</v>
      </c>
      <c r="B820" s="5">
        <v>80</v>
      </c>
      <c r="C820" s="5">
        <v>15</v>
      </c>
      <c r="D820" s="5">
        <v>11</v>
      </c>
      <c r="E820" s="5">
        <v>10</v>
      </c>
      <c r="F820" s="5">
        <v>14</v>
      </c>
      <c r="G820" s="5">
        <v>15</v>
      </c>
      <c r="H820" s="5">
        <v>15</v>
      </c>
    </row>
    <row r="821" spans="1:8">
      <c r="A821" s="5">
        <v>97233</v>
      </c>
      <c r="B821" s="5">
        <v>64</v>
      </c>
      <c r="C821" s="5">
        <v>9</v>
      </c>
      <c r="D821" s="5">
        <v>11</v>
      </c>
      <c r="E821" s="5">
        <v>5</v>
      </c>
      <c r="F821" s="5">
        <v>9</v>
      </c>
      <c r="G821" s="5">
        <v>12</v>
      </c>
      <c r="H821" s="5">
        <v>18</v>
      </c>
    </row>
    <row r="822" spans="1:8">
      <c r="A822" s="5">
        <v>97236</v>
      </c>
      <c r="B822" s="5">
        <v>71</v>
      </c>
      <c r="C822" s="5">
        <v>4</v>
      </c>
      <c r="D822" s="5">
        <v>10</v>
      </c>
      <c r="E822" s="5">
        <v>7</v>
      </c>
      <c r="F822" s="5">
        <v>14</v>
      </c>
      <c r="G822" s="5">
        <v>11</v>
      </c>
      <c r="H822" s="5">
        <v>25</v>
      </c>
    </row>
    <row r="823" spans="1:8">
      <c r="A823" s="5">
        <v>97239</v>
      </c>
      <c r="B823" s="5">
        <v>29</v>
      </c>
      <c r="C823" s="5">
        <v>4</v>
      </c>
      <c r="D823" s="5">
        <v>4</v>
      </c>
      <c r="E823" s="5">
        <v>4</v>
      </c>
      <c r="F823" s="5">
        <v>10</v>
      </c>
      <c r="G823" s="5">
        <v>3</v>
      </c>
      <c r="H823" s="5">
        <v>4</v>
      </c>
    </row>
    <row r="824" spans="1:8">
      <c r="A824" s="5">
        <v>97266</v>
      </c>
      <c r="B824" s="5">
        <v>72</v>
      </c>
      <c r="C824" s="5">
        <v>19</v>
      </c>
      <c r="D824" s="5">
        <v>12</v>
      </c>
      <c r="E824" s="5">
        <v>8</v>
      </c>
      <c r="F824" s="5">
        <v>9</v>
      </c>
      <c r="G824" s="5">
        <v>8</v>
      </c>
      <c r="H824" s="5">
        <v>16</v>
      </c>
    </row>
    <row r="825" spans="1:8">
      <c r="A825" s="5">
        <v>97267</v>
      </c>
      <c r="B825" s="5">
        <v>75</v>
      </c>
      <c r="C825" s="5">
        <v>11</v>
      </c>
      <c r="D825" s="5">
        <v>9</v>
      </c>
      <c r="E825" s="5">
        <v>8</v>
      </c>
      <c r="F825" s="5">
        <v>17</v>
      </c>
      <c r="G825" s="5">
        <v>17</v>
      </c>
      <c r="H825" s="5">
        <v>13</v>
      </c>
    </row>
    <row r="826" spans="1:8">
      <c r="A826" s="5">
        <v>97301</v>
      </c>
      <c r="B826" s="5">
        <v>89</v>
      </c>
      <c r="C826" s="5">
        <v>13</v>
      </c>
      <c r="D826" s="5">
        <v>18</v>
      </c>
      <c r="E826" s="5">
        <v>5</v>
      </c>
      <c r="F826" s="5">
        <v>14</v>
      </c>
      <c r="G826" s="5">
        <v>11</v>
      </c>
      <c r="H826" s="5">
        <v>28</v>
      </c>
    </row>
    <row r="827" spans="1:8">
      <c r="A827" s="5">
        <v>97302</v>
      </c>
      <c r="B827" s="5">
        <v>60</v>
      </c>
      <c r="C827" s="5">
        <v>8</v>
      </c>
      <c r="D827" s="5">
        <v>12</v>
      </c>
      <c r="E827" s="5">
        <v>6</v>
      </c>
      <c r="F827" s="5">
        <v>11</v>
      </c>
      <c r="G827" s="5">
        <v>10</v>
      </c>
      <c r="H827" s="5">
        <v>13</v>
      </c>
    </row>
    <row r="828" spans="1:8">
      <c r="A828" s="5">
        <v>97303</v>
      </c>
      <c r="B828" s="5">
        <v>55</v>
      </c>
      <c r="C828" s="5">
        <v>9</v>
      </c>
      <c r="D828" s="5">
        <v>10</v>
      </c>
      <c r="E828" s="5">
        <v>5</v>
      </c>
      <c r="F828" s="5">
        <v>8</v>
      </c>
      <c r="G828" s="5">
        <v>8</v>
      </c>
      <c r="H828" s="5">
        <v>15</v>
      </c>
    </row>
    <row r="829" spans="1:8">
      <c r="A829" s="5">
        <v>97304</v>
      </c>
      <c r="B829" s="5">
        <v>53</v>
      </c>
      <c r="C829" s="5">
        <v>11</v>
      </c>
      <c r="D829" s="5">
        <v>7</v>
      </c>
      <c r="E829" s="5">
        <v>3</v>
      </c>
      <c r="F829" s="5">
        <v>9</v>
      </c>
      <c r="G829" s="5">
        <v>7</v>
      </c>
      <c r="H829" s="5">
        <v>16</v>
      </c>
    </row>
    <row r="830" spans="1:8">
      <c r="A830" s="5">
        <v>97305</v>
      </c>
      <c r="B830" s="5">
        <v>75</v>
      </c>
      <c r="C830" s="5">
        <v>9</v>
      </c>
      <c r="D830" s="5">
        <v>9</v>
      </c>
      <c r="E830" s="5">
        <v>8</v>
      </c>
      <c r="F830" s="5">
        <v>15</v>
      </c>
      <c r="G830" s="5">
        <v>8</v>
      </c>
      <c r="H830" s="5">
        <v>26</v>
      </c>
    </row>
    <row r="831" spans="1:8">
      <c r="A831" s="5">
        <v>97306</v>
      </c>
      <c r="B831" s="5">
        <v>49</v>
      </c>
      <c r="C831" s="5">
        <v>7</v>
      </c>
      <c r="D831" s="5">
        <v>11</v>
      </c>
      <c r="E831" s="5">
        <v>6</v>
      </c>
      <c r="F831" s="5">
        <v>10</v>
      </c>
      <c r="G831" s="5">
        <v>7</v>
      </c>
      <c r="H831" s="5">
        <v>8</v>
      </c>
    </row>
    <row r="832" spans="1:8">
      <c r="A832" s="5">
        <v>97317</v>
      </c>
      <c r="B832" s="5">
        <v>28</v>
      </c>
      <c r="C832" s="5">
        <v>6</v>
      </c>
      <c r="D832" s="5">
        <v>6</v>
      </c>
      <c r="E832" s="5" t="s">
        <v>177</v>
      </c>
      <c r="F832" s="5">
        <v>2</v>
      </c>
      <c r="G832" s="5">
        <v>2</v>
      </c>
      <c r="H832" s="5">
        <v>12</v>
      </c>
    </row>
    <row r="833" spans="1:8">
      <c r="A833" s="5">
        <v>97401</v>
      </c>
      <c r="B833" s="5">
        <v>66</v>
      </c>
      <c r="C833" s="5">
        <v>5</v>
      </c>
      <c r="D833" s="5">
        <v>14</v>
      </c>
      <c r="E833" s="5">
        <v>9</v>
      </c>
      <c r="F833" s="5">
        <v>11</v>
      </c>
      <c r="G833" s="5">
        <v>14</v>
      </c>
      <c r="H833" s="5">
        <v>13</v>
      </c>
    </row>
    <row r="834" spans="1:8">
      <c r="A834" s="5">
        <v>97402</v>
      </c>
      <c r="B834" s="5">
        <v>79</v>
      </c>
      <c r="C834" s="5">
        <v>14</v>
      </c>
      <c r="D834" s="5">
        <v>8</v>
      </c>
      <c r="E834" s="5">
        <v>6</v>
      </c>
      <c r="F834" s="5">
        <v>17</v>
      </c>
      <c r="G834" s="5">
        <v>13</v>
      </c>
      <c r="H834" s="5">
        <v>21</v>
      </c>
    </row>
    <row r="835" spans="1:8">
      <c r="A835" s="5">
        <v>97404</v>
      </c>
      <c r="B835" s="5">
        <v>58</v>
      </c>
      <c r="C835" s="5">
        <v>10</v>
      </c>
      <c r="D835" s="5">
        <v>7</v>
      </c>
      <c r="E835" s="5">
        <v>7</v>
      </c>
      <c r="F835" s="5">
        <v>8</v>
      </c>
      <c r="G835" s="5">
        <v>7</v>
      </c>
      <c r="H835" s="5">
        <v>19</v>
      </c>
    </row>
    <row r="836" spans="1:8">
      <c r="A836" s="5">
        <v>97405</v>
      </c>
      <c r="B836" s="5">
        <v>79</v>
      </c>
      <c r="C836" s="5">
        <v>10</v>
      </c>
      <c r="D836" s="5">
        <v>11</v>
      </c>
      <c r="E836" s="5">
        <v>5</v>
      </c>
      <c r="F836" s="5">
        <v>19</v>
      </c>
      <c r="G836" s="5">
        <v>13</v>
      </c>
      <c r="H836" s="5">
        <v>21</v>
      </c>
    </row>
    <row r="837" spans="1:8">
      <c r="A837" s="5">
        <v>97408</v>
      </c>
      <c r="B837" s="5">
        <v>12</v>
      </c>
      <c r="C837" s="5" t="s">
        <v>177</v>
      </c>
      <c r="D837" s="5">
        <v>3</v>
      </c>
      <c r="E837" s="5">
        <v>3</v>
      </c>
      <c r="F837" s="5" t="s">
        <v>177</v>
      </c>
      <c r="G837" s="5">
        <v>5</v>
      </c>
      <c r="H837" s="5">
        <v>1</v>
      </c>
    </row>
    <row r="838" spans="1:8">
      <c r="A838" s="5">
        <v>97477</v>
      </c>
      <c r="B838" s="5">
        <v>62</v>
      </c>
      <c r="C838" s="5">
        <v>8</v>
      </c>
      <c r="D838" s="5">
        <v>8</v>
      </c>
      <c r="E838" s="5">
        <v>5</v>
      </c>
      <c r="F838" s="5">
        <v>13</v>
      </c>
      <c r="G838" s="5">
        <v>15</v>
      </c>
      <c r="H838" s="5">
        <v>13</v>
      </c>
    </row>
    <row r="839" spans="1:8">
      <c r="A839" s="5">
        <v>97478</v>
      </c>
      <c r="B839" s="5">
        <v>52</v>
      </c>
      <c r="C839" s="5">
        <v>3</v>
      </c>
      <c r="D839" s="5">
        <v>6</v>
      </c>
      <c r="E839" s="5">
        <v>4</v>
      </c>
      <c r="F839" s="5">
        <v>10</v>
      </c>
      <c r="G839" s="5">
        <v>10</v>
      </c>
      <c r="H839" s="5">
        <v>19</v>
      </c>
    </row>
    <row r="840" spans="1:8">
      <c r="A840" s="5" t="s">
        <v>174</v>
      </c>
      <c r="B840" s="7">
        <v>41652</v>
      </c>
      <c r="C840" s="7">
        <v>6223</v>
      </c>
      <c r="D840" s="7">
        <v>6299</v>
      </c>
      <c r="E840" s="7">
        <v>4217</v>
      </c>
      <c r="F840" s="7">
        <v>8514</v>
      </c>
      <c r="G840" s="7">
        <v>5717</v>
      </c>
      <c r="H840" s="7">
        <v>10682</v>
      </c>
    </row>
    <row r="841" spans="1:8">
      <c r="A841" s="5"/>
      <c r="B841" s="5"/>
      <c r="C841" s="5"/>
      <c r="D841" s="5"/>
      <c r="E841" s="5"/>
      <c r="F841" s="5"/>
      <c r="G841" s="5"/>
      <c r="H841" s="5"/>
    </row>
    <row r="842" spans="1:8">
      <c r="A842" s="5"/>
      <c r="B842" s="5"/>
      <c r="C842" s="5"/>
      <c r="D842" s="5"/>
      <c r="E842" s="5"/>
      <c r="F842" s="5"/>
      <c r="G842" s="5"/>
      <c r="H842" s="5"/>
    </row>
    <row r="843" spans="1:8">
      <c r="A843" s="5"/>
      <c r="B843" s="5"/>
      <c r="C843" s="5"/>
      <c r="D843" s="5"/>
      <c r="E843" s="5"/>
      <c r="F843" s="5"/>
      <c r="G843" s="5"/>
      <c r="H843" s="5"/>
    </row>
    <row r="844" spans="1:8">
      <c r="A844" s="5"/>
      <c r="B844" s="5"/>
      <c r="C844" s="5"/>
      <c r="D844" s="5"/>
      <c r="E844" s="5"/>
      <c r="F844" s="5"/>
      <c r="G844" s="5"/>
      <c r="H844" s="5"/>
    </row>
    <row r="845" spans="1:8">
      <c r="A845" s="5"/>
      <c r="B845" s="5"/>
      <c r="C845" s="5"/>
      <c r="D845" s="5"/>
      <c r="E845" s="5"/>
      <c r="F845" s="5"/>
      <c r="G845" s="5"/>
      <c r="H845" s="5"/>
    </row>
    <row r="846" spans="1:8">
      <c r="A846" s="5"/>
      <c r="B846" s="5"/>
      <c r="C846" s="5"/>
      <c r="D846" s="5"/>
      <c r="E846" s="5"/>
      <c r="F846" s="5"/>
      <c r="G846" s="5"/>
      <c r="H846" s="5"/>
    </row>
    <row r="847" spans="1:8">
      <c r="A847" s="5"/>
      <c r="B847" s="5"/>
      <c r="C847" s="5"/>
      <c r="D847" s="5"/>
      <c r="E847" s="5"/>
      <c r="F847" s="5"/>
      <c r="G847" s="5"/>
      <c r="H847" s="5"/>
    </row>
    <row r="848" spans="1:8">
      <c r="A848" s="5"/>
      <c r="B848" s="5"/>
      <c r="C848" s="5"/>
      <c r="D848" s="5"/>
      <c r="E848" s="5"/>
      <c r="F848" s="5"/>
      <c r="G848" s="5"/>
      <c r="H848" s="5"/>
    </row>
    <row r="849" spans="1:8">
      <c r="A849" s="5"/>
      <c r="B849" s="5"/>
      <c r="C849" s="5"/>
      <c r="D849" s="5"/>
      <c r="E849" s="5"/>
      <c r="F849" s="5"/>
      <c r="G849" s="5"/>
      <c r="H849" s="5"/>
    </row>
    <row r="850" spans="1:8">
      <c r="A850" s="5"/>
      <c r="B850" s="5"/>
      <c r="C850" s="5"/>
      <c r="D850" s="5"/>
      <c r="E850" s="5"/>
      <c r="F850" s="5"/>
      <c r="G850" s="5"/>
      <c r="H850" s="5"/>
    </row>
    <row r="851" spans="1:8">
      <c r="A851" s="5"/>
      <c r="B851" s="5"/>
      <c r="C851" s="5"/>
      <c r="D851" s="5"/>
      <c r="E851" s="5"/>
      <c r="F851" s="5"/>
      <c r="G851" s="5"/>
      <c r="H851" s="5"/>
    </row>
    <row r="852" spans="1:8">
      <c r="A852" s="5"/>
      <c r="B852" s="5"/>
      <c r="C852" s="5"/>
      <c r="D852" s="5"/>
      <c r="E852" s="5"/>
      <c r="F852" s="5"/>
      <c r="G852" s="5"/>
      <c r="H852" s="5"/>
    </row>
    <row r="853" spans="1:8">
      <c r="A853" s="5"/>
      <c r="B853" s="5"/>
      <c r="C853" s="5"/>
      <c r="D853" s="5"/>
      <c r="E853" s="5"/>
      <c r="F853" s="5"/>
      <c r="G853" s="5"/>
      <c r="H853" s="5"/>
    </row>
    <row r="854" spans="1:8">
      <c r="A854" s="5"/>
      <c r="B854" s="5"/>
      <c r="C854" s="5"/>
      <c r="D854" s="5"/>
      <c r="E854" s="5"/>
      <c r="F854" s="5"/>
      <c r="G854" s="5"/>
      <c r="H854" s="5"/>
    </row>
    <row r="855" spans="1:8">
      <c r="A855" s="5"/>
      <c r="B855" s="5"/>
      <c r="C855" s="5"/>
      <c r="D855" s="5"/>
      <c r="E855" s="5"/>
      <c r="F855" s="5"/>
      <c r="G855" s="5"/>
      <c r="H855" s="5"/>
    </row>
    <row r="856" spans="1:8">
      <c r="A856" s="5"/>
      <c r="B856" s="5"/>
      <c r="C856" s="5"/>
      <c r="D856" s="5"/>
      <c r="E856" s="5"/>
      <c r="F856" s="5"/>
      <c r="G856" s="5"/>
      <c r="H856" s="5"/>
    </row>
    <row r="857" spans="1:8">
      <c r="A857" s="5"/>
      <c r="B857" s="5"/>
      <c r="C857" s="5"/>
      <c r="D857" s="5"/>
      <c r="E857" s="5"/>
      <c r="F857" s="5"/>
      <c r="G857" s="5"/>
      <c r="H857" s="5"/>
    </row>
    <row r="858" spans="1:8">
      <c r="A858" s="5"/>
      <c r="B858" s="5"/>
      <c r="C858" s="5"/>
      <c r="D858" s="5"/>
      <c r="E858" s="5"/>
      <c r="F858" s="5"/>
      <c r="G858" s="5"/>
      <c r="H858" s="5"/>
    </row>
    <row r="859" spans="1:8">
      <c r="A859" s="5"/>
      <c r="B859" s="5"/>
      <c r="C859" s="5"/>
      <c r="D859" s="5"/>
      <c r="E859" s="5"/>
      <c r="F859" s="5"/>
      <c r="G859" s="5"/>
      <c r="H859" s="5"/>
    </row>
    <row r="860" spans="1:8">
      <c r="A860" s="5"/>
      <c r="B860" s="5"/>
      <c r="C860" s="5"/>
      <c r="D860" s="5"/>
      <c r="E860" s="5"/>
      <c r="F860" s="5"/>
      <c r="G860" s="5"/>
      <c r="H860" s="5"/>
    </row>
    <row r="861" spans="1:8">
      <c r="A861" s="5"/>
      <c r="B861" s="5"/>
      <c r="C861" s="5"/>
      <c r="D861" s="5"/>
      <c r="E861" s="5"/>
      <c r="F861" s="5"/>
      <c r="G861" s="5"/>
      <c r="H861" s="5"/>
    </row>
    <row r="862" spans="1:8">
      <c r="A862" s="5"/>
      <c r="B862" s="5"/>
      <c r="C862" s="5"/>
      <c r="D862" s="5"/>
      <c r="E862" s="5"/>
      <c r="F862" s="5"/>
      <c r="G862" s="5"/>
      <c r="H862" s="5"/>
    </row>
    <row r="863" spans="1:8">
      <c r="A863" s="5"/>
      <c r="B863" s="5"/>
      <c r="C863" s="5"/>
      <c r="D863" s="5"/>
      <c r="E863" s="5"/>
      <c r="F863" s="5"/>
      <c r="G863" s="5"/>
      <c r="H863" s="5"/>
    </row>
    <row r="864" spans="1:8">
      <c r="A864" s="5"/>
      <c r="B864" s="5"/>
      <c r="C864" s="5"/>
      <c r="D864" s="5"/>
      <c r="E864" s="5"/>
      <c r="F864" s="5"/>
      <c r="G864" s="5"/>
      <c r="H864" s="5"/>
    </row>
    <row r="865" spans="1:8">
      <c r="A865" s="5"/>
      <c r="B865" s="5"/>
      <c r="C865" s="5"/>
      <c r="D865" s="5"/>
      <c r="E865" s="5"/>
      <c r="F865" s="5"/>
      <c r="G865" s="5"/>
      <c r="H865" s="5"/>
    </row>
    <row r="866" spans="1:8">
      <c r="A866" s="5"/>
      <c r="B866" s="5"/>
      <c r="C866" s="5"/>
      <c r="D866" s="5"/>
      <c r="E866" s="5"/>
      <c r="F866" s="5"/>
      <c r="G866" s="5"/>
      <c r="H866" s="5"/>
    </row>
    <row r="867" spans="1:8">
      <c r="A867" s="5"/>
      <c r="B867" s="5"/>
      <c r="C867" s="5"/>
      <c r="D867" s="5"/>
      <c r="E867" s="5"/>
      <c r="F867" s="5"/>
      <c r="G867" s="5"/>
      <c r="H867" s="5"/>
    </row>
    <row r="868" spans="1:8">
      <c r="A868" s="5"/>
      <c r="B868" s="5"/>
      <c r="C868" s="5"/>
      <c r="D868" s="5"/>
      <c r="E868" s="5"/>
      <c r="F868" s="5"/>
      <c r="G868" s="5"/>
      <c r="H868" s="5"/>
    </row>
    <row r="869" spans="1:8">
      <c r="A869" s="5"/>
      <c r="B869" s="5"/>
      <c r="C869" s="5"/>
      <c r="D869" s="5"/>
      <c r="E869" s="5"/>
      <c r="F869" s="5"/>
      <c r="G869" s="5"/>
      <c r="H869" s="5"/>
    </row>
    <row r="870" spans="1:8">
      <c r="A870" s="5"/>
      <c r="B870" s="5"/>
      <c r="C870" s="5"/>
      <c r="D870" s="5"/>
      <c r="E870" s="5"/>
      <c r="F870" s="5"/>
      <c r="G870" s="5"/>
      <c r="H870" s="5"/>
    </row>
    <row r="871" spans="1:8">
      <c r="A871" s="5"/>
      <c r="B871" s="5"/>
      <c r="C871" s="5"/>
      <c r="D871" s="5"/>
      <c r="E871" s="5"/>
      <c r="F871" s="5"/>
      <c r="G871" s="5"/>
      <c r="H871" s="5"/>
    </row>
    <row r="872" spans="1:8">
      <c r="A872" s="5"/>
      <c r="B872" s="5"/>
      <c r="C872" s="5"/>
      <c r="D872" s="5"/>
      <c r="E872" s="5"/>
      <c r="F872" s="5"/>
      <c r="G872" s="5"/>
      <c r="H872" s="5"/>
    </row>
    <row r="873" spans="1:8">
      <c r="A873" s="5"/>
      <c r="B873" s="7"/>
      <c r="C873" s="7"/>
      <c r="D873" s="7"/>
      <c r="E873" s="7"/>
      <c r="F873" s="7"/>
      <c r="G873" s="7"/>
      <c r="H873" s="7"/>
    </row>
    <row r="874" spans="1:8">
      <c r="A874" s="5"/>
      <c r="B874" s="5"/>
      <c r="C874" s="5"/>
      <c r="D874" s="5"/>
      <c r="E874" s="5"/>
      <c r="F874" s="5"/>
      <c r="G874" s="5"/>
      <c r="H874" s="5"/>
    </row>
    <row r="875" spans="1:8">
      <c r="A875" s="5"/>
      <c r="B875" s="5"/>
      <c r="C875" s="5"/>
      <c r="D875" s="5"/>
      <c r="E875" s="5"/>
      <c r="F875" s="5"/>
      <c r="G875" s="5"/>
      <c r="H875" s="5"/>
    </row>
    <row r="876" spans="1:8">
      <c r="A876" s="5"/>
      <c r="B876" s="5"/>
      <c r="C876" s="5"/>
      <c r="D876" s="5"/>
      <c r="E876" s="5"/>
      <c r="F876" s="5"/>
      <c r="G876" s="5"/>
      <c r="H876" s="5"/>
    </row>
    <row r="877" spans="1:8">
      <c r="A877" s="5"/>
      <c r="B877" s="5"/>
      <c r="C877" s="5"/>
      <c r="D877" s="5"/>
      <c r="E877" s="5"/>
      <c r="F877" s="5"/>
      <c r="G877" s="5"/>
      <c r="H877" s="5"/>
    </row>
    <row r="878" spans="1:8">
      <c r="A878" s="5"/>
      <c r="B878" s="5"/>
      <c r="C878" s="5"/>
      <c r="D878" s="5"/>
      <c r="E878" s="5"/>
      <c r="F878" s="5"/>
      <c r="G878" s="5"/>
      <c r="H878" s="5"/>
    </row>
    <row r="879" spans="1:8">
      <c r="A879" s="5"/>
      <c r="B879" s="5"/>
      <c r="C879" s="5"/>
      <c r="D879" s="5"/>
      <c r="E879" s="5"/>
      <c r="F879" s="5"/>
      <c r="G879" s="5"/>
      <c r="H879" s="5"/>
    </row>
    <row r="880" spans="1:8">
      <c r="A880" s="5"/>
      <c r="B880" s="5"/>
      <c r="C880" s="5"/>
      <c r="D880" s="5"/>
      <c r="E880" s="5"/>
      <c r="F880" s="5"/>
      <c r="G880" s="5"/>
      <c r="H880" s="5"/>
    </row>
    <row r="881" spans="1:8">
      <c r="A881" s="5"/>
      <c r="B881" s="5"/>
      <c r="C881" s="5"/>
      <c r="D881" s="5"/>
      <c r="E881" s="5"/>
      <c r="F881" s="5"/>
      <c r="G881" s="5"/>
      <c r="H881" s="5"/>
    </row>
    <row r="882" spans="1:8">
      <c r="A882" s="5"/>
      <c r="B882" s="5"/>
      <c r="C882" s="5"/>
      <c r="D882" s="5"/>
      <c r="E882" s="5"/>
      <c r="F882" s="5"/>
      <c r="G882" s="5"/>
      <c r="H882" s="5"/>
    </row>
    <row r="883" spans="1:8">
      <c r="A883" s="5"/>
      <c r="B883" s="5"/>
      <c r="C883" s="5"/>
      <c r="D883" s="5"/>
      <c r="E883" s="5"/>
      <c r="F883" s="5"/>
      <c r="G883" s="5"/>
      <c r="H883" s="5"/>
    </row>
    <row r="884" spans="1:8">
      <c r="A884" s="5"/>
      <c r="B884" s="5"/>
      <c r="C884" s="5"/>
      <c r="D884" s="5"/>
      <c r="E884" s="5"/>
      <c r="F884" s="5"/>
      <c r="G884" s="5"/>
      <c r="H884" s="5"/>
    </row>
    <row r="885" spans="1:8">
      <c r="A885" s="5"/>
      <c r="B885" s="5"/>
      <c r="C885" s="5"/>
      <c r="D885" s="5"/>
      <c r="E885" s="5"/>
      <c r="F885" s="5"/>
      <c r="G885" s="5"/>
      <c r="H885" s="5"/>
    </row>
    <row r="886" spans="1:8">
      <c r="A886" s="5"/>
      <c r="B886" s="5"/>
      <c r="C886" s="5"/>
      <c r="D886" s="5"/>
      <c r="E886" s="5"/>
      <c r="F886" s="5"/>
      <c r="G886" s="5"/>
      <c r="H886" s="5"/>
    </row>
    <row r="887" spans="1:8">
      <c r="A887" s="5"/>
      <c r="B887" s="5"/>
      <c r="C887" s="5"/>
      <c r="D887" s="5"/>
      <c r="E887" s="5"/>
      <c r="F887" s="5"/>
      <c r="G887" s="5"/>
      <c r="H887" s="5"/>
    </row>
    <row r="888" spans="1:8">
      <c r="A888" s="5"/>
      <c r="B888" s="5"/>
      <c r="C888" s="5"/>
      <c r="D888" s="5"/>
      <c r="E888" s="5"/>
      <c r="F888" s="5"/>
      <c r="G888" s="5"/>
      <c r="H888" s="5"/>
    </row>
    <row r="889" spans="1:8">
      <c r="A889" s="5"/>
      <c r="B889" s="5"/>
      <c r="C889" s="5"/>
      <c r="D889" s="5"/>
      <c r="E889" s="5"/>
      <c r="F889" s="5"/>
      <c r="G889" s="5"/>
      <c r="H889" s="5"/>
    </row>
    <row r="890" spans="1:8">
      <c r="A890" s="5"/>
      <c r="B890" s="5"/>
      <c r="C890" s="5"/>
      <c r="D890" s="5"/>
      <c r="E890" s="5"/>
      <c r="F890" s="5"/>
      <c r="G890" s="5"/>
      <c r="H890" s="5"/>
    </row>
    <row r="891" spans="1:8">
      <c r="A891" s="5"/>
      <c r="B891" s="5"/>
      <c r="C891" s="5"/>
      <c r="D891" s="5"/>
      <c r="E891" s="5"/>
      <c r="F891" s="5"/>
      <c r="G891" s="5"/>
      <c r="H891" s="5"/>
    </row>
    <row r="892" spans="1:8">
      <c r="A892" s="5"/>
      <c r="B892" s="5"/>
      <c r="C892" s="5"/>
      <c r="D892" s="5"/>
      <c r="E892" s="5"/>
      <c r="F892" s="5"/>
      <c r="G892" s="5"/>
      <c r="H892" s="5"/>
    </row>
    <row r="893" spans="1:8">
      <c r="A893" s="5"/>
      <c r="B893" s="5"/>
      <c r="C893" s="5"/>
      <c r="D893" s="5"/>
      <c r="E893" s="5"/>
      <c r="F893" s="5"/>
      <c r="G893" s="5"/>
      <c r="H893" s="5"/>
    </row>
    <row r="894" spans="1:8">
      <c r="A894" s="5"/>
      <c r="B894" s="5"/>
      <c r="C894" s="5"/>
      <c r="D894" s="5"/>
      <c r="E894" s="5"/>
      <c r="F894" s="5"/>
      <c r="G894" s="5"/>
      <c r="H894" s="5"/>
    </row>
    <row r="895" spans="1:8">
      <c r="A895" s="5"/>
      <c r="B895" s="5"/>
      <c r="C895" s="5"/>
      <c r="D895" s="5"/>
      <c r="E895" s="5"/>
      <c r="F895" s="5"/>
      <c r="G895" s="5"/>
      <c r="H895" s="5"/>
    </row>
    <row r="896" spans="1:8">
      <c r="A896" s="5"/>
      <c r="B896" s="5"/>
      <c r="C896" s="5"/>
      <c r="D896" s="5"/>
      <c r="E896" s="5"/>
      <c r="F896" s="5"/>
      <c r="G896" s="5"/>
      <c r="H896" s="5"/>
    </row>
    <row r="897" spans="1:8">
      <c r="A897" s="5"/>
      <c r="B897" s="5"/>
      <c r="C897" s="5"/>
      <c r="D897" s="5"/>
      <c r="E897" s="5"/>
      <c r="F897" s="5"/>
      <c r="G897" s="5"/>
      <c r="H897" s="5"/>
    </row>
    <row r="898" spans="1:8">
      <c r="A898" s="5"/>
      <c r="B898" s="5"/>
      <c r="C898" s="5"/>
      <c r="D898" s="5"/>
      <c r="E898" s="5"/>
      <c r="F898" s="5"/>
      <c r="G898" s="5"/>
      <c r="H898" s="5"/>
    </row>
    <row r="899" spans="1:8">
      <c r="A899" s="5"/>
      <c r="B899" s="5"/>
      <c r="C899" s="5"/>
      <c r="D899" s="5"/>
      <c r="E899" s="5"/>
      <c r="F899" s="5"/>
      <c r="G899" s="5"/>
      <c r="H899" s="5"/>
    </row>
    <row r="900" spans="1:8">
      <c r="A900" s="5"/>
      <c r="B900" s="5"/>
      <c r="C900" s="5"/>
      <c r="D900" s="5"/>
      <c r="E900" s="5"/>
      <c r="F900" s="5"/>
      <c r="G900" s="5"/>
      <c r="H900" s="5"/>
    </row>
    <row r="901" spans="1:8">
      <c r="A901" s="5"/>
      <c r="B901" s="5"/>
      <c r="C901" s="5"/>
      <c r="D901" s="5"/>
      <c r="E901" s="5"/>
      <c r="F901" s="5"/>
      <c r="G901" s="5"/>
      <c r="H901" s="5"/>
    </row>
    <row r="902" spans="1:8">
      <c r="A902" s="5"/>
      <c r="B902" s="5"/>
      <c r="C902" s="5"/>
      <c r="D902" s="5"/>
      <c r="E902" s="5"/>
      <c r="F902" s="5"/>
      <c r="G902" s="5"/>
      <c r="H902" s="5"/>
    </row>
    <row r="903" spans="1:8">
      <c r="A903" s="5"/>
      <c r="B903" s="5"/>
      <c r="C903" s="5"/>
      <c r="D903" s="5"/>
      <c r="E903" s="5"/>
      <c r="F903" s="5"/>
      <c r="G903" s="5"/>
      <c r="H903" s="5"/>
    </row>
    <row r="904" spans="1:8">
      <c r="A904" s="5"/>
      <c r="B904" s="5"/>
      <c r="C904" s="5"/>
      <c r="D904" s="5"/>
      <c r="E904" s="5"/>
      <c r="F904" s="5"/>
      <c r="G904" s="5"/>
      <c r="H904" s="5"/>
    </row>
    <row r="905" spans="1:8">
      <c r="A905" s="5"/>
      <c r="B905" s="5"/>
      <c r="C905" s="5"/>
      <c r="D905" s="5"/>
      <c r="E905" s="5"/>
      <c r="F905" s="5"/>
      <c r="G905" s="5"/>
      <c r="H905" s="5"/>
    </row>
    <row r="906" spans="1:8">
      <c r="A906" s="5"/>
      <c r="B906" s="5"/>
      <c r="C906" s="5"/>
      <c r="D906" s="5"/>
      <c r="E906" s="5"/>
      <c r="F906" s="5"/>
      <c r="G906" s="5"/>
      <c r="H906" s="5"/>
    </row>
    <row r="907" spans="1:8">
      <c r="A907" s="5"/>
      <c r="B907" s="5"/>
      <c r="C907" s="5"/>
      <c r="D907" s="5"/>
      <c r="E907" s="5"/>
      <c r="F907" s="5"/>
      <c r="G907" s="5"/>
      <c r="H907" s="5"/>
    </row>
    <row r="908" spans="1:8">
      <c r="A908" s="5"/>
      <c r="B908" s="5"/>
      <c r="C908" s="5"/>
      <c r="D908" s="5"/>
      <c r="E908" s="5"/>
      <c r="F908" s="5"/>
      <c r="G908" s="5"/>
      <c r="H908" s="5"/>
    </row>
    <row r="909" spans="1:8">
      <c r="A909" s="5"/>
      <c r="B909" s="5"/>
      <c r="C909" s="5"/>
      <c r="D909" s="5"/>
      <c r="E909" s="5"/>
      <c r="F909" s="5"/>
      <c r="G909" s="5"/>
      <c r="H909" s="5"/>
    </row>
    <row r="910" spans="1:8">
      <c r="A910" s="5"/>
      <c r="B910" s="5"/>
      <c r="C910" s="5"/>
      <c r="D910" s="5"/>
      <c r="E910" s="5"/>
      <c r="F910" s="5"/>
      <c r="G910" s="5"/>
      <c r="H910" s="5"/>
    </row>
    <row r="911" spans="1:8">
      <c r="A911" s="5"/>
      <c r="B911" s="5"/>
      <c r="C911" s="5"/>
      <c r="D911" s="5"/>
      <c r="E911" s="5"/>
      <c r="F911" s="5"/>
      <c r="G911" s="5"/>
      <c r="H911" s="5"/>
    </row>
    <row r="912" spans="1:8">
      <c r="A912" s="5"/>
      <c r="B912" s="5"/>
      <c r="C912" s="5"/>
      <c r="D912" s="5"/>
      <c r="E912" s="5"/>
      <c r="F912" s="5"/>
      <c r="G912" s="5"/>
      <c r="H912" s="5"/>
    </row>
    <row r="913" spans="1:8">
      <c r="A913" s="5"/>
      <c r="B913" s="5"/>
      <c r="C913" s="5"/>
      <c r="D913" s="5"/>
      <c r="E913" s="5"/>
      <c r="F913" s="5"/>
      <c r="G913" s="5"/>
      <c r="H913" s="5"/>
    </row>
    <row r="914" spans="1:8">
      <c r="A914" s="5"/>
      <c r="B914" s="5"/>
      <c r="C914" s="5"/>
      <c r="D914" s="5"/>
      <c r="E914" s="5"/>
      <c r="F914" s="5"/>
      <c r="G914" s="5"/>
      <c r="H914" s="5"/>
    </row>
    <row r="915" spans="1:8">
      <c r="A915" s="5"/>
      <c r="B915" s="5"/>
      <c r="C915" s="5"/>
      <c r="D915" s="5"/>
      <c r="E915" s="5"/>
      <c r="F915" s="5"/>
      <c r="G915" s="5"/>
      <c r="H915" s="5"/>
    </row>
    <row r="916" spans="1:8">
      <c r="A916" s="5"/>
      <c r="B916" s="5"/>
      <c r="C916" s="5"/>
      <c r="D916" s="5"/>
      <c r="E916" s="5"/>
      <c r="F916" s="5"/>
      <c r="G916" s="5"/>
      <c r="H916" s="5"/>
    </row>
    <row r="917" spans="1:8">
      <c r="A917" s="5"/>
      <c r="B917" s="5"/>
      <c r="C917" s="5"/>
      <c r="D917" s="5"/>
      <c r="E917" s="5"/>
      <c r="F917" s="5"/>
      <c r="G917" s="5"/>
      <c r="H917" s="5"/>
    </row>
    <row r="918" spans="1:8">
      <c r="A918" s="5"/>
      <c r="B918" s="5"/>
      <c r="C918" s="5"/>
      <c r="D918" s="5"/>
      <c r="E918" s="5"/>
      <c r="F918" s="5"/>
      <c r="G918" s="5"/>
      <c r="H918" s="5"/>
    </row>
    <row r="919" spans="1:8">
      <c r="A919" s="5"/>
      <c r="B919" s="5"/>
      <c r="C919" s="5"/>
      <c r="D919" s="5"/>
      <c r="E919" s="5"/>
      <c r="F919" s="5"/>
      <c r="G919" s="5"/>
      <c r="H919" s="5"/>
    </row>
    <row r="920" spans="1:8">
      <c r="A920" s="5"/>
      <c r="B920" s="5"/>
      <c r="C920" s="5"/>
      <c r="D920" s="5"/>
      <c r="E920" s="5"/>
      <c r="F920" s="5"/>
      <c r="G920" s="5"/>
      <c r="H920" s="5"/>
    </row>
    <row r="921" spans="1:8">
      <c r="A921" s="5"/>
      <c r="B921" s="5"/>
      <c r="C921" s="5"/>
      <c r="D921" s="5"/>
      <c r="E921" s="5"/>
      <c r="F921" s="5"/>
      <c r="G921" s="5"/>
      <c r="H921" s="5"/>
    </row>
    <row r="922" spans="1:8">
      <c r="A922" s="5"/>
      <c r="B922" s="5"/>
      <c r="C922" s="5"/>
      <c r="D922" s="5"/>
      <c r="E922" s="5"/>
      <c r="F922" s="5"/>
      <c r="G922" s="5"/>
      <c r="H922" s="5"/>
    </row>
    <row r="923" spans="1:8">
      <c r="A923" s="5"/>
      <c r="B923" s="5"/>
      <c r="C923" s="5"/>
      <c r="D923" s="5"/>
      <c r="E923" s="5"/>
      <c r="F923" s="5"/>
      <c r="G923" s="5"/>
      <c r="H923" s="5"/>
    </row>
    <row r="924" spans="1:8">
      <c r="A924" s="5"/>
      <c r="B924" s="5"/>
      <c r="C924" s="5"/>
      <c r="D924" s="5"/>
      <c r="E924" s="5"/>
      <c r="F924" s="5"/>
      <c r="G924" s="5"/>
      <c r="H924" s="5"/>
    </row>
    <row r="925" spans="1:8">
      <c r="A925" s="5"/>
      <c r="B925" s="5"/>
      <c r="C925" s="5"/>
      <c r="D925" s="5"/>
      <c r="E925" s="5"/>
      <c r="F925" s="5"/>
      <c r="G925" s="5"/>
      <c r="H925" s="5"/>
    </row>
    <row r="926" spans="1:8">
      <c r="A926" s="5"/>
      <c r="B926" s="5"/>
      <c r="C926" s="5"/>
      <c r="D926" s="5"/>
      <c r="E926" s="5"/>
      <c r="F926" s="5"/>
      <c r="G926" s="5"/>
      <c r="H926" s="5"/>
    </row>
    <row r="927" spans="1:8">
      <c r="A927" s="5"/>
      <c r="B927" s="5"/>
      <c r="C927" s="5"/>
      <c r="D927" s="5"/>
      <c r="E927" s="5"/>
      <c r="F927" s="5"/>
      <c r="G927" s="5"/>
      <c r="H927" s="5"/>
    </row>
    <row r="928" spans="1:8">
      <c r="A928" s="5"/>
      <c r="B928" s="5"/>
      <c r="C928" s="5"/>
      <c r="D928" s="5"/>
      <c r="E928" s="5"/>
      <c r="F928" s="5"/>
      <c r="G928" s="5"/>
      <c r="H928" s="5"/>
    </row>
    <row r="929" spans="1:8">
      <c r="A929" s="5"/>
      <c r="B929" s="5"/>
      <c r="C929" s="5"/>
      <c r="D929" s="5"/>
      <c r="E929" s="5"/>
      <c r="F929" s="5"/>
      <c r="G929" s="5"/>
      <c r="H929" s="5"/>
    </row>
    <row r="930" spans="1:8">
      <c r="A930" s="5"/>
      <c r="B930" s="5"/>
      <c r="C930" s="5"/>
      <c r="D930" s="5"/>
      <c r="E930" s="5"/>
      <c r="F930" s="5"/>
      <c r="G930" s="5"/>
      <c r="H930" s="5"/>
    </row>
    <row r="931" spans="1:8">
      <c r="A931" s="5"/>
      <c r="B931" s="5"/>
      <c r="C931" s="5"/>
      <c r="D931" s="5"/>
      <c r="E931" s="5"/>
      <c r="F931" s="5"/>
      <c r="G931" s="5"/>
      <c r="H931" s="5"/>
    </row>
    <row r="932" spans="1:8">
      <c r="A932" s="5"/>
      <c r="B932" s="5"/>
      <c r="C932" s="5"/>
      <c r="D932" s="5"/>
      <c r="E932" s="5"/>
      <c r="F932" s="5"/>
      <c r="G932" s="5"/>
      <c r="H932" s="5"/>
    </row>
    <row r="933" spans="1:8">
      <c r="A933" s="5"/>
      <c r="B933" s="5"/>
      <c r="C933" s="5"/>
      <c r="D933" s="5"/>
      <c r="E933" s="5"/>
      <c r="F933" s="5"/>
      <c r="G933" s="5"/>
      <c r="H933" s="5"/>
    </row>
    <row r="934" spans="1:8">
      <c r="A934" s="5"/>
      <c r="B934" s="5"/>
      <c r="C934" s="5"/>
      <c r="D934" s="5"/>
      <c r="E934" s="5"/>
      <c r="F934" s="5"/>
      <c r="G934" s="5"/>
      <c r="H934" s="5"/>
    </row>
    <row r="935" spans="1:8">
      <c r="A935" s="5"/>
      <c r="B935" s="5"/>
      <c r="C935" s="5"/>
      <c r="D935" s="5"/>
      <c r="E935" s="5"/>
      <c r="F935" s="5"/>
      <c r="G935" s="5"/>
      <c r="H935" s="5"/>
    </row>
    <row r="936" spans="1:8">
      <c r="A936" s="5"/>
      <c r="B936" s="5"/>
      <c r="C936" s="5"/>
      <c r="D936" s="5"/>
      <c r="E936" s="5"/>
      <c r="F936" s="5"/>
      <c r="G936" s="5"/>
      <c r="H936" s="5"/>
    </row>
    <row r="937" spans="1:8">
      <c r="A937" s="5"/>
      <c r="B937" s="5"/>
      <c r="C937" s="5"/>
      <c r="D937" s="5"/>
      <c r="E937" s="5"/>
      <c r="F937" s="5"/>
      <c r="G937" s="5"/>
      <c r="H937" s="5"/>
    </row>
    <row r="938" spans="1:8">
      <c r="A938" s="5"/>
      <c r="B938" s="5"/>
      <c r="C938" s="5"/>
      <c r="D938" s="5"/>
      <c r="E938" s="5"/>
      <c r="F938" s="5"/>
      <c r="G938" s="5"/>
      <c r="H938" s="5"/>
    </row>
    <row r="939" spans="1:8">
      <c r="A939" s="5"/>
      <c r="B939" s="5"/>
      <c r="C939" s="5"/>
      <c r="D939" s="5"/>
      <c r="E939" s="5"/>
      <c r="F939" s="5"/>
      <c r="G939" s="5"/>
      <c r="H939" s="5"/>
    </row>
    <row r="940" spans="1:8">
      <c r="A940" s="5"/>
      <c r="B940" s="5"/>
      <c r="C940" s="5"/>
      <c r="D940" s="5"/>
      <c r="E940" s="5"/>
      <c r="F940" s="5"/>
      <c r="G940" s="5"/>
      <c r="H940" s="5"/>
    </row>
    <row r="941" spans="1:8">
      <c r="A941" s="5"/>
      <c r="B941" s="5"/>
      <c r="C941" s="5"/>
      <c r="D941" s="5"/>
      <c r="E941" s="5"/>
      <c r="F941" s="5"/>
      <c r="G941" s="5"/>
      <c r="H941" s="5"/>
    </row>
    <row r="942" spans="1:8">
      <c r="A942" s="5"/>
      <c r="B942" s="5"/>
      <c r="C942" s="5"/>
      <c r="D942" s="5"/>
      <c r="E942" s="5"/>
      <c r="F942" s="5"/>
      <c r="G942" s="5"/>
      <c r="H942" s="5"/>
    </row>
    <row r="943" spans="1:8">
      <c r="A943" s="5"/>
      <c r="B943" s="5"/>
      <c r="C943" s="5"/>
      <c r="D943" s="5"/>
      <c r="E943" s="5"/>
      <c r="F943" s="5"/>
      <c r="G943" s="5"/>
      <c r="H943" s="5"/>
    </row>
    <row r="944" spans="1:8">
      <c r="A944" s="5"/>
      <c r="B944" s="5"/>
      <c r="C944" s="5"/>
      <c r="D944" s="5"/>
      <c r="E944" s="5"/>
      <c r="F944" s="5"/>
      <c r="G944" s="5"/>
      <c r="H944" s="5"/>
    </row>
    <row r="945" spans="1:8">
      <c r="A945" s="5"/>
      <c r="B945" s="5"/>
      <c r="C945" s="5"/>
      <c r="D945" s="5"/>
      <c r="E945" s="5"/>
      <c r="F945" s="5"/>
      <c r="G945" s="5"/>
      <c r="H945" s="5"/>
    </row>
    <row r="946" spans="1:8">
      <c r="A946" s="5"/>
      <c r="B946" s="5"/>
      <c r="C946" s="5"/>
      <c r="D946" s="5"/>
      <c r="E946" s="5"/>
      <c r="F946" s="5"/>
      <c r="G946" s="5"/>
      <c r="H946" s="5"/>
    </row>
    <row r="947" spans="1:8">
      <c r="A947" s="5"/>
      <c r="B947" s="5"/>
      <c r="C947" s="5"/>
      <c r="D947" s="5"/>
      <c r="E947" s="5"/>
      <c r="F947" s="5"/>
      <c r="G947" s="5"/>
      <c r="H947" s="5"/>
    </row>
    <row r="948" spans="1:8">
      <c r="A948" s="5"/>
      <c r="B948" s="5"/>
      <c r="C948" s="5"/>
      <c r="D948" s="5"/>
      <c r="E948" s="5"/>
      <c r="F948" s="5"/>
      <c r="G948" s="5"/>
      <c r="H948" s="5"/>
    </row>
    <row r="949" spans="1:8">
      <c r="A949" s="5"/>
      <c r="B949" s="5"/>
      <c r="C949" s="5"/>
      <c r="D949" s="5"/>
      <c r="E949" s="5"/>
      <c r="F949" s="5"/>
      <c r="G949" s="5"/>
      <c r="H949" s="5"/>
    </row>
    <row r="950" spans="1:8">
      <c r="A950" s="5"/>
      <c r="B950" s="5"/>
      <c r="C950" s="5"/>
      <c r="D950" s="5"/>
      <c r="E950" s="5"/>
      <c r="F950" s="5"/>
      <c r="G950" s="5"/>
      <c r="H950" s="5"/>
    </row>
    <row r="951" spans="1:8">
      <c r="A951" s="5"/>
      <c r="B951" s="5"/>
      <c r="C951" s="5"/>
      <c r="D951" s="5"/>
      <c r="E951" s="5"/>
      <c r="F951" s="5"/>
      <c r="G951" s="5"/>
      <c r="H951" s="5"/>
    </row>
    <row r="952" spans="1:8">
      <c r="A952" s="5"/>
      <c r="B952" s="5"/>
      <c r="C952" s="5"/>
      <c r="D952" s="5"/>
      <c r="E952" s="5"/>
      <c r="F952" s="5"/>
      <c r="G952" s="5"/>
      <c r="H952" s="5"/>
    </row>
    <row r="953" spans="1:8">
      <c r="A953" s="5"/>
      <c r="B953" s="5"/>
      <c r="C953" s="5"/>
      <c r="D953" s="5"/>
      <c r="E953" s="5"/>
      <c r="F953" s="5"/>
      <c r="G953" s="5"/>
      <c r="H953" s="5"/>
    </row>
    <row r="954" spans="1:8">
      <c r="A954" s="5"/>
      <c r="B954" s="5"/>
      <c r="C954" s="5"/>
      <c r="D954" s="5"/>
      <c r="E954" s="5"/>
      <c r="F954" s="5"/>
      <c r="G954" s="5"/>
      <c r="H954" s="5"/>
    </row>
    <row r="955" spans="1:8">
      <c r="A955" s="5"/>
      <c r="B955" s="5"/>
      <c r="C955" s="5"/>
      <c r="D955" s="5"/>
      <c r="E955" s="5"/>
      <c r="F955" s="5"/>
      <c r="G955" s="5"/>
      <c r="H955" s="5"/>
    </row>
    <row r="956" spans="1:8">
      <c r="A956" s="5"/>
      <c r="B956" s="5"/>
      <c r="C956" s="5"/>
      <c r="D956" s="5"/>
      <c r="E956" s="5"/>
      <c r="F956" s="5"/>
      <c r="G956" s="5"/>
      <c r="H956" s="5"/>
    </row>
    <row r="957" spans="1:8">
      <c r="A957" s="5"/>
      <c r="B957" s="5"/>
      <c r="C957" s="5"/>
      <c r="D957" s="5"/>
      <c r="E957" s="5"/>
      <c r="F957" s="5"/>
      <c r="G957" s="5"/>
      <c r="H957" s="5"/>
    </row>
    <row r="958" spans="1:8">
      <c r="A958" s="5"/>
      <c r="B958" s="5"/>
      <c r="C958" s="5"/>
      <c r="D958" s="5"/>
      <c r="E958" s="5"/>
      <c r="F958" s="5"/>
      <c r="G958" s="5"/>
      <c r="H958" s="5"/>
    </row>
    <row r="959" spans="1:8">
      <c r="A959" s="5"/>
      <c r="B959" s="5"/>
      <c r="C959" s="5"/>
      <c r="D959" s="5"/>
      <c r="E959" s="5"/>
      <c r="F959" s="5"/>
      <c r="G959" s="5"/>
      <c r="H959" s="5"/>
    </row>
    <row r="960" spans="1:8">
      <c r="A960" s="5"/>
      <c r="B960" s="5"/>
      <c r="C960" s="5"/>
      <c r="D960" s="5"/>
      <c r="E960" s="5"/>
      <c r="F960" s="5"/>
      <c r="G960" s="5"/>
      <c r="H960" s="5"/>
    </row>
    <row r="961" spans="1:8">
      <c r="A961" s="5"/>
      <c r="B961" s="5"/>
      <c r="C961" s="5"/>
      <c r="D961" s="5"/>
      <c r="E961" s="5"/>
      <c r="F961" s="5"/>
      <c r="G961" s="5"/>
      <c r="H961" s="5"/>
    </row>
    <row r="962" spans="1:8">
      <c r="A962" s="5"/>
      <c r="B962" s="5"/>
      <c r="C962" s="5"/>
      <c r="D962" s="5"/>
      <c r="E962" s="5"/>
      <c r="F962" s="5"/>
      <c r="G962" s="5"/>
      <c r="H962" s="5"/>
    </row>
    <row r="963" spans="1:8">
      <c r="A963" s="5"/>
      <c r="B963" s="5"/>
      <c r="C963" s="5"/>
      <c r="D963" s="5"/>
      <c r="E963" s="5"/>
      <c r="F963" s="5"/>
      <c r="G963" s="5"/>
      <c r="H963" s="5"/>
    </row>
    <row r="964" spans="1:8">
      <c r="A964" s="5"/>
      <c r="B964" s="5"/>
      <c r="C964" s="5"/>
      <c r="D964" s="5"/>
      <c r="E964" s="5"/>
      <c r="F964" s="5"/>
      <c r="G964" s="5"/>
      <c r="H964" s="5"/>
    </row>
    <row r="965" spans="1:8">
      <c r="A965" s="5"/>
      <c r="B965" s="5"/>
      <c r="C965" s="5"/>
      <c r="D965" s="5"/>
      <c r="E965" s="5"/>
      <c r="F965" s="5"/>
      <c r="G965" s="5"/>
      <c r="H965" s="5"/>
    </row>
    <row r="966" spans="1:8">
      <c r="A966" s="5"/>
      <c r="B966" s="5"/>
      <c r="C966" s="5"/>
      <c r="D966" s="5"/>
      <c r="E966" s="5"/>
      <c r="F966" s="5"/>
      <c r="G966" s="5"/>
      <c r="H966" s="5"/>
    </row>
    <row r="967" spans="1:8">
      <c r="A967" s="5"/>
      <c r="B967" s="5"/>
      <c r="C967" s="5"/>
      <c r="D967" s="5"/>
      <c r="E967" s="5"/>
      <c r="F967" s="5"/>
      <c r="G967" s="5"/>
      <c r="H967" s="5"/>
    </row>
    <row r="968" spans="1:8">
      <c r="A968" s="5"/>
      <c r="B968" s="5"/>
      <c r="C968" s="5"/>
      <c r="D968" s="5"/>
      <c r="E968" s="5"/>
      <c r="F968" s="5"/>
      <c r="G968" s="5"/>
      <c r="H968" s="5"/>
    </row>
    <row r="969" spans="1:8">
      <c r="A969" s="5"/>
      <c r="B969" s="5"/>
      <c r="C969" s="5"/>
      <c r="D969" s="5"/>
      <c r="E969" s="5"/>
      <c r="F969" s="5"/>
      <c r="G969" s="5"/>
      <c r="H969" s="5"/>
    </row>
    <row r="970" spans="1:8">
      <c r="A970" s="5"/>
      <c r="B970" s="5"/>
      <c r="C970" s="5"/>
      <c r="D970" s="5"/>
      <c r="E970" s="5"/>
      <c r="F970" s="5"/>
      <c r="G970" s="5"/>
      <c r="H970" s="5"/>
    </row>
    <row r="971" spans="1:8">
      <c r="A971" s="5"/>
      <c r="B971" s="5"/>
      <c r="C971" s="5"/>
      <c r="D971" s="5"/>
      <c r="E971" s="5"/>
      <c r="F971" s="5"/>
      <c r="G971" s="5"/>
      <c r="H971" s="5"/>
    </row>
    <row r="972" spans="1:8">
      <c r="A972" s="5"/>
      <c r="B972" s="5"/>
      <c r="C972" s="5"/>
      <c r="D972" s="5"/>
      <c r="E972" s="5"/>
      <c r="F972" s="5"/>
      <c r="G972" s="5"/>
      <c r="H972" s="5"/>
    </row>
    <row r="973" spans="1:8">
      <c r="A973" s="5"/>
      <c r="B973" s="5"/>
      <c r="C973" s="5"/>
      <c r="D973" s="5"/>
      <c r="E973" s="5"/>
      <c r="F973" s="5"/>
      <c r="G973" s="5"/>
      <c r="H973" s="5"/>
    </row>
    <row r="974" spans="1:8">
      <c r="A974" s="5"/>
      <c r="B974" s="5"/>
      <c r="C974" s="5"/>
      <c r="D974" s="5"/>
      <c r="E974" s="5"/>
      <c r="F974" s="5"/>
      <c r="G974" s="5"/>
      <c r="H974" s="5"/>
    </row>
    <row r="975" spans="1:8">
      <c r="A975" s="5"/>
      <c r="B975" s="5"/>
      <c r="C975" s="5"/>
      <c r="D975" s="5"/>
      <c r="E975" s="5"/>
      <c r="F975" s="5"/>
      <c r="G975" s="5"/>
      <c r="H975" s="5"/>
    </row>
    <row r="976" spans="1:8">
      <c r="A976" s="5"/>
      <c r="B976" s="5"/>
      <c r="C976" s="5"/>
      <c r="D976" s="5"/>
      <c r="E976" s="5"/>
      <c r="F976" s="5"/>
      <c r="G976" s="5"/>
      <c r="H976" s="5"/>
    </row>
    <row r="977" spans="1:8">
      <c r="A977" s="5"/>
      <c r="B977" s="5"/>
      <c r="C977" s="5"/>
      <c r="D977" s="5"/>
      <c r="E977" s="5"/>
      <c r="F977" s="5"/>
      <c r="G977" s="5"/>
      <c r="H977" s="5"/>
    </row>
    <row r="978" spans="1:8">
      <c r="A978" s="5"/>
      <c r="B978" s="5"/>
      <c r="C978" s="5"/>
      <c r="D978" s="5"/>
      <c r="E978" s="5"/>
      <c r="F978" s="5"/>
      <c r="G978" s="5"/>
      <c r="H978" s="5"/>
    </row>
    <row r="979" spans="1:8">
      <c r="A979" s="5"/>
      <c r="B979" s="5"/>
      <c r="C979" s="5"/>
      <c r="D979" s="5"/>
      <c r="E979" s="5"/>
      <c r="F979" s="5"/>
      <c r="G979" s="5"/>
      <c r="H979" s="5"/>
    </row>
    <row r="980" spans="1:8">
      <c r="A980" s="5"/>
      <c r="B980" s="5"/>
      <c r="C980" s="5"/>
      <c r="D980" s="5"/>
      <c r="E980" s="5"/>
      <c r="F980" s="5"/>
      <c r="G980" s="5"/>
      <c r="H980" s="5"/>
    </row>
    <row r="981" spans="1:8">
      <c r="A981" s="5"/>
      <c r="B981" s="5"/>
      <c r="C981" s="5"/>
      <c r="D981" s="5"/>
      <c r="E981" s="5"/>
      <c r="F981" s="5"/>
      <c r="G981" s="5"/>
      <c r="H981" s="5"/>
    </row>
    <row r="982" spans="1:8">
      <c r="A982" s="5"/>
      <c r="B982" s="5"/>
      <c r="C982" s="5"/>
      <c r="D982" s="5"/>
      <c r="E982" s="5"/>
      <c r="F982" s="5"/>
      <c r="G982" s="5"/>
      <c r="H982" s="5"/>
    </row>
    <row r="983" spans="1:8">
      <c r="A983" s="5"/>
      <c r="B983" s="5"/>
      <c r="C983" s="5"/>
      <c r="D983" s="5"/>
      <c r="E983" s="5"/>
      <c r="F983" s="5"/>
      <c r="G983" s="5"/>
      <c r="H983" s="5"/>
    </row>
    <row r="984" spans="1:8">
      <c r="A984" s="5"/>
      <c r="B984" s="5"/>
      <c r="C984" s="5"/>
      <c r="D984" s="5"/>
      <c r="E984" s="5"/>
      <c r="F984" s="5"/>
      <c r="G984" s="5"/>
      <c r="H984" s="5"/>
    </row>
    <row r="985" spans="1:8">
      <c r="A985" s="5"/>
      <c r="B985" s="5"/>
      <c r="C985" s="5"/>
      <c r="D985" s="5"/>
      <c r="E985" s="5"/>
      <c r="F985" s="5"/>
      <c r="G985" s="5"/>
      <c r="H985" s="5"/>
    </row>
    <row r="986" spans="1:8">
      <c r="A986" s="5"/>
      <c r="B986" s="5"/>
      <c r="C986" s="5"/>
      <c r="D986" s="5"/>
      <c r="E986" s="5"/>
      <c r="F986" s="5"/>
      <c r="G986" s="5"/>
      <c r="H986" s="5"/>
    </row>
    <row r="987" spans="1:8">
      <c r="A987" s="5"/>
      <c r="B987" s="5"/>
      <c r="C987" s="5"/>
      <c r="D987" s="5"/>
      <c r="E987" s="5"/>
      <c r="F987" s="5"/>
      <c r="G987" s="5"/>
      <c r="H987" s="5"/>
    </row>
    <row r="988" spans="1:8">
      <c r="A988" s="5"/>
      <c r="B988" s="5"/>
      <c r="C988" s="5"/>
      <c r="D988" s="5"/>
      <c r="E988" s="5"/>
      <c r="F988" s="5"/>
      <c r="G988" s="5"/>
      <c r="H988" s="5"/>
    </row>
    <row r="989" spans="1:8">
      <c r="A989" s="5"/>
      <c r="B989" s="5"/>
      <c r="C989" s="5"/>
      <c r="D989" s="5"/>
      <c r="E989" s="5"/>
      <c r="F989" s="5"/>
      <c r="G989" s="5"/>
      <c r="H989" s="5"/>
    </row>
    <row r="990" spans="1:8">
      <c r="A990" s="5"/>
      <c r="B990" s="5"/>
      <c r="C990" s="5"/>
      <c r="D990" s="5"/>
      <c r="E990" s="5"/>
      <c r="F990" s="5"/>
      <c r="G990" s="5"/>
      <c r="H990" s="5"/>
    </row>
    <row r="991" spans="1:8">
      <c r="A991" s="5"/>
      <c r="B991" s="5"/>
      <c r="C991" s="5"/>
      <c r="D991" s="5"/>
      <c r="E991" s="5"/>
      <c r="F991" s="5"/>
      <c r="G991" s="5"/>
      <c r="H991" s="5"/>
    </row>
    <row r="992" spans="1:8">
      <c r="A992" s="5"/>
      <c r="B992" s="5"/>
      <c r="C992" s="5"/>
      <c r="D992" s="5"/>
      <c r="E992" s="5"/>
      <c r="F992" s="5"/>
      <c r="G992" s="5"/>
      <c r="H992" s="5"/>
    </row>
    <row r="993" spans="1:8">
      <c r="A993" s="5"/>
      <c r="B993" s="5"/>
      <c r="C993" s="5"/>
      <c r="D993" s="5"/>
      <c r="E993" s="5"/>
      <c r="F993" s="5"/>
      <c r="G993" s="5"/>
      <c r="H993" s="5"/>
    </row>
    <row r="994" spans="1:8">
      <c r="A994" s="5"/>
      <c r="B994" s="5"/>
      <c r="C994" s="5"/>
      <c r="D994" s="5"/>
      <c r="E994" s="5"/>
      <c r="F994" s="5"/>
      <c r="G994" s="5"/>
      <c r="H994" s="5"/>
    </row>
    <row r="995" spans="1:8">
      <c r="A995" s="5"/>
      <c r="B995" s="5"/>
      <c r="C995" s="5"/>
      <c r="D995" s="5"/>
      <c r="E995" s="5"/>
      <c r="F995" s="5"/>
      <c r="G995" s="5"/>
      <c r="H995" s="5"/>
    </row>
    <row r="996" spans="1:8">
      <c r="A996" s="5"/>
      <c r="B996" s="5"/>
      <c r="C996" s="5"/>
      <c r="D996" s="5"/>
      <c r="E996" s="5"/>
      <c r="F996" s="5"/>
      <c r="G996" s="5"/>
      <c r="H996" s="5"/>
    </row>
    <row r="997" spans="1:8">
      <c r="A997" s="5"/>
      <c r="B997" s="5"/>
      <c r="C997" s="5"/>
      <c r="D997" s="5"/>
      <c r="E997" s="5"/>
      <c r="F997" s="5"/>
      <c r="G997" s="5"/>
      <c r="H997" s="5"/>
    </row>
    <row r="998" spans="1:8">
      <c r="A998" s="5"/>
      <c r="B998" s="5"/>
      <c r="C998" s="5"/>
      <c r="D998" s="5"/>
      <c r="E998" s="5"/>
      <c r="F998" s="5"/>
      <c r="G998" s="5"/>
      <c r="H998" s="5"/>
    </row>
    <row r="999" spans="1:8">
      <c r="A999" s="5"/>
      <c r="B999" s="5"/>
      <c r="C999" s="5"/>
      <c r="D999" s="5"/>
      <c r="E999" s="5"/>
      <c r="F999" s="5"/>
      <c r="G999" s="5"/>
      <c r="H999" s="5"/>
    </row>
    <row r="1000" spans="1:8">
      <c r="A1000" s="5"/>
      <c r="B1000" s="5"/>
      <c r="C1000" s="5"/>
      <c r="D1000" s="5"/>
      <c r="E1000" s="5"/>
      <c r="F1000" s="5"/>
      <c r="G1000" s="5"/>
      <c r="H1000" s="5"/>
    </row>
    <row r="1001" spans="1:8">
      <c r="A1001" s="5"/>
      <c r="B1001" s="5"/>
      <c r="C1001" s="5"/>
      <c r="D1001" s="5"/>
      <c r="E1001" s="5"/>
      <c r="F1001" s="5"/>
      <c r="G1001" s="5"/>
      <c r="H1001" s="5"/>
    </row>
    <row r="1002" spans="1:8">
      <c r="A1002" s="5"/>
      <c r="B1002" s="5"/>
      <c r="C1002" s="5"/>
      <c r="D1002" s="5"/>
      <c r="E1002" s="5"/>
      <c r="F1002" s="5"/>
      <c r="G1002" s="5"/>
      <c r="H1002" s="5"/>
    </row>
    <row r="1003" spans="1:8">
      <c r="A1003" s="5"/>
      <c r="B1003" s="5"/>
      <c r="C1003" s="5"/>
      <c r="D1003" s="5"/>
      <c r="E1003" s="5"/>
      <c r="F1003" s="5"/>
      <c r="G1003" s="5"/>
      <c r="H1003" s="5"/>
    </row>
    <row r="1004" spans="1:8">
      <c r="A1004" s="5"/>
      <c r="B1004" s="5"/>
      <c r="C1004" s="5"/>
      <c r="D1004" s="5"/>
      <c r="E1004" s="5"/>
      <c r="F1004" s="5"/>
      <c r="G1004" s="5"/>
      <c r="H1004" s="5"/>
    </row>
    <row r="1005" spans="1:8">
      <c r="A1005" s="5"/>
      <c r="B1005" s="5"/>
      <c r="C1005" s="5"/>
      <c r="D1005" s="5"/>
      <c r="E1005" s="5"/>
      <c r="F1005" s="5"/>
      <c r="G1005" s="5"/>
      <c r="H1005" s="5"/>
    </row>
    <row r="1006" spans="1:8">
      <c r="A1006" s="5"/>
      <c r="B1006" s="5"/>
      <c r="C1006" s="5"/>
      <c r="D1006" s="5"/>
      <c r="E1006" s="5"/>
      <c r="F1006" s="5"/>
      <c r="G1006" s="5"/>
      <c r="H1006" s="5"/>
    </row>
    <row r="1007" spans="1:8">
      <c r="A1007" s="5"/>
      <c r="B1007" s="5"/>
      <c r="C1007" s="5"/>
      <c r="D1007" s="5"/>
      <c r="E1007" s="5"/>
      <c r="F1007" s="5"/>
      <c r="G1007" s="5"/>
      <c r="H1007" s="5"/>
    </row>
    <row r="1008" spans="1:8">
      <c r="A1008" s="5"/>
      <c r="B1008" s="5"/>
      <c r="C1008" s="5"/>
      <c r="D1008" s="5"/>
      <c r="E1008" s="5"/>
      <c r="F1008" s="5"/>
      <c r="G1008" s="5"/>
      <c r="H1008" s="5"/>
    </row>
    <row r="1009" spans="1:8">
      <c r="A1009" s="5"/>
      <c r="B1009" s="5"/>
      <c r="C1009" s="5"/>
      <c r="D1009" s="5"/>
      <c r="E1009" s="5"/>
      <c r="F1009" s="5"/>
      <c r="G1009" s="5"/>
      <c r="H1009" s="5"/>
    </row>
    <row r="1010" spans="1:8">
      <c r="A1010" s="5"/>
      <c r="B1010" s="5"/>
      <c r="C1010" s="5"/>
      <c r="D1010" s="5"/>
      <c r="E1010" s="5"/>
      <c r="F1010" s="5"/>
      <c r="G1010" s="5"/>
      <c r="H1010" s="5"/>
    </row>
    <row r="1011" spans="1:8">
      <c r="A1011" s="5"/>
      <c r="B1011" s="5"/>
      <c r="C1011" s="5"/>
      <c r="D1011" s="5"/>
      <c r="E1011" s="5"/>
      <c r="F1011" s="5"/>
      <c r="G1011" s="5"/>
      <c r="H1011" s="5"/>
    </row>
    <row r="1012" spans="1:8">
      <c r="A1012" s="5"/>
      <c r="B1012" s="5"/>
      <c r="C1012" s="5"/>
      <c r="D1012" s="5"/>
      <c r="E1012" s="5"/>
      <c r="F1012" s="5"/>
      <c r="G1012" s="5"/>
      <c r="H1012" s="5"/>
    </row>
    <row r="1013" spans="1:8">
      <c r="A1013" s="5"/>
      <c r="B1013" s="5"/>
      <c r="C1013" s="5"/>
      <c r="D1013" s="5"/>
      <c r="E1013" s="5"/>
      <c r="F1013" s="5"/>
      <c r="G1013" s="5"/>
      <c r="H1013" s="5"/>
    </row>
    <row r="1014" spans="1:8">
      <c r="A1014" s="5"/>
      <c r="B1014" s="5"/>
      <c r="C1014" s="5"/>
      <c r="D1014" s="5"/>
      <c r="E1014" s="5"/>
      <c r="F1014" s="5"/>
      <c r="G1014" s="5"/>
      <c r="H1014" s="5"/>
    </row>
    <row r="1015" spans="1:8">
      <c r="A1015" s="5"/>
      <c r="B1015" s="5"/>
      <c r="C1015" s="5"/>
      <c r="D1015" s="5"/>
      <c r="E1015" s="5"/>
      <c r="F1015" s="5"/>
      <c r="G1015" s="5"/>
      <c r="H1015" s="5"/>
    </row>
    <row r="1016" spans="1:8">
      <c r="A1016" s="5"/>
      <c r="B1016" s="5"/>
      <c r="C1016" s="5"/>
      <c r="D1016" s="5"/>
      <c r="E1016" s="5"/>
      <c r="F1016" s="5"/>
      <c r="G1016" s="5"/>
      <c r="H1016" s="5"/>
    </row>
    <row r="1017" spans="1:8">
      <c r="A1017" s="5"/>
      <c r="B1017" s="5"/>
      <c r="C1017" s="5"/>
      <c r="D1017" s="5"/>
      <c r="E1017" s="5"/>
      <c r="F1017" s="5"/>
      <c r="G1017" s="5"/>
      <c r="H1017" s="5"/>
    </row>
    <row r="1018" spans="1:8">
      <c r="A1018" s="5"/>
      <c r="B1018" s="5"/>
      <c r="C1018" s="5"/>
      <c r="D1018" s="5"/>
      <c r="E1018" s="5"/>
      <c r="F1018" s="5"/>
      <c r="G1018" s="5"/>
      <c r="H1018" s="5"/>
    </row>
    <row r="1019" spans="1:8">
      <c r="A1019" s="5"/>
      <c r="B1019" s="5"/>
      <c r="C1019" s="5"/>
      <c r="D1019" s="5"/>
      <c r="E1019" s="5"/>
      <c r="F1019" s="5"/>
      <c r="G1019" s="5"/>
      <c r="H1019" s="5"/>
    </row>
    <row r="1020" spans="1:8">
      <c r="A1020" s="5"/>
      <c r="B1020" s="5"/>
      <c r="C1020" s="5"/>
      <c r="D1020" s="5"/>
      <c r="E1020" s="5"/>
      <c r="F1020" s="5"/>
      <c r="G1020" s="5"/>
      <c r="H1020" s="5"/>
    </row>
    <row r="1021" spans="1:8">
      <c r="A1021" s="5"/>
      <c r="B1021" s="5"/>
      <c r="C1021" s="5"/>
      <c r="D1021" s="5"/>
      <c r="E1021" s="5"/>
      <c r="F1021" s="5"/>
      <c r="G1021" s="5"/>
      <c r="H1021" s="5"/>
    </row>
    <row r="1022" spans="1:8">
      <c r="A1022" s="5"/>
      <c r="B1022" s="5"/>
      <c r="C1022" s="5"/>
      <c r="D1022" s="5"/>
      <c r="E1022" s="5"/>
      <c r="F1022" s="5"/>
      <c r="G1022" s="5"/>
      <c r="H1022" s="5"/>
    </row>
    <row r="1023" spans="1:8">
      <c r="A1023" s="5"/>
      <c r="B1023" s="5"/>
      <c r="C1023" s="5"/>
      <c r="D1023" s="5"/>
      <c r="E1023" s="5"/>
      <c r="F1023" s="5"/>
      <c r="G1023" s="5"/>
      <c r="H1023" s="5"/>
    </row>
    <row r="1024" spans="1:8">
      <c r="A1024" s="5"/>
      <c r="B1024" s="5"/>
      <c r="C1024" s="5"/>
      <c r="D1024" s="5"/>
      <c r="E1024" s="5"/>
      <c r="F1024" s="5"/>
      <c r="G1024" s="5"/>
      <c r="H1024" s="5"/>
    </row>
    <row r="1025" spans="1:8">
      <c r="A1025" s="5"/>
      <c r="B1025" s="5"/>
      <c r="C1025" s="5"/>
      <c r="D1025" s="5"/>
      <c r="E1025" s="5"/>
      <c r="F1025" s="5"/>
      <c r="G1025" s="5"/>
      <c r="H1025" s="5"/>
    </row>
    <row r="1026" spans="1:8">
      <c r="A1026" s="5"/>
      <c r="B1026" s="5"/>
      <c r="C1026" s="5"/>
      <c r="D1026" s="5"/>
      <c r="E1026" s="5"/>
      <c r="F1026" s="5"/>
      <c r="G1026" s="5"/>
      <c r="H1026" s="5"/>
    </row>
    <row r="1027" spans="1:8">
      <c r="A1027" s="5"/>
      <c r="B1027" s="5"/>
      <c r="C1027" s="5"/>
      <c r="D1027" s="5"/>
      <c r="E1027" s="5"/>
      <c r="F1027" s="5"/>
      <c r="G1027" s="5"/>
      <c r="H1027" s="5"/>
    </row>
    <row r="1028" spans="1:8">
      <c r="A1028" s="5"/>
      <c r="B1028" s="5"/>
      <c r="C1028" s="5"/>
      <c r="D1028" s="5"/>
      <c r="E1028" s="5"/>
      <c r="F1028" s="5"/>
      <c r="G1028" s="5"/>
      <c r="H1028" s="5"/>
    </row>
    <row r="1029" spans="1:8">
      <c r="A1029" s="5"/>
      <c r="B1029" s="5"/>
      <c r="C1029" s="5"/>
      <c r="D1029" s="5"/>
      <c r="E1029" s="5"/>
      <c r="F1029" s="5"/>
      <c r="G1029" s="5"/>
      <c r="H1029" s="5"/>
    </row>
    <row r="1030" spans="1:8">
      <c r="A1030" s="5"/>
      <c r="B1030" s="5"/>
      <c r="C1030" s="5"/>
      <c r="D1030" s="5"/>
      <c r="E1030" s="5"/>
      <c r="F1030" s="5"/>
      <c r="G1030" s="5"/>
      <c r="H1030" s="5"/>
    </row>
    <row r="1031" spans="1:8">
      <c r="A1031" s="5"/>
      <c r="B1031" s="5"/>
      <c r="C1031" s="5"/>
      <c r="D1031" s="5"/>
      <c r="E1031" s="5"/>
      <c r="F1031" s="5"/>
      <c r="G1031" s="5"/>
      <c r="H1031" s="5"/>
    </row>
    <row r="1032" spans="1:8">
      <c r="A1032" s="5"/>
      <c r="B1032" s="5"/>
      <c r="C1032" s="5"/>
      <c r="D1032" s="5"/>
      <c r="E1032" s="5"/>
      <c r="F1032" s="5"/>
      <c r="G1032" s="5"/>
      <c r="H1032" s="5"/>
    </row>
    <row r="1033" spans="1:8">
      <c r="A1033" s="5"/>
      <c r="B1033" s="5"/>
      <c r="C1033" s="5"/>
      <c r="D1033" s="5"/>
      <c r="E1033" s="5"/>
      <c r="F1033" s="5"/>
      <c r="G1033" s="5"/>
      <c r="H1033" s="5"/>
    </row>
    <row r="1034" spans="1:8">
      <c r="A1034" s="5"/>
      <c r="B1034" s="5"/>
      <c r="C1034" s="5"/>
      <c r="D1034" s="5"/>
      <c r="E1034" s="5"/>
      <c r="F1034" s="5"/>
      <c r="G1034" s="5"/>
      <c r="H1034" s="5"/>
    </row>
    <row r="1035" spans="1:8">
      <c r="A1035" s="5"/>
      <c r="B1035" s="5"/>
      <c r="C1035" s="5"/>
      <c r="D1035" s="5"/>
      <c r="E1035" s="5"/>
      <c r="F1035" s="5"/>
      <c r="G1035" s="5"/>
      <c r="H1035" s="5"/>
    </row>
    <row r="1036" spans="1:8">
      <c r="A1036" s="5"/>
      <c r="B1036" s="5"/>
      <c r="C1036" s="5"/>
      <c r="D1036" s="5"/>
      <c r="E1036" s="5"/>
      <c r="F1036" s="5"/>
      <c r="G1036" s="5"/>
      <c r="H1036" s="5"/>
    </row>
    <row r="1037" spans="1:8">
      <c r="A1037" s="5"/>
      <c r="B1037" s="5"/>
      <c r="C1037" s="5"/>
      <c r="D1037" s="5"/>
      <c r="E1037" s="5"/>
      <c r="F1037" s="5"/>
      <c r="G1037" s="5"/>
      <c r="H1037" s="5"/>
    </row>
    <row r="1038" spans="1:8">
      <c r="A1038" s="5"/>
      <c r="B1038" s="5"/>
      <c r="C1038" s="5"/>
      <c r="D1038" s="5"/>
      <c r="E1038" s="5"/>
      <c r="F1038" s="5"/>
      <c r="G1038" s="5"/>
      <c r="H1038" s="5"/>
    </row>
    <row r="1039" spans="1:8">
      <c r="A1039" s="5"/>
      <c r="B1039" s="5"/>
      <c r="C1039" s="5"/>
      <c r="D1039" s="5"/>
      <c r="E1039" s="5"/>
      <c r="F1039" s="5"/>
      <c r="G1039" s="5"/>
      <c r="H1039" s="5"/>
    </row>
    <row r="1040" spans="1:8">
      <c r="A1040" s="5"/>
      <c r="B1040" s="5"/>
      <c r="C1040" s="5"/>
      <c r="D1040" s="5"/>
      <c r="E1040" s="5"/>
      <c r="F1040" s="5"/>
      <c r="G1040" s="5"/>
      <c r="H1040" s="5"/>
    </row>
    <row r="1041" spans="1:8">
      <c r="A1041" s="5"/>
      <c r="B1041" s="5"/>
      <c r="C1041" s="5"/>
      <c r="D1041" s="5"/>
      <c r="E1041" s="5"/>
      <c r="F1041" s="5"/>
      <c r="G1041" s="5"/>
      <c r="H1041" s="5"/>
    </row>
    <row r="1042" spans="1:8">
      <c r="A1042" s="5"/>
      <c r="B1042" s="5"/>
      <c r="C1042" s="5"/>
      <c r="D1042" s="5"/>
      <c r="E1042" s="5"/>
      <c r="F1042" s="5"/>
      <c r="G1042" s="5"/>
      <c r="H1042" s="5"/>
    </row>
    <row r="1043" spans="1:8">
      <c r="A1043" s="5"/>
      <c r="B1043" s="5"/>
      <c r="C1043" s="5"/>
      <c r="D1043" s="5"/>
      <c r="E1043" s="5"/>
      <c r="F1043" s="5"/>
      <c r="G1043" s="5"/>
      <c r="H1043" s="5"/>
    </row>
    <row r="1044" spans="1:8">
      <c r="A1044" s="5"/>
      <c r="B1044" s="5"/>
      <c r="C1044" s="5"/>
      <c r="D1044" s="5"/>
      <c r="E1044" s="5"/>
      <c r="F1044" s="5"/>
      <c r="G1044" s="5"/>
      <c r="H1044" s="5"/>
    </row>
    <row r="1045" spans="1:8">
      <c r="A1045" s="5"/>
      <c r="B1045" s="5"/>
      <c r="C1045" s="5"/>
      <c r="D1045" s="5"/>
      <c r="E1045" s="5"/>
      <c r="F1045" s="5"/>
      <c r="G1045" s="5"/>
      <c r="H1045" s="5"/>
    </row>
    <row r="1046" spans="1:8">
      <c r="A1046" s="5"/>
      <c r="B1046" s="5"/>
      <c r="C1046" s="5"/>
      <c r="D1046" s="5"/>
      <c r="E1046" s="5"/>
      <c r="F1046" s="5"/>
      <c r="G1046" s="5"/>
      <c r="H1046" s="5"/>
    </row>
    <row r="1047" spans="1:8">
      <c r="A1047" s="5"/>
      <c r="B1047" s="5"/>
      <c r="C1047" s="5"/>
      <c r="D1047" s="5"/>
      <c r="E1047" s="5"/>
      <c r="F1047" s="5"/>
      <c r="G1047" s="5"/>
      <c r="H1047" s="5"/>
    </row>
    <row r="1048" spans="1:8">
      <c r="A1048" s="5"/>
      <c r="B1048" s="5"/>
      <c r="C1048" s="5"/>
      <c r="D1048" s="5"/>
      <c r="E1048" s="5"/>
      <c r="F1048" s="5"/>
      <c r="G1048" s="5"/>
      <c r="H1048" s="5"/>
    </row>
    <row r="1049" spans="1:8">
      <c r="A1049" s="5"/>
      <c r="B1049" s="5"/>
      <c r="C1049" s="5"/>
      <c r="D1049" s="5"/>
      <c r="E1049" s="5"/>
      <c r="F1049" s="5"/>
      <c r="G1049" s="5"/>
      <c r="H1049" s="5"/>
    </row>
    <row r="1050" spans="1:8">
      <c r="A1050" s="5"/>
      <c r="B1050" s="5"/>
      <c r="C1050" s="5"/>
      <c r="D1050" s="5"/>
      <c r="E1050" s="5"/>
      <c r="F1050" s="5"/>
      <c r="G1050" s="5"/>
      <c r="H1050" s="5"/>
    </row>
    <row r="1051" spans="1:8">
      <c r="A1051" s="5"/>
      <c r="B1051" s="5"/>
      <c r="C1051" s="5"/>
      <c r="D1051" s="5"/>
      <c r="E1051" s="5"/>
      <c r="F1051" s="5"/>
      <c r="G1051" s="5"/>
      <c r="H1051" s="5"/>
    </row>
    <row r="1052" spans="1:8">
      <c r="A1052" s="5"/>
      <c r="B1052" s="5"/>
      <c r="C1052" s="5"/>
      <c r="D1052" s="5"/>
      <c r="E1052" s="5"/>
      <c r="F1052" s="5"/>
      <c r="G1052" s="5"/>
      <c r="H1052" s="5"/>
    </row>
    <row r="1053" spans="1:8">
      <c r="A1053" s="5"/>
      <c r="B1053" s="5"/>
      <c r="C1053" s="5"/>
      <c r="D1053" s="5"/>
      <c r="E1053" s="5"/>
      <c r="F1053" s="5"/>
      <c r="G1053" s="5"/>
      <c r="H1053" s="5"/>
    </row>
    <row r="1054" spans="1:8">
      <c r="A1054" s="5"/>
      <c r="B1054" s="5"/>
      <c r="C1054" s="5"/>
      <c r="D1054" s="5"/>
      <c r="E1054" s="5"/>
      <c r="F1054" s="5"/>
      <c r="G1054" s="5"/>
      <c r="H1054" s="5"/>
    </row>
    <row r="1055" spans="1:8">
      <c r="A1055" s="5"/>
      <c r="B1055" s="5"/>
      <c r="C1055" s="5"/>
      <c r="D1055" s="5"/>
      <c r="E1055" s="5"/>
      <c r="F1055" s="5"/>
      <c r="G1055" s="5"/>
      <c r="H1055" s="5"/>
    </row>
    <row r="1056" spans="1:8">
      <c r="A1056" s="5"/>
      <c r="B1056" s="5"/>
      <c r="C1056" s="5"/>
      <c r="D1056" s="5"/>
      <c r="E1056" s="5"/>
      <c r="F1056" s="5"/>
      <c r="G1056" s="5"/>
      <c r="H1056" s="5"/>
    </row>
    <row r="1057" spans="1:8">
      <c r="A1057" s="5"/>
      <c r="B1057" s="5"/>
      <c r="C1057" s="5"/>
      <c r="D1057" s="5"/>
      <c r="E1057" s="5"/>
      <c r="F1057" s="5"/>
      <c r="G1057" s="5"/>
      <c r="H1057" s="5"/>
    </row>
    <row r="1058" spans="1:8">
      <c r="A1058" s="5"/>
      <c r="B1058" s="5"/>
      <c r="C1058" s="5"/>
      <c r="D1058" s="5"/>
      <c r="E1058" s="5"/>
      <c r="F1058" s="5"/>
      <c r="G1058" s="5"/>
      <c r="H1058" s="5"/>
    </row>
    <row r="1059" spans="1:8">
      <c r="A1059" s="5"/>
      <c r="B1059" s="5"/>
      <c r="C1059" s="5"/>
      <c r="D1059" s="5"/>
      <c r="E1059" s="5"/>
      <c r="F1059" s="5"/>
      <c r="G1059" s="5"/>
      <c r="H1059" s="5"/>
    </row>
    <row r="1060" spans="1:8">
      <c r="A1060" s="5"/>
      <c r="B1060" s="5"/>
      <c r="C1060" s="5"/>
      <c r="D1060" s="5"/>
      <c r="E1060" s="5"/>
      <c r="F1060" s="5"/>
      <c r="G1060" s="5"/>
      <c r="H1060" s="5"/>
    </row>
    <row r="1061" spans="1:8">
      <c r="A1061" s="5"/>
      <c r="B1061" s="5"/>
      <c r="C1061" s="5"/>
      <c r="D1061" s="5"/>
      <c r="E1061" s="5"/>
      <c r="F1061" s="5"/>
      <c r="G1061" s="5"/>
      <c r="H1061" s="5"/>
    </row>
    <row r="1062" spans="1:8">
      <c r="A1062" s="5"/>
      <c r="B1062" s="5"/>
      <c r="C1062" s="5"/>
      <c r="D1062" s="5"/>
      <c r="E1062" s="5"/>
      <c r="F1062" s="5"/>
      <c r="G1062" s="5"/>
      <c r="H1062" s="5"/>
    </row>
    <row r="1063" spans="1:8">
      <c r="A1063" s="5"/>
      <c r="B1063" s="5"/>
      <c r="C1063" s="5"/>
      <c r="D1063" s="5"/>
      <c r="E1063" s="5"/>
      <c r="F1063" s="5"/>
      <c r="G1063" s="5"/>
      <c r="H1063" s="5"/>
    </row>
    <row r="1064" spans="1:8">
      <c r="A1064" s="5"/>
      <c r="B1064" s="5"/>
      <c r="C1064" s="5"/>
      <c r="D1064" s="5"/>
      <c r="E1064" s="5"/>
      <c r="F1064" s="5"/>
      <c r="G1064" s="5"/>
      <c r="H1064" s="5"/>
    </row>
    <row r="1065" spans="1:8">
      <c r="A1065" s="5"/>
      <c r="B1065" s="5"/>
      <c r="C1065" s="5"/>
      <c r="D1065" s="5"/>
      <c r="E1065" s="5"/>
      <c r="F1065" s="5"/>
      <c r="G1065" s="5"/>
      <c r="H1065" s="5"/>
    </row>
    <row r="1066" spans="1:8">
      <c r="A1066" s="5"/>
      <c r="B1066" s="5"/>
      <c r="C1066" s="5"/>
      <c r="D1066" s="5"/>
      <c r="E1066" s="5"/>
      <c r="F1066" s="5"/>
      <c r="G1066" s="5"/>
      <c r="H1066" s="5"/>
    </row>
    <row r="1067" spans="1:8">
      <c r="A1067" s="5"/>
      <c r="B1067" s="5"/>
      <c r="C1067" s="5"/>
      <c r="D1067" s="5"/>
      <c r="E1067" s="5"/>
      <c r="F1067" s="5"/>
      <c r="G1067" s="5"/>
      <c r="H1067" s="5"/>
    </row>
    <row r="1068" spans="1:8">
      <c r="A1068" s="5"/>
      <c r="B1068" s="5"/>
      <c r="C1068" s="5"/>
      <c r="D1068" s="5"/>
      <c r="E1068" s="5"/>
      <c r="F1068" s="5"/>
      <c r="G1068" s="5"/>
      <c r="H1068" s="5"/>
    </row>
    <row r="1069" spans="1:8">
      <c r="A1069" s="5"/>
      <c r="B1069" s="5"/>
      <c r="C1069" s="5"/>
      <c r="D1069" s="5"/>
      <c r="E1069" s="5"/>
      <c r="F1069" s="5"/>
      <c r="G1069" s="5"/>
      <c r="H1069" s="5"/>
    </row>
    <row r="1070" spans="1:8">
      <c r="A1070" s="5"/>
      <c r="B1070" s="5"/>
      <c r="C1070" s="5"/>
      <c r="D1070" s="5"/>
      <c r="E1070" s="5"/>
      <c r="F1070" s="5"/>
      <c r="G1070" s="5"/>
      <c r="H1070" s="5"/>
    </row>
    <row r="1071" spans="1:8">
      <c r="A1071" s="5"/>
      <c r="B1071" s="5"/>
      <c r="C1071" s="5"/>
      <c r="D1071" s="5"/>
      <c r="E1071" s="5"/>
      <c r="F1071" s="5"/>
      <c r="G1071" s="5"/>
      <c r="H1071" s="5"/>
    </row>
    <row r="1072" spans="1:8">
      <c r="A1072" s="5"/>
      <c r="B1072" s="5"/>
      <c r="C1072" s="5"/>
      <c r="D1072" s="5"/>
      <c r="E1072" s="5"/>
      <c r="F1072" s="5"/>
      <c r="G1072" s="5"/>
      <c r="H1072" s="5"/>
    </row>
    <row r="1073" spans="1:8">
      <c r="A1073" s="5"/>
      <c r="B1073" s="5"/>
      <c r="C1073" s="5"/>
      <c r="D1073" s="5"/>
      <c r="E1073" s="5"/>
      <c r="F1073" s="5"/>
      <c r="G1073" s="5"/>
      <c r="H1073" s="5"/>
    </row>
    <row r="1074" spans="1:8">
      <c r="A1074" s="5"/>
      <c r="B1074" s="5"/>
      <c r="C1074" s="5"/>
      <c r="D1074" s="5"/>
      <c r="E1074" s="5"/>
      <c r="F1074" s="5"/>
      <c r="G1074" s="5"/>
      <c r="H1074" s="5"/>
    </row>
    <row r="1075" spans="1:8">
      <c r="A1075" s="5"/>
      <c r="B1075" s="5"/>
      <c r="C1075" s="5"/>
      <c r="D1075" s="5"/>
      <c r="E1075" s="5"/>
      <c r="F1075" s="5"/>
      <c r="G1075" s="5"/>
      <c r="H1075" s="5"/>
    </row>
    <row r="1076" spans="1:8">
      <c r="A1076" s="5"/>
      <c r="B1076" s="5"/>
      <c r="C1076" s="5"/>
      <c r="D1076" s="5"/>
      <c r="E1076" s="5"/>
      <c r="F1076" s="5"/>
      <c r="G1076" s="5"/>
      <c r="H1076" s="5"/>
    </row>
    <row r="1077" spans="1:8">
      <c r="A1077" s="5"/>
      <c r="B1077" s="5"/>
      <c r="C1077" s="5"/>
      <c r="D1077" s="5"/>
      <c r="E1077" s="5"/>
      <c r="F1077" s="5"/>
      <c r="G1077" s="5"/>
      <c r="H1077" s="5"/>
    </row>
    <row r="1078" spans="1:8">
      <c r="A1078" s="5"/>
      <c r="B1078" s="5"/>
      <c r="C1078" s="5"/>
      <c r="D1078" s="5"/>
      <c r="E1078" s="5"/>
      <c r="F1078" s="5"/>
      <c r="G1078" s="5"/>
      <c r="H1078" s="5"/>
    </row>
    <row r="1079" spans="1:8">
      <c r="A1079" s="5"/>
      <c r="B1079" s="5"/>
      <c r="C1079" s="5"/>
      <c r="D1079" s="5"/>
      <c r="E1079" s="5"/>
      <c r="F1079" s="5"/>
      <c r="G1079" s="5"/>
      <c r="H1079" s="5"/>
    </row>
    <row r="1080" spans="1:8">
      <c r="A1080" s="5"/>
      <c r="B1080" s="5"/>
      <c r="C1080" s="5"/>
      <c r="D1080" s="5"/>
      <c r="E1080" s="5"/>
      <c r="F1080" s="5"/>
      <c r="G1080" s="5"/>
      <c r="H1080" s="5"/>
    </row>
    <row r="1081" spans="1:8">
      <c r="A1081" s="5"/>
      <c r="B1081" s="5"/>
      <c r="C1081" s="5"/>
      <c r="D1081" s="5"/>
      <c r="E1081" s="5"/>
      <c r="F1081" s="5"/>
      <c r="G1081" s="5"/>
      <c r="H1081" s="5"/>
    </row>
    <row r="1082" spans="1:8">
      <c r="A1082" s="5"/>
      <c r="B1082" s="5"/>
      <c r="C1082" s="5"/>
      <c r="D1082" s="5"/>
      <c r="E1082" s="5"/>
      <c r="F1082" s="5"/>
      <c r="G1082" s="5"/>
      <c r="H1082" s="5"/>
    </row>
    <row r="1083" spans="1:8">
      <c r="A1083" s="5"/>
      <c r="B1083" s="5"/>
      <c r="C1083" s="5"/>
      <c r="D1083" s="5"/>
      <c r="E1083" s="5"/>
      <c r="F1083" s="5"/>
      <c r="G1083" s="5"/>
      <c r="H1083" s="5"/>
    </row>
    <row r="1084" spans="1:8">
      <c r="A1084" s="5"/>
      <c r="B1084" s="5"/>
      <c r="C1084" s="5"/>
      <c r="D1084" s="5"/>
      <c r="E1084" s="5"/>
      <c r="F1084" s="5"/>
      <c r="G1084" s="5"/>
      <c r="H1084" s="5"/>
    </row>
    <row r="1085" spans="1:8">
      <c r="A1085" s="5"/>
      <c r="B1085" s="5"/>
      <c r="C1085" s="5"/>
      <c r="D1085" s="5"/>
      <c r="E1085" s="5"/>
      <c r="F1085" s="5"/>
      <c r="G1085" s="5"/>
      <c r="H1085" s="5"/>
    </row>
    <row r="1086" spans="1:8">
      <c r="A1086" s="5"/>
      <c r="B1086" s="5"/>
      <c r="C1086" s="5"/>
      <c r="D1086" s="5"/>
      <c r="E1086" s="5"/>
      <c r="F1086" s="5"/>
      <c r="G1086" s="5"/>
      <c r="H1086" s="5"/>
    </row>
    <row r="1087" spans="1:8">
      <c r="A1087" s="5"/>
      <c r="B1087" s="5"/>
      <c r="C1087" s="5"/>
      <c r="D1087" s="5"/>
      <c r="E1087" s="5"/>
      <c r="F1087" s="5"/>
      <c r="G1087" s="5"/>
      <c r="H1087" s="5"/>
    </row>
    <row r="1088" spans="1:8">
      <c r="A1088" s="5"/>
      <c r="B1088" s="5"/>
      <c r="C1088" s="5"/>
      <c r="D1088" s="5"/>
      <c r="E1088" s="5"/>
      <c r="F1088" s="5"/>
      <c r="G1088" s="5"/>
      <c r="H1088" s="5"/>
    </row>
    <row r="1089" spans="1:8">
      <c r="A1089" s="5"/>
      <c r="B1089" s="5"/>
      <c r="C1089" s="5"/>
      <c r="D1089" s="5"/>
      <c r="E1089" s="5"/>
      <c r="F1089" s="5"/>
      <c r="G1089" s="5"/>
      <c r="H1089" s="5"/>
    </row>
    <row r="1090" spans="1:8">
      <c r="A1090" s="5"/>
      <c r="B1090" s="5"/>
      <c r="C1090" s="5"/>
      <c r="D1090" s="5"/>
      <c r="E1090" s="5"/>
      <c r="F1090" s="5"/>
      <c r="G1090" s="5"/>
      <c r="H1090" s="5"/>
    </row>
    <row r="1091" spans="1:8">
      <c r="A1091" s="5"/>
      <c r="B1091" s="5"/>
      <c r="C1091" s="5"/>
      <c r="D1091" s="5"/>
      <c r="E1091" s="5"/>
      <c r="F1091" s="5"/>
      <c r="G1091" s="5"/>
      <c r="H1091" s="5"/>
    </row>
    <row r="1092" spans="1:8">
      <c r="A1092" s="5"/>
      <c r="B1092" s="5"/>
      <c r="C1092" s="5"/>
      <c r="D1092" s="5"/>
      <c r="E1092" s="5"/>
      <c r="F1092" s="5"/>
      <c r="G1092" s="5"/>
      <c r="H1092" s="5"/>
    </row>
    <row r="1093" spans="1:8">
      <c r="A1093" s="5"/>
      <c r="B1093" s="5"/>
      <c r="C1093" s="5"/>
      <c r="D1093" s="5"/>
      <c r="E1093" s="5"/>
      <c r="F1093" s="5"/>
      <c r="G1093" s="5"/>
      <c r="H1093" s="5"/>
    </row>
    <row r="1094" spans="1:8">
      <c r="A1094" s="5"/>
      <c r="B1094" s="5"/>
      <c r="C1094" s="5"/>
      <c r="D1094" s="5"/>
      <c r="E1094" s="5"/>
      <c r="F1094" s="5"/>
      <c r="G1094" s="5"/>
      <c r="H1094" s="5"/>
    </row>
    <row r="1095" spans="1:8">
      <c r="A1095" s="5"/>
      <c r="B1095" s="5"/>
      <c r="C1095" s="5"/>
      <c r="D1095" s="5"/>
      <c r="E1095" s="5"/>
      <c r="F1095" s="5"/>
      <c r="G1095" s="5"/>
      <c r="H1095" s="5"/>
    </row>
    <row r="1096" spans="1:8">
      <c r="A1096" s="5"/>
      <c r="B1096" s="5"/>
      <c r="C1096" s="5"/>
      <c r="D1096" s="5"/>
      <c r="E1096" s="5"/>
      <c r="F1096" s="5"/>
      <c r="G1096" s="5"/>
      <c r="H1096" s="5"/>
    </row>
    <row r="1097" spans="1:8">
      <c r="A1097" s="5"/>
      <c r="B1097" s="5"/>
      <c r="C1097" s="5"/>
      <c r="D1097" s="5"/>
      <c r="E1097" s="5"/>
      <c r="F1097" s="5"/>
      <c r="G1097" s="5"/>
      <c r="H1097" s="5"/>
    </row>
    <row r="1098" spans="1:8">
      <c r="A1098" s="5"/>
      <c r="B1098" s="5"/>
      <c r="C1098" s="5"/>
      <c r="D1098" s="5"/>
      <c r="E1098" s="5"/>
      <c r="F1098" s="5"/>
      <c r="G1098" s="5"/>
      <c r="H1098" s="5"/>
    </row>
    <row r="1099" spans="1:8">
      <c r="A1099" s="5"/>
      <c r="B1099" s="5"/>
      <c r="C1099" s="5"/>
      <c r="D1099" s="5"/>
      <c r="E1099" s="5"/>
      <c r="F1099" s="5"/>
      <c r="G1099" s="5"/>
      <c r="H1099" s="5"/>
    </row>
    <row r="1100" spans="1:8">
      <c r="A1100" s="5"/>
      <c r="B1100" s="5"/>
      <c r="C1100" s="5"/>
      <c r="D1100" s="5"/>
      <c r="E1100" s="5"/>
      <c r="F1100" s="5"/>
      <c r="G1100" s="5"/>
      <c r="H1100" s="5"/>
    </row>
    <row r="1101" spans="1:8">
      <c r="A1101" s="5"/>
      <c r="B1101" s="5"/>
      <c r="C1101" s="5"/>
      <c r="D1101" s="5"/>
      <c r="E1101" s="5"/>
      <c r="F1101" s="5"/>
      <c r="G1101" s="5"/>
      <c r="H1101" s="5"/>
    </row>
    <row r="1102" spans="1:8">
      <c r="A1102" s="5"/>
      <c r="B1102" s="5"/>
      <c r="C1102" s="5"/>
      <c r="D1102" s="5"/>
      <c r="E1102" s="5"/>
      <c r="F1102" s="5"/>
      <c r="G1102" s="5"/>
      <c r="H1102" s="5"/>
    </row>
    <row r="1103" spans="1:8">
      <c r="A1103" s="5"/>
      <c r="B1103" s="5"/>
      <c r="C1103" s="5"/>
      <c r="D1103" s="5"/>
      <c r="E1103" s="5"/>
      <c r="F1103" s="5"/>
      <c r="G1103" s="5"/>
      <c r="H1103" s="5"/>
    </row>
    <row r="1104" spans="1:8">
      <c r="A1104" s="5"/>
      <c r="B1104" s="5"/>
      <c r="C1104" s="5"/>
      <c r="D1104" s="5"/>
      <c r="E1104" s="5"/>
      <c r="F1104" s="5"/>
      <c r="G1104" s="5"/>
      <c r="H1104" s="5"/>
    </row>
    <row r="1105" spans="1:8">
      <c r="A1105" s="5"/>
      <c r="B1105" s="5"/>
      <c r="C1105" s="5"/>
      <c r="D1105" s="5"/>
      <c r="E1105" s="5"/>
      <c r="F1105" s="5"/>
      <c r="G1105" s="5"/>
      <c r="H1105" s="5"/>
    </row>
    <row r="1106" spans="1:8">
      <c r="A1106" s="5"/>
      <c r="B1106" s="5"/>
      <c r="C1106" s="5"/>
      <c r="D1106" s="5"/>
      <c r="E1106" s="5"/>
      <c r="F1106" s="5"/>
      <c r="G1106" s="5"/>
      <c r="H1106" s="5"/>
    </row>
    <row r="1107" spans="1:8">
      <c r="A1107" s="5"/>
      <c r="B1107" s="5"/>
      <c r="C1107" s="5"/>
      <c r="D1107" s="5"/>
      <c r="E1107" s="5"/>
      <c r="F1107" s="5"/>
      <c r="G1107" s="5"/>
      <c r="H1107" s="5"/>
    </row>
    <row r="1108" spans="1:8">
      <c r="A1108" s="5"/>
      <c r="B1108" s="5"/>
      <c r="C1108" s="5"/>
      <c r="D1108" s="5"/>
      <c r="E1108" s="5"/>
      <c r="F1108" s="5"/>
      <c r="G1108" s="5"/>
      <c r="H1108" s="5"/>
    </row>
    <row r="1109" spans="1:8">
      <c r="A1109" s="5"/>
      <c r="B1109" s="5"/>
      <c r="C1109" s="5"/>
      <c r="D1109" s="5"/>
      <c r="E1109" s="5"/>
      <c r="F1109" s="5"/>
      <c r="G1109" s="5"/>
      <c r="H1109" s="5"/>
    </row>
    <row r="1110" spans="1:8">
      <c r="A1110" s="5"/>
      <c r="B1110" s="5"/>
      <c r="C1110" s="5"/>
      <c r="D1110" s="5"/>
      <c r="E1110" s="5"/>
      <c r="F1110" s="5"/>
      <c r="G1110" s="5"/>
      <c r="H1110" s="5"/>
    </row>
    <row r="1111" spans="1:8">
      <c r="A1111" s="5"/>
      <c r="B1111" s="5"/>
      <c r="C1111" s="5"/>
      <c r="D1111" s="5"/>
      <c r="E1111" s="5"/>
      <c r="F1111" s="5"/>
      <c r="G1111" s="5"/>
      <c r="H1111" s="5"/>
    </row>
    <row r="1112" spans="1:8">
      <c r="A1112" s="5"/>
      <c r="B1112" s="5"/>
      <c r="C1112" s="5"/>
      <c r="D1112" s="5"/>
      <c r="E1112" s="5"/>
      <c r="F1112" s="5"/>
      <c r="G1112" s="5"/>
      <c r="H1112" s="5"/>
    </row>
    <row r="1113" spans="1:8">
      <c r="A1113" s="5"/>
      <c r="B1113" s="5"/>
      <c r="C1113" s="5"/>
      <c r="D1113" s="5"/>
      <c r="E1113" s="5"/>
      <c r="F1113" s="5"/>
      <c r="G1113" s="5"/>
      <c r="H1113" s="5"/>
    </row>
    <row r="1114" spans="1:8">
      <c r="A1114" s="5"/>
      <c r="B1114" s="5"/>
      <c r="C1114" s="5"/>
      <c r="D1114" s="5"/>
      <c r="E1114" s="5"/>
      <c r="F1114" s="5"/>
      <c r="G1114" s="5"/>
      <c r="H1114" s="5"/>
    </row>
    <row r="1115" spans="1:8">
      <c r="A1115" s="5"/>
      <c r="B1115" s="5"/>
      <c r="C1115" s="5"/>
      <c r="D1115" s="5"/>
      <c r="E1115" s="5"/>
      <c r="F1115" s="5"/>
      <c r="G1115" s="5"/>
      <c r="H1115" s="5"/>
    </row>
    <row r="1116" spans="1:8">
      <c r="A1116" s="5"/>
      <c r="B1116" s="5"/>
      <c r="C1116" s="5"/>
      <c r="D1116" s="5"/>
      <c r="E1116" s="5"/>
      <c r="F1116" s="5"/>
      <c r="G1116" s="5"/>
      <c r="H1116" s="5"/>
    </row>
    <row r="1117" spans="1:8">
      <c r="A1117" s="5"/>
      <c r="B1117" s="5"/>
      <c r="C1117" s="5"/>
      <c r="D1117" s="5"/>
      <c r="E1117" s="5"/>
      <c r="F1117" s="5"/>
      <c r="G1117" s="5"/>
      <c r="H1117" s="5"/>
    </row>
    <row r="1118" spans="1:8">
      <c r="A1118" s="5"/>
      <c r="B1118" s="5"/>
      <c r="C1118" s="5"/>
      <c r="D1118" s="5"/>
      <c r="E1118" s="5"/>
      <c r="F1118" s="5"/>
      <c r="G1118" s="5"/>
      <c r="H1118" s="5"/>
    </row>
    <row r="1119" spans="1:8">
      <c r="A1119" s="5"/>
      <c r="B1119" s="5"/>
      <c r="C1119" s="5"/>
      <c r="D1119" s="5"/>
      <c r="E1119" s="5"/>
      <c r="F1119" s="5"/>
      <c r="G1119" s="5"/>
      <c r="H1119" s="5"/>
    </row>
    <row r="1120" spans="1:8">
      <c r="A1120" s="5"/>
      <c r="B1120" s="5"/>
      <c r="C1120" s="5"/>
      <c r="D1120" s="5"/>
      <c r="E1120" s="5"/>
      <c r="F1120" s="5"/>
      <c r="G1120" s="5"/>
      <c r="H1120" s="5"/>
    </row>
    <row r="1121" spans="1:8">
      <c r="A1121" s="5"/>
      <c r="B1121" s="5"/>
      <c r="C1121" s="5"/>
      <c r="D1121" s="5"/>
      <c r="E1121" s="5"/>
      <c r="F1121" s="5"/>
      <c r="G1121" s="5"/>
      <c r="H1121" s="5"/>
    </row>
    <row r="1122" spans="1:8">
      <c r="A1122" s="5"/>
      <c r="B1122" s="5"/>
      <c r="C1122" s="5"/>
      <c r="D1122" s="5"/>
      <c r="E1122" s="5"/>
      <c r="F1122" s="5"/>
      <c r="G1122" s="5"/>
      <c r="H1122" s="5"/>
    </row>
    <row r="1123" spans="1:8">
      <c r="A1123" s="5"/>
      <c r="B1123" s="5"/>
      <c r="C1123" s="5"/>
      <c r="D1123" s="5"/>
      <c r="E1123" s="5"/>
      <c r="F1123" s="5"/>
      <c r="G1123" s="5"/>
      <c r="H1123" s="5"/>
    </row>
    <row r="1124" spans="1:8">
      <c r="A1124" s="5"/>
      <c r="B1124" s="5"/>
      <c r="C1124" s="5"/>
      <c r="D1124" s="5"/>
      <c r="E1124" s="5"/>
      <c r="F1124" s="5"/>
      <c r="G1124" s="5"/>
      <c r="H1124" s="5"/>
    </row>
    <row r="1125" spans="1:8">
      <c r="A1125" s="5"/>
      <c r="B1125" s="5"/>
      <c r="C1125" s="5"/>
      <c r="D1125" s="5"/>
      <c r="E1125" s="5"/>
      <c r="F1125" s="5"/>
      <c r="G1125" s="5"/>
      <c r="H1125" s="5"/>
    </row>
    <row r="1126" spans="1:8">
      <c r="A1126" s="5"/>
      <c r="B1126" s="5"/>
      <c r="C1126" s="5"/>
      <c r="D1126" s="5"/>
      <c r="E1126" s="5"/>
      <c r="F1126" s="5"/>
      <c r="G1126" s="5"/>
      <c r="H1126" s="5"/>
    </row>
    <row r="1127" spans="1:8">
      <c r="A1127" s="5"/>
      <c r="B1127" s="5"/>
      <c r="C1127" s="5"/>
      <c r="D1127" s="5"/>
      <c r="E1127" s="5"/>
      <c r="F1127" s="5"/>
      <c r="G1127" s="5"/>
      <c r="H1127" s="5"/>
    </row>
    <row r="1128" spans="1:8">
      <c r="A1128" s="5"/>
      <c r="B1128" s="5"/>
      <c r="C1128" s="5"/>
      <c r="D1128" s="5"/>
      <c r="E1128" s="5"/>
      <c r="F1128" s="5"/>
      <c r="G1128" s="5"/>
      <c r="H1128" s="5"/>
    </row>
    <row r="1129" spans="1:8">
      <c r="A1129" s="5"/>
      <c r="B1129" s="5"/>
      <c r="C1129" s="5"/>
      <c r="D1129" s="5"/>
      <c r="E1129" s="5"/>
      <c r="F1129" s="5"/>
      <c r="G1129" s="5"/>
      <c r="H1129" s="5"/>
    </row>
    <row r="1130" spans="1:8">
      <c r="A1130" s="5"/>
      <c r="B1130" s="5"/>
      <c r="C1130" s="5"/>
      <c r="D1130" s="5"/>
      <c r="E1130" s="5"/>
      <c r="F1130" s="5"/>
      <c r="G1130" s="5"/>
      <c r="H1130" s="5"/>
    </row>
    <row r="1131" spans="1:8">
      <c r="A1131" s="5"/>
      <c r="B1131" s="5"/>
      <c r="C1131" s="5"/>
      <c r="D1131" s="5"/>
      <c r="E1131" s="5"/>
      <c r="F1131" s="5"/>
      <c r="G1131" s="5"/>
      <c r="H1131" s="5"/>
    </row>
    <row r="1132" spans="1:8">
      <c r="A1132" s="5"/>
      <c r="B1132" s="5"/>
      <c r="C1132" s="5"/>
      <c r="D1132" s="5"/>
      <c r="E1132" s="5"/>
      <c r="F1132" s="5"/>
      <c r="G1132" s="5"/>
      <c r="H1132" s="5"/>
    </row>
    <row r="1133" spans="1:8">
      <c r="A1133" s="5"/>
      <c r="B1133" s="5"/>
      <c r="C1133" s="5"/>
      <c r="D1133" s="5"/>
      <c r="E1133" s="5"/>
      <c r="F1133" s="5"/>
      <c r="G1133" s="5"/>
      <c r="H1133" s="5"/>
    </row>
    <row r="1134" spans="1:8">
      <c r="A1134" s="5"/>
      <c r="B1134" s="5"/>
      <c r="C1134" s="5"/>
      <c r="D1134" s="5"/>
      <c r="E1134" s="5"/>
      <c r="F1134" s="5"/>
      <c r="G1134" s="5"/>
      <c r="H1134" s="5"/>
    </row>
    <row r="1135" spans="1:8">
      <c r="A1135" s="5"/>
      <c r="B1135" s="5"/>
      <c r="C1135" s="5"/>
      <c r="D1135" s="5"/>
      <c r="E1135" s="5"/>
      <c r="F1135" s="5"/>
      <c r="G1135" s="5"/>
      <c r="H1135" s="5"/>
    </row>
    <row r="1136" spans="1:8">
      <c r="A1136" s="5"/>
      <c r="B1136" s="5"/>
      <c r="C1136" s="5"/>
      <c r="D1136" s="5"/>
      <c r="E1136" s="5"/>
      <c r="F1136" s="5"/>
      <c r="G1136" s="5"/>
      <c r="H1136" s="5"/>
    </row>
    <row r="1137" spans="1:8">
      <c r="A1137" s="5"/>
      <c r="B1137" s="5"/>
      <c r="C1137" s="5"/>
      <c r="D1137" s="5"/>
      <c r="E1137" s="5"/>
      <c r="F1137" s="5"/>
      <c r="G1137" s="5"/>
      <c r="H1137" s="5"/>
    </row>
    <row r="1138" spans="1:8">
      <c r="A1138" s="5"/>
      <c r="B1138" s="5"/>
      <c r="C1138" s="5"/>
      <c r="D1138" s="5"/>
      <c r="E1138" s="5"/>
      <c r="F1138" s="5"/>
      <c r="G1138" s="5"/>
      <c r="H1138" s="5"/>
    </row>
    <row r="1139" spans="1:8">
      <c r="A1139" s="5"/>
      <c r="B1139" s="5"/>
      <c r="C1139" s="5"/>
      <c r="D1139" s="5"/>
      <c r="E1139" s="5"/>
      <c r="F1139" s="5"/>
      <c r="G1139" s="5"/>
      <c r="H1139" s="5"/>
    </row>
    <row r="1140" spans="1:8">
      <c r="A1140" s="5"/>
      <c r="B1140" s="5"/>
      <c r="C1140" s="5"/>
      <c r="D1140" s="5"/>
      <c r="E1140" s="5"/>
      <c r="F1140" s="5"/>
      <c r="G1140" s="5"/>
      <c r="H1140" s="5"/>
    </row>
    <row r="1141" spans="1:8">
      <c r="A1141" s="5"/>
      <c r="B1141" s="5"/>
      <c r="C1141" s="5"/>
      <c r="D1141" s="5"/>
      <c r="E1141" s="5"/>
      <c r="F1141" s="5"/>
      <c r="G1141" s="5"/>
      <c r="H1141" s="5"/>
    </row>
    <row r="1142" spans="1:8">
      <c r="A1142" s="5"/>
      <c r="B1142" s="5"/>
      <c r="C1142" s="5"/>
      <c r="D1142" s="5"/>
      <c r="E1142" s="5"/>
      <c r="F1142" s="5"/>
      <c r="G1142" s="5"/>
      <c r="H1142" s="5"/>
    </row>
    <row r="1143" spans="1:8">
      <c r="A1143" s="5"/>
      <c r="B1143" s="5"/>
      <c r="C1143" s="5"/>
      <c r="D1143" s="5"/>
      <c r="E1143" s="5"/>
      <c r="F1143" s="5"/>
      <c r="G1143" s="5"/>
      <c r="H1143" s="5"/>
    </row>
    <row r="1144" spans="1:8">
      <c r="A1144" s="5"/>
      <c r="B1144" s="5"/>
      <c r="C1144" s="5"/>
      <c r="D1144" s="5"/>
      <c r="E1144" s="5"/>
      <c r="F1144" s="5"/>
      <c r="G1144" s="5"/>
      <c r="H1144" s="5"/>
    </row>
    <row r="1145" spans="1:8">
      <c r="A1145" s="5"/>
      <c r="B1145" s="5"/>
      <c r="C1145" s="5"/>
      <c r="D1145" s="5"/>
      <c r="E1145" s="5"/>
      <c r="F1145" s="5"/>
      <c r="G1145" s="5"/>
      <c r="H1145" s="5"/>
    </row>
    <row r="1146" spans="1:8">
      <c r="A1146" s="5"/>
      <c r="B1146" s="5"/>
      <c r="C1146" s="5"/>
      <c r="D1146" s="5"/>
      <c r="E1146" s="5"/>
      <c r="F1146" s="5"/>
      <c r="G1146" s="5"/>
      <c r="H1146" s="5"/>
    </row>
    <row r="1147" spans="1:8">
      <c r="A1147" s="5"/>
      <c r="B1147" s="5"/>
      <c r="C1147" s="5"/>
      <c r="D1147" s="5"/>
      <c r="E1147" s="5"/>
      <c r="F1147" s="5"/>
      <c r="G1147" s="5"/>
      <c r="H1147" s="5"/>
    </row>
    <row r="1148" spans="1:8">
      <c r="A1148" s="5"/>
      <c r="B1148" s="5"/>
      <c r="C1148" s="5"/>
      <c r="D1148" s="5"/>
      <c r="E1148" s="5"/>
      <c r="F1148" s="5"/>
      <c r="G1148" s="5"/>
      <c r="H1148" s="5"/>
    </row>
    <row r="1149" spans="1:8">
      <c r="A1149" s="5"/>
      <c r="B1149" s="5"/>
      <c r="C1149" s="5"/>
      <c r="D1149" s="5"/>
      <c r="E1149" s="5"/>
      <c r="F1149" s="5"/>
      <c r="G1149" s="5"/>
      <c r="H1149" s="5"/>
    </row>
    <row r="1150" spans="1:8">
      <c r="A1150" s="5"/>
      <c r="B1150" s="5"/>
      <c r="C1150" s="5"/>
      <c r="D1150" s="5"/>
      <c r="E1150" s="5"/>
      <c r="F1150" s="5"/>
      <c r="G1150" s="5"/>
      <c r="H1150" s="5"/>
    </row>
    <row r="1151" spans="1:8">
      <c r="A1151" s="5"/>
      <c r="B1151" s="5"/>
      <c r="C1151" s="5"/>
      <c r="D1151" s="5"/>
      <c r="E1151" s="5"/>
      <c r="F1151" s="5"/>
      <c r="G1151" s="5"/>
      <c r="H1151" s="5"/>
    </row>
    <row r="1152" spans="1:8">
      <c r="A1152" s="5"/>
      <c r="B1152" s="5"/>
      <c r="C1152" s="5"/>
      <c r="D1152" s="5"/>
      <c r="E1152" s="5"/>
      <c r="F1152" s="5"/>
      <c r="G1152" s="5"/>
      <c r="H1152" s="5"/>
    </row>
    <row r="1153" spans="1:8">
      <c r="A1153" s="5"/>
      <c r="B1153" s="5"/>
      <c r="C1153" s="5"/>
      <c r="D1153" s="5"/>
      <c r="E1153" s="5"/>
      <c r="F1153" s="5"/>
      <c r="G1153" s="5"/>
      <c r="H1153" s="5"/>
    </row>
    <row r="1154" spans="1:8">
      <c r="A1154" s="5"/>
      <c r="B1154" s="5"/>
      <c r="C1154" s="5"/>
      <c r="D1154" s="5"/>
      <c r="E1154" s="5"/>
      <c r="F1154" s="5"/>
      <c r="G1154" s="5"/>
      <c r="H1154" s="5"/>
    </row>
    <row r="1155" spans="1:8">
      <c r="A1155" s="5"/>
      <c r="B1155" s="5"/>
      <c r="C1155" s="5"/>
      <c r="D1155" s="5"/>
      <c r="E1155" s="5"/>
      <c r="F1155" s="5"/>
      <c r="G1155" s="5"/>
      <c r="H1155" s="5"/>
    </row>
    <row r="1156" spans="1:8">
      <c r="A1156" s="5"/>
      <c r="B1156" s="5"/>
      <c r="C1156" s="5"/>
      <c r="D1156" s="5"/>
      <c r="E1156" s="5"/>
      <c r="F1156" s="5"/>
      <c r="G1156" s="5"/>
      <c r="H1156" s="5"/>
    </row>
    <row r="1157" spans="1:8">
      <c r="A1157" s="5"/>
      <c r="B1157" s="5"/>
      <c r="C1157" s="5"/>
      <c r="D1157" s="5"/>
      <c r="E1157" s="5"/>
      <c r="F1157" s="5"/>
      <c r="G1157" s="5"/>
      <c r="H1157" s="5"/>
    </row>
    <row r="1158" spans="1:8">
      <c r="A1158" s="5"/>
      <c r="B1158" s="5"/>
      <c r="C1158" s="5"/>
      <c r="D1158" s="5"/>
      <c r="E1158" s="5"/>
      <c r="F1158" s="5"/>
      <c r="G1158" s="5"/>
      <c r="H1158" s="5"/>
    </row>
    <row r="1159" spans="1:8">
      <c r="A1159" s="5"/>
      <c r="B1159" s="5"/>
      <c r="C1159" s="5"/>
      <c r="D1159" s="5"/>
      <c r="E1159" s="5"/>
      <c r="F1159" s="5"/>
      <c r="G1159" s="5"/>
      <c r="H1159" s="5"/>
    </row>
    <row r="1160" spans="1:8">
      <c r="A1160" s="5"/>
      <c r="B1160" s="5"/>
      <c r="C1160" s="5"/>
      <c r="D1160" s="5"/>
      <c r="E1160" s="5"/>
      <c r="F1160" s="5"/>
      <c r="G1160" s="5"/>
      <c r="H1160" s="5"/>
    </row>
    <row r="1161" spans="1:8">
      <c r="A1161" s="5"/>
      <c r="B1161" s="5"/>
      <c r="C1161" s="5"/>
      <c r="D1161" s="5"/>
      <c r="E1161" s="5"/>
      <c r="F1161" s="5"/>
      <c r="G1161" s="5"/>
      <c r="H1161" s="5"/>
    </row>
    <row r="1162" spans="1:8">
      <c r="A1162" s="5"/>
      <c r="B1162" s="5"/>
      <c r="C1162" s="5"/>
      <c r="D1162" s="5"/>
      <c r="E1162" s="5"/>
      <c r="F1162" s="5"/>
      <c r="G1162" s="5"/>
      <c r="H1162" s="5"/>
    </row>
    <row r="1163" spans="1:8">
      <c r="A1163" s="5"/>
      <c r="B1163" s="5"/>
      <c r="C1163" s="5"/>
      <c r="D1163" s="5"/>
      <c r="E1163" s="5"/>
      <c r="F1163" s="5"/>
      <c r="G1163" s="5"/>
      <c r="H1163" s="5"/>
    </row>
    <row r="1164" spans="1:8">
      <c r="A1164" s="5"/>
      <c r="B1164" s="5"/>
      <c r="C1164" s="5"/>
      <c r="D1164" s="5"/>
      <c r="E1164" s="5"/>
      <c r="F1164" s="5"/>
      <c r="G1164" s="5"/>
      <c r="H1164" s="5"/>
    </row>
    <row r="1165" spans="1:8">
      <c r="A1165" s="5"/>
      <c r="B1165" s="5"/>
      <c r="C1165" s="5"/>
      <c r="D1165" s="5"/>
      <c r="E1165" s="5"/>
      <c r="F1165" s="5"/>
      <c r="G1165" s="5"/>
      <c r="H1165" s="5"/>
    </row>
    <row r="1166" spans="1:8">
      <c r="A1166" s="5"/>
      <c r="B1166" s="5"/>
      <c r="C1166" s="5"/>
      <c r="D1166" s="5"/>
      <c r="E1166" s="5"/>
      <c r="F1166" s="5"/>
      <c r="G1166" s="5"/>
      <c r="H1166" s="5"/>
    </row>
    <row r="1167" spans="1:8">
      <c r="A1167" s="5"/>
      <c r="B1167" s="5"/>
      <c r="C1167" s="5"/>
      <c r="D1167" s="5"/>
      <c r="E1167" s="5"/>
      <c r="F1167" s="5"/>
      <c r="G1167" s="5"/>
      <c r="H1167" s="5"/>
    </row>
    <row r="1168" spans="1:8">
      <c r="A1168" s="5"/>
      <c r="B1168" s="5"/>
      <c r="C1168" s="5"/>
      <c r="D1168" s="5"/>
      <c r="E1168" s="5"/>
      <c r="F1168" s="5"/>
      <c r="G1168" s="5"/>
      <c r="H1168" s="5"/>
    </row>
    <row r="1169" spans="1:8">
      <c r="A1169" s="5"/>
      <c r="B1169" s="5"/>
      <c r="C1169" s="5"/>
      <c r="D1169" s="5"/>
      <c r="E1169" s="5"/>
      <c r="F1169" s="5"/>
      <c r="G1169" s="5"/>
      <c r="H1169" s="5"/>
    </row>
    <row r="1170" spans="1:8">
      <c r="A1170" s="5"/>
      <c r="B1170" s="5"/>
      <c r="C1170" s="5"/>
      <c r="D1170" s="5"/>
      <c r="E1170" s="5"/>
      <c r="F1170" s="5"/>
      <c r="G1170" s="5"/>
      <c r="H1170" s="5"/>
    </row>
    <row r="1171" spans="1:8">
      <c r="A1171" s="5"/>
      <c r="B1171" s="5"/>
      <c r="C1171" s="5"/>
      <c r="D1171" s="5"/>
      <c r="E1171" s="5"/>
      <c r="F1171" s="5"/>
      <c r="G1171" s="5"/>
      <c r="H1171" s="5"/>
    </row>
    <row r="1172" spans="1:8">
      <c r="A1172" s="5"/>
      <c r="B1172" s="5"/>
      <c r="C1172" s="5"/>
      <c r="D1172" s="5"/>
      <c r="E1172" s="5"/>
      <c r="F1172" s="5"/>
      <c r="G1172" s="5"/>
      <c r="H1172" s="5"/>
    </row>
    <row r="1173" spans="1:8">
      <c r="A1173" s="5"/>
      <c r="B1173" s="5"/>
      <c r="C1173" s="5"/>
      <c r="D1173" s="5"/>
      <c r="E1173" s="5"/>
      <c r="F1173" s="5"/>
      <c r="G1173" s="5"/>
      <c r="H1173" s="5"/>
    </row>
    <row r="1174" spans="1:8">
      <c r="A1174" s="5"/>
      <c r="B1174" s="5"/>
      <c r="C1174" s="5"/>
      <c r="D1174" s="5"/>
      <c r="E1174" s="5"/>
      <c r="F1174" s="5"/>
      <c r="G1174" s="5"/>
      <c r="H1174" s="5"/>
    </row>
    <row r="1175" spans="1:8">
      <c r="A1175" s="5"/>
      <c r="B1175" s="5"/>
      <c r="C1175" s="5"/>
      <c r="D1175" s="5"/>
      <c r="E1175" s="5"/>
      <c r="F1175" s="5"/>
      <c r="G1175" s="5"/>
      <c r="H1175" s="5"/>
    </row>
    <row r="1176" spans="1:8">
      <c r="A1176" s="5"/>
      <c r="B1176" s="5"/>
      <c r="C1176" s="5"/>
      <c r="D1176" s="5"/>
      <c r="E1176" s="5"/>
      <c r="F1176" s="5"/>
      <c r="G1176" s="5"/>
      <c r="H1176" s="5"/>
    </row>
    <row r="1177" spans="1:8">
      <c r="A1177" s="5"/>
      <c r="B1177" s="5"/>
      <c r="C1177" s="5"/>
      <c r="D1177" s="5"/>
      <c r="E1177" s="5"/>
      <c r="F1177" s="5"/>
      <c r="G1177" s="5"/>
      <c r="H1177" s="5"/>
    </row>
    <row r="1178" spans="1:8">
      <c r="A1178" s="5"/>
      <c r="B1178" s="5"/>
      <c r="C1178" s="5"/>
      <c r="D1178" s="5"/>
      <c r="E1178" s="5"/>
      <c r="F1178" s="5"/>
      <c r="G1178" s="5"/>
      <c r="H1178" s="5"/>
    </row>
    <row r="1179" spans="1:8">
      <c r="A1179" s="5"/>
      <c r="B1179" s="5"/>
      <c r="C1179" s="5"/>
      <c r="D1179" s="5"/>
      <c r="E1179" s="5"/>
      <c r="F1179" s="5"/>
      <c r="G1179" s="5"/>
      <c r="H1179" s="5"/>
    </row>
    <row r="1180" spans="1:8">
      <c r="A1180" s="5"/>
      <c r="B1180" s="5"/>
      <c r="C1180" s="5"/>
      <c r="D1180" s="5"/>
      <c r="E1180" s="5"/>
      <c r="F1180" s="5"/>
      <c r="G1180" s="5"/>
      <c r="H1180" s="5"/>
    </row>
    <row r="1181" spans="1:8">
      <c r="A1181" s="5"/>
      <c r="B1181" s="5"/>
      <c r="C1181" s="5"/>
      <c r="D1181" s="5"/>
      <c r="E1181" s="5"/>
      <c r="F1181" s="5"/>
      <c r="G1181" s="5"/>
      <c r="H1181" s="5"/>
    </row>
    <row r="1182" spans="1:8">
      <c r="A1182" s="5"/>
      <c r="B1182" s="5"/>
      <c r="C1182" s="5"/>
      <c r="D1182" s="5"/>
      <c r="E1182" s="5"/>
      <c r="F1182" s="5"/>
      <c r="G1182" s="5"/>
      <c r="H1182" s="5"/>
    </row>
    <row r="1183" spans="1:8">
      <c r="A1183" s="5"/>
      <c r="B1183" s="5"/>
      <c r="C1183" s="5"/>
      <c r="D1183" s="5"/>
      <c r="E1183" s="5"/>
      <c r="F1183" s="5"/>
      <c r="G1183" s="5"/>
      <c r="H1183" s="5"/>
    </row>
    <row r="1184" spans="1:8">
      <c r="A1184" s="5"/>
      <c r="B1184" s="5"/>
      <c r="C1184" s="5"/>
      <c r="D1184" s="5"/>
      <c r="E1184" s="5"/>
      <c r="F1184" s="5"/>
      <c r="G1184" s="5"/>
      <c r="H1184" s="5"/>
    </row>
    <row r="1185" spans="1:8">
      <c r="A1185" s="5"/>
      <c r="B1185" s="5"/>
      <c r="C1185" s="5"/>
      <c r="D1185" s="5"/>
      <c r="E1185" s="5"/>
      <c r="F1185" s="5"/>
      <c r="G1185" s="5"/>
      <c r="H1185" s="5"/>
    </row>
    <row r="1186" spans="1:8">
      <c r="A1186" s="5"/>
      <c r="B1186" s="5"/>
      <c r="C1186" s="5"/>
      <c r="D1186" s="5"/>
      <c r="E1186" s="5"/>
      <c r="F1186" s="5"/>
      <c r="G1186" s="5"/>
      <c r="H1186" s="5"/>
    </row>
    <row r="1187" spans="1:8">
      <c r="A1187" s="5"/>
      <c r="B1187" s="5"/>
      <c r="C1187" s="5"/>
      <c r="D1187" s="5"/>
      <c r="E1187" s="5"/>
      <c r="F1187" s="5"/>
      <c r="G1187" s="5"/>
      <c r="H1187" s="5"/>
    </row>
    <row r="1188" spans="1:8">
      <c r="A1188" s="5"/>
      <c r="B1188" s="5"/>
      <c r="C1188" s="5"/>
      <c r="D1188" s="5"/>
      <c r="E1188" s="5"/>
      <c r="F1188" s="5"/>
      <c r="G1188" s="5"/>
      <c r="H1188" s="5"/>
    </row>
    <row r="1189" spans="1:8">
      <c r="A1189" s="5"/>
      <c r="B1189" s="5"/>
      <c r="C1189" s="5"/>
      <c r="D1189" s="5"/>
      <c r="E1189" s="5"/>
      <c r="F1189" s="5"/>
      <c r="G1189" s="5"/>
      <c r="H1189" s="5"/>
    </row>
    <row r="1190" spans="1:8">
      <c r="A1190" s="5"/>
      <c r="B1190" s="5"/>
      <c r="C1190" s="5"/>
      <c r="D1190" s="5"/>
      <c r="E1190" s="5"/>
      <c r="F1190" s="5"/>
      <c r="G1190" s="5"/>
      <c r="H1190" s="5"/>
    </row>
    <row r="1191" spans="1:8">
      <c r="A1191" s="5"/>
      <c r="B1191" s="5"/>
      <c r="C1191" s="5"/>
      <c r="D1191" s="5"/>
      <c r="E1191" s="5"/>
      <c r="F1191" s="5"/>
      <c r="G1191" s="5"/>
      <c r="H1191" s="5"/>
    </row>
    <row r="1192" spans="1:8">
      <c r="A1192" s="5"/>
      <c r="B1192" s="5"/>
      <c r="C1192" s="5"/>
      <c r="D1192" s="5"/>
      <c r="E1192" s="5"/>
      <c r="F1192" s="5"/>
      <c r="G1192" s="5"/>
      <c r="H1192" s="5"/>
    </row>
    <row r="1193" spans="1:8">
      <c r="A1193" s="5"/>
      <c r="B1193" s="5"/>
      <c r="C1193" s="5"/>
      <c r="D1193" s="5"/>
      <c r="E1193" s="5"/>
      <c r="F1193" s="5"/>
      <c r="G1193" s="5"/>
      <c r="H1193" s="5"/>
    </row>
    <row r="1194" spans="1:8">
      <c r="A1194" s="5"/>
      <c r="B1194" s="5"/>
      <c r="C1194" s="5"/>
      <c r="D1194" s="5"/>
      <c r="E1194" s="5"/>
      <c r="F1194" s="5"/>
      <c r="G1194" s="5"/>
      <c r="H1194" s="5"/>
    </row>
    <row r="1195" spans="1:8">
      <c r="A1195" s="5"/>
      <c r="B1195" s="5"/>
      <c r="C1195" s="5"/>
      <c r="D1195" s="5"/>
      <c r="E1195" s="5"/>
      <c r="F1195" s="5"/>
      <c r="G1195" s="5"/>
      <c r="H1195" s="5"/>
    </row>
    <row r="1196" spans="1:8">
      <c r="A1196" s="5"/>
      <c r="B1196" s="5"/>
      <c r="C1196" s="5"/>
      <c r="D1196" s="5"/>
      <c r="E1196" s="5"/>
      <c r="F1196" s="5"/>
      <c r="G1196" s="5"/>
      <c r="H1196" s="5"/>
    </row>
    <row r="1197" spans="1:8">
      <c r="A1197" s="5"/>
      <c r="B1197" s="5"/>
      <c r="C1197" s="5"/>
      <c r="D1197" s="5"/>
      <c r="E1197" s="5"/>
      <c r="F1197" s="5"/>
      <c r="G1197" s="5"/>
      <c r="H1197" s="5"/>
    </row>
    <row r="1198" spans="1:8">
      <c r="A1198" s="5"/>
      <c r="B1198" s="7"/>
      <c r="C1198" s="7"/>
      <c r="D1198" s="7"/>
      <c r="E1198" s="7"/>
      <c r="F1198" s="7"/>
      <c r="G1198" s="7"/>
      <c r="H1198" s="7"/>
    </row>
    <row r="1199" spans="1:8">
      <c r="A1199" s="5"/>
      <c r="B1199" s="5"/>
      <c r="C1199" s="5"/>
      <c r="D1199" s="5"/>
      <c r="E1199" s="5"/>
      <c r="F1199" s="5"/>
      <c r="G1199" s="5"/>
      <c r="H1199" s="5"/>
    </row>
    <row r="1200" spans="1:8">
      <c r="A1200" s="5"/>
      <c r="B1200" s="5"/>
      <c r="C1200" s="5"/>
      <c r="D1200" s="5"/>
      <c r="E1200" s="5"/>
      <c r="F1200" s="5"/>
      <c r="G1200" s="5"/>
      <c r="H1200" s="5"/>
    </row>
    <row r="1201" spans="1:8">
      <c r="A1201" s="5"/>
      <c r="B1201" s="5"/>
      <c r="C1201" s="5"/>
      <c r="D1201" s="5"/>
      <c r="E1201" s="5"/>
      <c r="F1201" s="5"/>
      <c r="G1201" s="5"/>
      <c r="H1201" s="5"/>
    </row>
    <row r="1202" spans="1:8">
      <c r="A1202" s="5"/>
      <c r="B1202" s="5"/>
      <c r="C1202" s="5"/>
      <c r="D1202" s="5"/>
      <c r="E1202" s="5"/>
      <c r="F1202" s="5"/>
      <c r="G1202" s="5"/>
      <c r="H1202" s="5"/>
    </row>
    <row r="1203" spans="1:8">
      <c r="A1203" s="5"/>
      <c r="B1203" s="5"/>
      <c r="C1203" s="5"/>
      <c r="D1203" s="5"/>
      <c r="E1203" s="5"/>
      <c r="F1203" s="5"/>
      <c r="G1203" s="5"/>
      <c r="H1203" s="5"/>
    </row>
    <row r="1204" spans="1:8">
      <c r="A1204" s="5"/>
      <c r="B1204" s="5"/>
      <c r="C1204" s="5"/>
      <c r="D1204" s="5"/>
      <c r="E1204" s="5"/>
      <c r="F1204" s="5"/>
      <c r="G1204" s="5"/>
      <c r="H1204" s="5"/>
    </row>
    <row r="1205" spans="1:8">
      <c r="A1205" s="5"/>
      <c r="B1205" s="5"/>
      <c r="C1205" s="5"/>
      <c r="D1205" s="5"/>
      <c r="E1205" s="5"/>
      <c r="F1205" s="5"/>
      <c r="G1205" s="5"/>
      <c r="H1205" s="5"/>
    </row>
    <row r="1206" spans="1:8">
      <c r="A1206" s="5"/>
      <c r="B1206" s="5"/>
      <c r="C1206" s="5"/>
      <c r="D1206" s="5"/>
      <c r="E1206" s="5"/>
      <c r="F1206" s="5"/>
      <c r="G1206" s="5"/>
      <c r="H1206" s="5"/>
    </row>
    <row r="1207" spans="1:8">
      <c r="A1207" s="5"/>
      <c r="B1207" s="5"/>
      <c r="C1207" s="5"/>
      <c r="D1207" s="5"/>
      <c r="E1207" s="5"/>
      <c r="F1207" s="5"/>
      <c r="G1207" s="5"/>
      <c r="H1207" s="5"/>
    </row>
    <row r="1208" spans="1:8">
      <c r="A1208" s="5"/>
      <c r="B1208" s="5"/>
      <c r="C1208" s="5"/>
      <c r="D1208" s="5"/>
      <c r="E1208" s="5"/>
      <c r="F1208" s="5"/>
      <c r="G1208" s="5"/>
      <c r="H1208" s="5"/>
    </row>
    <row r="1209" spans="1:8">
      <c r="A1209" s="5"/>
      <c r="B1209" s="5"/>
      <c r="C1209" s="5"/>
      <c r="D1209" s="5"/>
      <c r="E1209" s="5"/>
      <c r="F1209" s="5"/>
      <c r="G1209" s="5"/>
      <c r="H1209" s="5"/>
    </row>
    <row r="1210" spans="1:8">
      <c r="A1210" s="5"/>
      <c r="B1210" s="5"/>
      <c r="C1210" s="5"/>
      <c r="D1210" s="5"/>
      <c r="E1210" s="5"/>
      <c r="F1210" s="5"/>
      <c r="G1210" s="5"/>
      <c r="H1210" s="5"/>
    </row>
    <row r="1211" spans="1:8">
      <c r="A1211" s="5"/>
      <c r="B1211" s="5"/>
      <c r="C1211" s="5"/>
      <c r="D1211" s="5"/>
      <c r="E1211" s="5"/>
      <c r="F1211" s="5"/>
      <c r="G1211" s="5"/>
      <c r="H1211" s="5"/>
    </row>
    <row r="1212" spans="1:8">
      <c r="A1212" s="5"/>
      <c r="B1212" s="5"/>
      <c r="C1212" s="5"/>
      <c r="D1212" s="5"/>
      <c r="E1212" s="5"/>
      <c r="F1212" s="5"/>
      <c r="G1212" s="5"/>
      <c r="H1212" s="5"/>
    </row>
    <row r="1213" spans="1:8">
      <c r="A1213" s="5"/>
      <c r="B1213" s="5"/>
      <c r="C1213" s="5"/>
      <c r="D1213" s="5"/>
      <c r="E1213" s="5"/>
      <c r="F1213" s="5"/>
      <c r="G1213" s="5"/>
      <c r="H1213" s="5"/>
    </row>
    <row r="1214" spans="1:8">
      <c r="A1214" s="5"/>
      <c r="B1214" s="5"/>
      <c r="C1214" s="5"/>
      <c r="D1214" s="5"/>
      <c r="E1214" s="5"/>
      <c r="F1214" s="5"/>
      <c r="G1214" s="5"/>
      <c r="H1214" s="5"/>
    </row>
    <row r="1215" spans="1:8">
      <c r="A1215" s="5"/>
      <c r="B1215" s="5"/>
      <c r="C1215" s="5"/>
      <c r="D1215" s="5"/>
      <c r="E1215" s="5"/>
      <c r="F1215" s="5"/>
      <c r="G1215" s="5"/>
      <c r="H1215" s="5"/>
    </row>
    <row r="1216" spans="1:8">
      <c r="A1216" s="5"/>
      <c r="B1216" s="5"/>
      <c r="C1216" s="5"/>
      <c r="D1216" s="5"/>
      <c r="E1216" s="5"/>
      <c r="F1216" s="5"/>
      <c r="G1216" s="5"/>
      <c r="H1216" s="5"/>
    </row>
    <row r="1217" spans="1:8">
      <c r="A1217" s="5"/>
      <c r="B1217" s="5"/>
      <c r="C1217" s="5"/>
      <c r="D1217" s="5"/>
      <c r="E1217" s="5"/>
      <c r="F1217" s="5"/>
      <c r="G1217" s="5"/>
      <c r="H1217" s="5"/>
    </row>
    <row r="1218" spans="1:8">
      <c r="A1218" s="5"/>
      <c r="B1218" s="5"/>
      <c r="C1218" s="5"/>
      <c r="D1218" s="5"/>
      <c r="E1218" s="5"/>
      <c r="F1218" s="5"/>
      <c r="G1218" s="5"/>
      <c r="H1218" s="5"/>
    </row>
    <row r="1219" spans="1:8">
      <c r="A1219" s="5"/>
      <c r="B1219" s="5"/>
      <c r="C1219" s="5"/>
      <c r="D1219" s="5"/>
      <c r="E1219" s="5"/>
      <c r="F1219" s="5"/>
      <c r="G1219" s="5"/>
      <c r="H1219" s="5"/>
    </row>
    <row r="1220" spans="1:8">
      <c r="A1220" s="5"/>
      <c r="B1220" s="5"/>
      <c r="C1220" s="5"/>
      <c r="D1220" s="5"/>
      <c r="E1220" s="5"/>
      <c r="F1220" s="5"/>
      <c r="G1220" s="5"/>
      <c r="H1220" s="5"/>
    </row>
    <row r="1221" spans="1:8">
      <c r="A1221" s="5"/>
      <c r="B1221" s="5"/>
      <c r="C1221" s="5"/>
      <c r="D1221" s="5"/>
      <c r="E1221" s="5"/>
      <c r="F1221" s="5"/>
      <c r="G1221" s="5"/>
      <c r="H1221" s="5"/>
    </row>
    <row r="1222" spans="1:8">
      <c r="A1222" s="5"/>
      <c r="B1222" s="5"/>
      <c r="C1222" s="5"/>
      <c r="D1222" s="5"/>
      <c r="E1222" s="5"/>
      <c r="F1222" s="5"/>
      <c r="G1222" s="5"/>
      <c r="H1222" s="5"/>
    </row>
    <row r="1223" spans="1:8">
      <c r="A1223" s="5"/>
      <c r="B1223" s="5"/>
      <c r="C1223" s="5"/>
      <c r="D1223" s="5"/>
      <c r="E1223" s="5"/>
      <c r="F1223" s="5"/>
      <c r="G1223" s="5"/>
      <c r="H1223" s="5"/>
    </row>
    <row r="1224" spans="1:8">
      <c r="A1224" s="5"/>
      <c r="B1224" s="5"/>
      <c r="C1224" s="5"/>
      <c r="D1224" s="5"/>
      <c r="E1224" s="5"/>
      <c r="F1224" s="5"/>
      <c r="G1224" s="5"/>
      <c r="H1224" s="5"/>
    </row>
    <row r="1225" spans="1:8">
      <c r="A1225" s="5"/>
      <c r="B1225" s="5"/>
      <c r="C1225" s="5"/>
      <c r="D1225" s="5"/>
      <c r="E1225" s="5"/>
      <c r="F1225" s="5"/>
      <c r="G1225" s="5"/>
      <c r="H1225" s="5"/>
    </row>
    <row r="1226" spans="1:8">
      <c r="A1226" s="5"/>
      <c r="B1226" s="5"/>
      <c r="C1226" s="5"/>
      <c r="D1226" s="5"/>
      <c r="E1226" s="5"/>
      <c r="F1226" s="5"/>
      <c r="G1226" s="5"/>
      <c r="H1226" s="5"/>
    </row>
    <row r="1227" spans="1:8">
      <c r="A1227" s="5"/>
      <c r="B1227" s="5"/>
      <c r="C1227" s="5"/>
      <c r="D1227" s="5"/>
      <c r="E1227" s="5"/>
      <c r="F1227" s="5"/>
      <c r="G1227" s="5"/>
      <c r="H1227" s="5"/>
    </row>
    <row r="1228" spans="1:8">
      <c r="A1228" s="5"/>
      <c r="B1228" s="5"/>
      <c r="C1228" s="5"/>
      <c r="D1228" s="5"/>
      <c r="E1228" s="5"/>
      <c r="F1228" s="5"/>
      <c r="G1228" s="5"/>
      <c r="H1228" s="5"/>
    </row>
    <row r="1229" spans="1:8">
      <c r="A1229" s="5"/>
      <c r="B1229" s="5"/>
      <c r="C1229" s="5"/>
      <c r="D1229" s="5"/>
      <c r="E1229" s="5"/>
      <c r="F1229" s="5"/>
      <c r="G1229" s="5"/>
      <c r="H1229" s="5"/>
    </row>
    <row r="1230" spans="1:8">
      <c r="A1230" s="5"/>
      <c r="B1230" s="5"/>
      <c r="C1230" s="5"/>
      <c r="D1230" s="5"/>
      <c r="E1230" s="5"/>
      <c r="F1230" s="5"/>
      <c r="G1230" s="5"/>
      <c r="H1230" s="5"/>
    </row>
    <row r="1231" spans="1:8">
      <c r="A1231" s="5"/>
      <c r="B1231" s="7"/>
      <c r="C1231" s="7"/>
      <c r="D1231" s="7"/>
      <c r="E1231" s="7"/>
      <c r="F1231" s="7"/>
      <c r="G1231" s="7"/>
      <c r="H1231" s="7"/>
    </row>
    <row r="1232" spans="1:8">
      <c r="A1232" s="5"/>
      <c r="B1232" s="5"/>
      <c r="C1232" s="5"/>
      <c r="D1232" s="5"/>
      <c r="E1232" s="5"/>
      <c r="F1232" s="5"/>
      <c r="G1232" s="5"/>
      <c r="H1232" s="5"/>
    </row>
    <row r="1233" spans="1:8">
      <c r="A1233" s="5"/>
      <c r="B1233" s="5"/>
      <c r="C1233" s="5"/>
      <c r="D1233" s="5"/>
      <c r="E1233" s="5"/>
      <c r="F1233" s="5"/>
      <c r="G1233" s="5"/>
      <c r="H1233" s="5"/>
    </row>
    <row r="1234" spans="1:8">
      <c r="A1234" s="5"/>
      <c r="B1234" s="5"/>
      <c r="C1234" s="5"/>
      <c r="D1234" s="5"/>
      <c r="E1234" s="5"/>
      <c r="F1234" s="5"/>
      <c r="G1234" s="5"/>
      <c r="H1234" s="5"/>
    </row>
    <row r="1235" spans="1:8">
      <c r="A1235" s="5"/>
      <c r="B1235" s="5"/>
      <c r="C1235" s="5"/>
      <c r="D1235" s="5"/>
      <c r="E1235" s="5"/>
      <c r="F1235" s="5"/>
      <c r="G1235" s="5"/>
      <c r="H1235" s="5"/>
    </row>
    <row r="1236" spans="1:8">
      <c r="A1236" s="5"/>
      <c r="B1236" s="5"/>
      <c r="C1236" s="5"/>
      <c r="D1236" s="5"/>
      <c r="E1236" s="5"/>
      <c r="F1236" s="5"/>
      <c r="G1236" s="5"/>
      <c r="H1236" s="5"/>
    </row>
    <row r="1237" spans="1:8">
      <c r="A1237" s="5"/>
      <c r="B1237" s="5"/>
      <c r="C1237" s="5"/>
      <c r="D1237" s="5"/>
      <c r="E1237" s="5"/>
      <c r="F1237" s="5"/>
      <c r="G1237" s="5"/>
      <c r="H1237" s="5"/>
    </row>
    <row r="1238" spans="1:8">
      <c r="A1238" s="5"/>
      <c r="B1238" s="5"/>
      <c r="C1238" s="5"/>
      <c r="D1238" s="5"/>
      <c r="E1238" s="5"/>
      <c r="F1238" s="5"/>
      <c r="G1238" s="5"/>
      <c r="H1238" s="5"/>
    </row>
    <row r="1239" spans="1:8">
      <c r="A1239" s="5"/>
      <c r="B1239" s="5"/>
      <c r="C1239" s="5"/>
      <c r="D1239" s="5"/>
      <c r="E1239" s="5"/>
      <c r="F1239" s="5"/>
      <c r="G1239" s="5"/>
      <c r="H1239" s="5"/>
    </row>
    <row r="1240" spans="1:8">
      <c r="A1240" s="5"/>
      <c r="B1240" s="5"/>
      <c r="C1240" s="5"/>
      <c r="D1240" s="5"/>
      <c r="E1240" s="5"/>
      <c r="F1240" s="5"/>
      <c r="G1240" s="5"/>
      <c r="H1240" s="5"/>
    </row>
    <row r="1241" spans="1:8">
      <c r="A1241" s="5"/>
      <c r="B1241" s="5"/>
      <c r="C1241" s="5"/>
      <c r="D1241" s="5"/>
      <c r="E1241" s="5"/>
      <c r="F1241" s="5"/>
      <c r="G1241" s="5"/>
      <c r="H1241" s="5"/>
    </row>
    <row r="1242" spans="1:8">
      <c r="A1242" s="5"/>
      <c r="B1242" s="5"/>
      <c r="C1242" s="5"/>
      <c r="D1242" s="5"/>
      <c r="E1242" s="5"/>
      <c r="F1242" s="5"/>
      <c r="G1242" s="5"/>
      <c r="H1242" s="5"/>
    </row>
    <row r="1243" spans="1:8">
      <c r="A1243" s="5"/>
      <c r="B1243" s="5"/>
      <c r="C1243" s="5"/>
      <c r="D1243" s="5"/>
      <c r="E1243" s="5"/>
      <c r="F1243" s="5"/>
      <c r="G1243" s="5"/>
      <c r="H1243" s="5"/>
    </row>
    <row r="1244" spans="1:8">
      <c r="A1244" s="5"/>
      <c r="B1244" s="5"/>
      <c r="C1244" s="5"/>
      <c r="D1244" s="5"/>
      <c r="E1244" s="5"/>
      <c r="F1244" s="5"/>
      <c r="G1244" s="5"/>
      <c r="H1244" s="5"/>
    </row>
    <row r="1245" spans="1:8">
      <c r="A1245" s="5"/>
      <c r="B1245" s="5"/>
      <c r="C1245" s="5"/>
      <c r="D1245" s="5"/>
      <c r="E1245" s="5"/>
      <c r="F1245" s="5"/>
      <c r="G1245" s="5"/>
      <c r="H1245" s="5"/>
    </row>
    <row r="1246" spans="1:8">
      <c r="A1246" s="5"/>
      <c r="B1246" s="5"/>
      <c r="C1246" s="5"/>
      <c r="D1246" s="5"/>
      <c r="E1246" s="5"/>
      <c r="F1246" s="5"/>
      <c r="G1246" s="5"/>
      <c r="H1246" s="5"/>
    </row>
    <row r="1247" spans="1:8">
      <c r="A1247" s="5"/>
      <c r="B1247" s="5"/>
      <c r="C1247" s="5"/>
      <c r="D1247" s="5"/>
      <c r="E1247" s="5"/>
      <c r="F1247" s="5"/>
      <c r="G1247" s="5"/>
      <c r="H1247" s="5"/>
    </row>
    <row r="1248" spans="1:8">
      <c r="A1248" s="5"/>
      <c r="B1248" s="5"/>
      <c r="C1248" s="5"/>
      <c r="D1248" s="5"/>
      <c r="E1248" s="5"/>
      <c r="F1248" s="5"/>
      <c r="G1248" s="5"/>
      <c r="H1248" s="5"/>
    </row>
    <row r="1249" spans="1:8">
      <c r="A1249" s="5"/>
      <c r="B1249" s="5"/>
      <c r="C1249" s="5"/>
      <c r="D1249" s="5"/>
      <c r="E1249" s="5"/>
      <c r="F1249" s="5"/>
      <c r="G1249" s="5"/>
      <c r="H1249" s="5"/>
    </row>
    <row r="1250" spans="1:8">
      <c r="A1250" s="5"/>
      <c r="B1250" s="5"/>
      <c r="C1250" s="5"/>
      <c r="D1250" s="5"/>
      <c r="E1250" s="5"/>
      <c r="F1250" s="5"/>
      <c r="G1250" s="5"/>
      <c r="H1250" s="5"/>
    </row>
    <row r="1251" spans="1:8">
      <c r="A1251" s="5"/>
      <c r="B1251" s="5"/>
      <c r="C1251" s="5"/>
      <c r="D1251" s="5"/>
      <c r="E1251" s="5"/>
      <c r="F1251" s="5"/>
      <c r="G1251" s="5"/>
      <c r="H1251" s="5"/>
    </row>
    <row r="1252" spans="1:8">
      <c r="A1252" s="5"/>
      <c r="B1252" s="5"/>
      <c r="C1252" s="5"/>
      <c r="D1252" s="5"/>
      <c r="E1252" s="5"/>
      <c r="F1252" s="5"/>
      <c r="G1252" s="5"/>
      <c r="H1252" s="5"/>
    </row>
    <row r="1253" spans="1:8">
      <c r="A1253" s="5"/>
      <c r="B1253" s="5"/>
      <c r="C1253" s="5"/>
      <c r="D1253" s="5"/>
      <c r="E1253" s="5"/>
      <c r="F1253" s="5"/>
      <c r="G1253" s="5"/>
      <c r="H1253" s="5"/>
    </row>
    <row r="1254" spans="1:8">
      <c r="A1254" s="5"/>
      <c r="B1254" s="5"/>
      <c r="C1254" s="5"/>
      <c r="D1254" s="5"/>
      <c r="E1254" s="5"/>
      <c r="F1254" s="5"/>
      <c r="G1254" s="5"/>
      <c r="H1254" s="5"/>
    </row>
    <row r="1255" spans="1:8">
      <c r="A1255" s="5"/>
      <c r="B1255" s="5"/>
      <c r="C1255" s="5"/>
      <c r="D1255" s="5"/>
      <c r="E1255" s="5"/>
      <c r="F1255" s="5"/>
      <c r="G1255" s="5"/>
      <c r="H1255" s="5"/>
    </row>
    <row r="1256" spans="1:8">
      <c r="A1256" s="5"/>
      <c r="B1256" s="5"/>
      <c r="C1256" s="5"/>
      <c r="D1256" s="5"/>
      <c r="E1256" s="5"/>
      <c r="F1256" s="5"/>
      <c r="G1256" s="5"/>
      <c r="H1256" s="5"/>
    </row>
    <row r="1257" spans="1:8">
      <c r="A1257" s="5"/>
      <c r="B1257" s="5"/>
      <c r="C1257" s="5"/>
      <c r="D1257" s="5"/>
      <c r="E1257" s="5"/>
      <c r="F1257" s="5"/>
      <c r="G1257" s="5"/>
      <c r="H1257" s="5"/>
    </row>
    <row r="1258" spans="1:8">
      <c r="A1258" s="5"/>
      <c r="B1258" s="5"/>
      <c r="C1258" s="5"/>
      <c r="D1258" s="5"/>
      <c r="E1258" s="5"/>
      <c r="F1258" s="5"/>
      <c r="G1258" s="5"/>
      <c r="H1258" s="5"/>
    </row>
    <row r="1259" spans="1:8">
      <c r="A1259" s="5"/>
      <c r="B1259" s="5"/>
      <c r="C1259" s="5"/>
      <c r="D1259" s="5"/>
      <c r="E1259" s="5"/>
      <c r="F1259" s="5"/>
      <c r="G1259" s="5"/>
      <c r="H1259" s="5"/>
    </row>
    <row r="1260" spans="1:8">
      <c r="A1260" s="5"/>
      <c r="B1260" s="5"/>
      <c r="C1260" s="5"/>
      <c r="D1260" s="5"/>
      <c r="E1260" s="5"/>
      <c r="F1260" s="5"/>
      <c r="G1260" s="5"/>
      <c r="H1260" s="5"/>
    </row>
    <row r="1261" spans="1:8">
      <c r="A1261" s="5"/>
      <c r="B1261" s="5"/>
      <c r="C1261" s="5"/>
      <c r="D1261" s="5"/>
      <c r="E1261" s="5"/>
      <c r="F1261" s="5"/>
      <c r="G1261" s="5"/>
      <c r="H1261" s="5"/>
    </row>
    <row r="1262" spans="1:8">
      <c r="A1262" s="5"/>
      <c r="B1262" s="5"/>
      <c r="C1262" s="5"/>
      <c r="D1262" s="5"/>
      <c r="E1262" s="5"/>
      <c r="F1262" s="5"/>
      <c r="G1262" s="5"/>
      <c r="H1262" s="5"/>
    </row>
    <row r="1263" spans="1:8">
      <c r="A1263" s="5"/>
      <c r="B1263" s="5"/>
      <c r="C1263" s="5"/>
      <c r="D1263" s="5"/>
      <c r="E1263" s="5"/>
      <c r="F1263" s="5"/>
      <c r="G1263" s="5"/>
      <c r="H1263" s="5"/>
    </row>
    <row r="1264" spans="1:8">
      <c r="A1264" s="5"/>
      <c r="B1264" s="5"/>
      <c r="C1264" s="5"/>
      <c r="D1264" s="5"/>
      <c r="E1264" s="5"/>
      <c r="F1264" s="5"/>
      <c r="G1264" s="5"/>
      <c r="H1264" s="5"/>
    </row>
    <row r="1265" spans="1:8">
      <c r="A1265" s="5"/>
      <c r="B1265" s="5"/>
      <c r="C1265" s="5"/>
      <c r="D1265" s="5"/>
      <c r="E1265" s="5"/>
      <c r="F1265" s="5"/>
      <c r="G1265" s="5"/>
      <c r="H1265" s="5"/>
    </row>
    <row r="1266" spans="1:8">
      <c r="A1266" s="5"/>
      <c r="B1266" s="5"/>
      <c r="C1266" s="5"/>
      <c r="D1266" s="5"/>
      <c r="E1266" s="5"/>
      <c r="F1266" s="5"/>
      <c r="G1266" s="5"/>
      <c r="H1266" s="5"/>
    </row>
    <row r="1267" spans="1:8">
      <c r="A1267" s="5"/>
      <c r="B1267" s="5"/>
      <c r="C1267" s="5"/>
      <c r="D1267" s="5"/>
      <c r="E1267" s="5"/>
      <c r="F1267" s="5"/>
      <c r="G1267" s="5"/>
      <c r="H1267" s="5"/>
    </row>
    <row r="1268" spans="1:8">
      <c r="A1268" s="5"/>
      <c r="B1268" s="5"/>
      <c r="C1268" s="5"/>
      <c r="D1268" s="5"/>
      <c r="E1268" s="5"/>
      <c r="F1268" s="5"/>
      <c r="G1268" s="5"/>
      <c r="H1268" s="5"/>
    </row>
    <row r="1269" spans="1:8">
      <c r="A1269" s="5"/>
      <c r="B1269" s="5"/>
      <c r="C1269" s="5"/>
      <c r="D1269" s="5"/>
      <c r="E1269" s="5"/>
      <c r="F1269" s="5"/>
      <c r="G1269" s="5"/>
      <c r="H1269" s="5"/>
    </row>
    <row r="1270" spans="1:8">
      <c r="A1270" s="5"/>
      <c r="B1270" s="5"/>
      <c r="C1270" s="5"/>
      <c r="D1270" s="5"/>
      <c r="E1270" s="5"/>
      <c r="F1270" s="5"/>
      <c r="G1270" s="5"/>
      <c r="H1270" s="5"/>
    </row>
    <row r="1271" spans="1:8">
      <c r="A1271" s="5"/>
      <c r="B1271" s="5"/>
      <c r="C1271" s="5"/>
      <c r="D1271" s="5"/>
      <c r="E1271" s="5"/>
      <c r="F1271" s="5"/>
      <c r="G1271" s="5"/>
      <c r="H1271" s="5"/>
    </row>
    <row r="1272" spans="1:8">
      <c r="A1272" s="5"/>
      <c r="B1272" s="5"/>
      <c r="C1272" s="5"/>
      <c r="D1272" s="5"/>
      <c r="E1272" s="5"/>
      <c r="F1272" s="5"/>
      <c r="G1272" s="5"/>
      <c r="H1272" s="5"/>
    </row>
    <row r="1273" spans="1:8">
      <c r="A1273" s="5"/>
      <c r="B1273" s="5"/>
      <c r="C1273" s="5"/>
      <c r="D1273" s="5"/>
      <c r="E1273" s="5"/>
      <c r="F1273" s="5"/>
      <c r="G1273" s="5"/>
      <c r="H1273" s="5"/>
    </row>
    <row r="1274" spans="1:8">
      <c r="A1274" s="5"/>
      <c r="B1274" s="5"/>
      <c r="C1274" s="5"/>
      <c r="D1274" s="5"/>
      <c r="E1274" s="5"/>
      <c r="F1274" s="5"/>
      <c r="G1274" s="5"/>
      <c r="H1274" s="5"/>
    </row>
    <row r="1275" spans="1:8">
      <c r="A1275" s="5"/>
      <c r="B1275" s="5"/>
      <c r="C1275" s="5"/>
      <c r="D1275" s="5"/>
      <c r="E1275" s="5"/>
      <c r="F1275" s="5"/>
      <c r="G1275" s="5"/>
      <c r="H1275" s="5"/>
    </row>
    <row r="1276" spans="1:8">
      <c r="A1276" s="5"/>
      <c r="B1276" s="5"/>
      <c r="C1276" s="5"/>
      <c r="D1276" s="5"/>
      <c r="E1276" s="5"/>
      <c r="F1276" s="5"/>
      <c r="G1276" s="5"/>
      <c r="H1276" s="5"/>
    </row>
    <row r="1277" spans="1:8">
      <c r="A1277" s="5"/>
      <c r="B1277" s="5"/>
      <c r="C1277" s="5"/>
      <c r="D1277" s="5"/>
      <c r="E1277" s="5"/>
      <c r="F1277" s="5"/>
      <c r="G1277" s="5"/>
      <c r="H1277" s="5"/>
    </row>
    <row r="1278" spans="1:8">
      <c r="A1278" s="5"/>
      <c r="B1278" s="5"/>
      <c r="C1278" s="5"/>
      <c r="D1278" s="5"/>
      <c r="E1278" s="5"/>
      <c r="F1278" s="5"/>
      <c r="G1278" s="5"/>
      <c r="H1278" s="5"/>
    </row>
    <row r="1279" spans="1:8">
      <c r="A1279" s="5"/>
      <c r="B1279" s="5"/>
      <c r="C1279" s="5"/>
      <c r="D1279" s="5"/>
      <c r="E1279" s="5"/>
      <c r="F1279" s="5"/>
      <c r="G1279" s="5"/>
      <c r="H1279" s="5"/>
    </row>
    <row r="1280" spans="1:8">
      <c r="A1280" s="5"/>
      <c r="B1280" s="7"/>
      <c r="C1280" s="7"/>
      <c r="D1280" s="7"/>
      <c r="E1280" s="7"/>
      <c r="F1280" s="7"/>
      <c r="G1280" s="7"/>
      <c r="H1280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BD9B0-3FAE-4141-A79A-533DF0B5D145}">
  <dimension ref="A1:B131"/>
  <sheetViews>
    <sheetView workbookViewId="0">
      <selection sqref="A1:B1048576"/>
    </sheetView>
  </sheetViews>
  <sheetFormatPr defaultRowHeight="15.5"/>
  <cols>
    <col min="1" max="1" width="13.1640625" bestFit="1" customWidth="1"/>
    <col min="2" max="2" width="21.6640625" bestFit="1" customWidth="1"/>
  </cols>
  <sheetData>
    <row r="1" spans="1:2">
      <c r="A1" t="s">
        <v>211</v>
      </c>
      <c r="B1" t="s">
        <v>212</v>
      </c>
    </row>
    <row r="2" spans="1:2">
      <c r="A2" t="s">
        <v>3</v>
      </c>
      <c r="B2" t="s">
        <v>5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161</v>
      </c>
    </row>
    <row r="5" spans="1:2">
      <c r="A5" t="s">
        <v>7</v>
      </c>
      <c r="B5" t="s">
        <v>161</v>
      </c>
    </row>
    <row r="6" spans="1:2">
      <c r="A6" t="s">
        <v>8</v>
      </c>
      <c r="B6" t="s">
        <v>161</v>
      </c>
    </row>
    <row r="7" spans="1:2">
      <c r="A7" t="s">
        <v>9</v>
      </c>
      <c r="B7" t="s">
        <v>5</v>
      </c>
    </row>
    <row r="8" spans="1:2">
      <c r="A8" t="s">
        <v>10</v>
      </c>
      <c r="B8" t="s">
        <v>5</v>
      </c>
    </row>
    <row r="9" spans="1:2">
      <c r="A9" t="s">
        <v>11</v>
      </c>
      <c r="B9" t="s">
        <v>161</v>
      </c>
    </row>
    <row r="10" spans="1:2">
      <c r="A10" t="s">
        <v>12</v>
      </c>
      <c r="B10" t="s">
        <v>161</v>
      </c>
    </row>
    <row r="11" spans="1:2">
      <c r="A11" t="s">
        <v>13</v>
      </c>
      <c r="B11" t="s">
        <v>161</v>
      </c>
    </row>
    <row r="12" spans="1:2">
      <c r="A12" t="s">
        <v>14</v>
      </c>
      <c r="B12" t="s">
        <v>161</v>
      </c>
    </row>
    <row r="13" spans="1:2">
      <c r="A13" t="s">
        <v>15</v>
      </c>
      <c r="B13" t="s">
        <v>161</v>
      </c>
    </row>
    <row r="14" spans="1:2">
      <c r="A14" t="s">
        <v>16</v>
      </c>
      <c r="B14" t="s">
        <v>5</v>
      </c>
    </row>
    <row r="15" spans="1:2">
      <c r="A15" t="s">
        <v>17</v>
      </c>
      <c r="B15" t="s">
        <v>161</v>
      </c>
    </row>
    <row r="16" spans="1:2">
      <c r="A16" t="s">
        <v>18</v>
      </c>
      <c r="B16" t="s">
        <v>5</v>
      </c>
    </row>
    <row r="17" spans="1:2">
      <c r="A17" t="s">
        <v>131</v>
      </c>
      <c r="B17" t="s">
        <v>213</v>
      </c>
    </row>
    <row r="18" spans="1:2">
      <c r="A18" t="s">
        <v>20</v>
      </c>
      <c r="B18" t="s">
        <v>5</v>
      </c>
    </row>
    <row r="19" spans="1:2">
      <c r="A19" t="s">
        <v>21</v>
      </c>
      <c r="B19" t="s">
        <v>161</v>
      </c>
    </row>
    <row r="20" spans="1:2">
      <c r="A20" t="s">
        <v>22</v>
      </c>
      <c r="B20" t="s">
        <v>5</v>
      </c>
    </row>
    <row r="21" spans="1:2">
      <c r="A21" t="s">
        <v>23</v>
      </c>
      <c r="B21" t="s">
        <v>161</v>
      </c>
    </row>
    <row r="22" spans="1:2">
      <c r="A22" t="s">
        <v>132</v>
      </c>
      <c r="B22" t="s">
        <v>213</v>
      </c>
    </row>
    <row r="23" spans="1:2">
      <c r="A23" t="s">
        <v>136</v>
      </c>
      <c r="B23" t="s">
        <v>213</v>
      </c>
    </row>
    <row r="24" spans="1:2">
      <c r="A24" t="s">
        <v>24</v>
      </c>
      <c r="B24" t="s">
        <v>5</v>
      </c>
    </row>
    <row r="25" spans="1:2">
      <c r="A25" t="s">
        <v>25</v>
      </c>
      <c r="B25" t="s">
        <v>5</v>
      </c>
    </row>
    <row r="26" spans="1:2">
      <c r="A26" t="s">
        <v>26</v>
      </c>
      <c r="B26" t="s">
        <v>5</v>
      </c>
    </row>
    <row r="27" spans="1:2">
      <c r="A27" t="s">
        <v>27</v>
      </c>
      <c r="B27" t="s">
        <v>161</v>
      </c>
    </row>
    <row r="28" spans="1:2">
      <c r="A28" t="s">
        <v>28</v>
      </c>
      <c r="B28" t="s">
        <v>5</v>
      </c>
    </row>
    <row r="29" spans="1:2">
      <c r="A29" t="s">
        <v>29</v>
      </c>
      <c r="B29" t="s">
        <v>5</v>
      </c>
    </row>
    <row r="30" spans="1:2">
      <c r="A30" t="s">
        <v>30</v>
      </c>
      <c r="B30" t="s">
        <v>161</v>
      </c>
    </row>
    <row r="31" spans="1:2">
      <c r="A31" t="s">
        <v>31</v>
      </c>
      <c r="B31" t="s">
        <v>5</v>
      </c>
    </row>
    <row r="32" spans="1:2">
      <c r="A32" t="s">
        <v>32</v>
      </c>
      <c r="B32" t="s">
        <v>161</v>
      </c>
    </row>
    <row r="33" spans="1:2">
      <c r="A33" t="s">
        <v>33</v>
      </c>
      <c r="B33" t="s">
        <v>161</v>
      </c>
    </row>
    <row r="34" spans="1:2">
      <c r="A34" t="s">
        <v>34</v>
      </c>
      <c r="B34" t="s">
        <v>35</v>
      </c>
    </row>
    <row r="35" spans="1:2">
      <c r="A35" t="s">
        <v>36</v>
      </c>
      <c r="B35" t="s">
        <v>161</v>
      </c>
    </row>
    <row r="36" spans="1:2">
      <c r="A36" t="s">
        <v>37</v>
      </c>
      <c r="B36" t="s">
        <v>35</v>
      </c>
    </row>
    <row r="37" spans="1:2">
      <c r="A37" t="s">
        <v>38</v>
      </c>
      <c r="B37" t="s">
        <v>35</v>
      </c>
    </row>
    <row r="38" spans="1:2">
      <c r="A38" t="s">
        <v>39</v>
      </c>
      <c r="B38" t="s">
        <v>161</v>
      </c>
    </row>
    <row r="39" spans="1:2">
      <c r="A39" t="s">
        <v>40</v>
      </c>
      <c r="B39" t="s">
        <v>35</v>
      </c>
    </row>
    <row r="40" spans="1:2">
      <c r="A40" t="s">
        <v>41</v>
      </c>
      <c r="B40" t="s">
        <v>161</v>
      </c>
    </row>
    <row r="41" spans="1:2">
      <c r="A41" t="s">
        <v>42</v>
      </c>
      <c r="B41" t="s">
        <v>161</v>
      </c>
    </row>
    <row r="42" spans="1:2">
      <c r="A42" t="s">
        <v>43</v>
      </c>
      <c r="B42" t="s">
        <v>161</v>
      </c>
    </row>
    <row r="43" spans="1:2">
      <c r="A43" t="s">
        <v>44</v>
      </c>
      <c r="B43" t="s">
        <v>161</v>
      </c>
    </row>
    <row r="44" spans="1:2">
      <c r="A44" t="s">
        <v>45</v>
      </c>
      <c r="B44" t="s">
        <v>207</v>
      </c>
    </row>
    <row r="45" spans="1:2">
      <c r="A45" t="s">
        <v>46</v>
      </c>
      <c r="B45" t="s">
        <v>207</v>
      </c>
    </row>
    <row r="46" spans="1:2">
      <c r="A46" t="s">
        <v>47</v>
      </c>
      <c r="B46" t="s">
        <v>161</v>
      </c>
    </row>
    <row r="47" spans="1:2">
      <c r="A47" t="s">
        <v>48</v>
      </c>
      <c r="B47" t="s">
        <v>161</v>
      </c>
    </row>
    <row r="48" spans="1:2">
      <c r="A48" t="s">
        <v>49</v>
      </c>
      <c r="B48" t="s">
        <v>161</v>
      </c>
    </row>
    <row r="49" spans="1:2">
      <c r="A49" t="s">
        <v>50</v>
      </c>
      <c r="B49" t="s">
        <v>161</v>
      </c>
    </row>
    <row r="50" spans="1:2">
      <c r="A50" t="s">
        <v>51</v>
      </c>
      <c r="B50" t="s">
        <v>207</v>
      </c>
    </row>
    <row r="51" spans="1:2">
      <c r="A51" t="s">
        <v>52</v>
      </c>
      <c r="B51" t="s">
        <v>161</v>
      </c>
    </row>
    <row r="52" spans="1:2">
      <c r="A52" t="s">
        <v>53</v>
      </c>
      <c r="B52" t="s">
        <v>161</v>
      </c>
    </row>
    <row r="53" spans="1:2">
      <c r="A53" t="s">
        <v>133</v>
      </c>
      <c r="B53" t="s">
        <v>5</v>
      </c>
    </row>
    <row r="54" spans="1:2">
      <c r="A54" t="s">
        <v>134</v>
      </c>
      <c r="B54" t="s">
        <v>161</v>
      </c>
    </row>
    <row r="55" spans="1:2">
      <c r="A55" t="s">
        <v>135</v>
      </c>
      <c r="B55" t="s">
        <v>5</v>
      </c>
    </row>
    <row r="56" spans="1:2">
      <c r="A56" t="s">
        <v>55</v>
      </c>
      <c r="B56" t="s">
        <v>161</v>
      </c>
    </row>
    <row r="57" spans="1:2">
      <c r="A57" t="s">
        <v>56</v>
      </c>
      <c r="B57" t="s">
        <v>161</v>
      </c>
    </row>
    <row r="58" spans="1:2">
      <c r="A58" t="s">
        <v>57</v>
      </c>
      <c r="B58" t="s">
        <v>161</v>
      </c>
    </row>
    <row r="59" spans="1:2">
      <c r="A59" t="s">
        <v>58</v>
      </c>
      <c r="B59" t="s">
        <v>178</v>
      </c>
    </row>
    <row r="60" spans="1:2">
      <c r="A60" t="s">
        <v>59</v>
      </c>
      <c r="B60" t="s">
        <v>161</v>
      </c>
    </row>
    <row r="61" spans="1:2">
      <c r="A61" t="s">
        <v>60</v>
      </c>
      <c r="B61" t="s">
        <v>178</v>
      </c>
    </row>
    <row r="62" spans="1:2">
      <c r="A62" t="s">
        <v>61</v>
      </c>
      <c r="B62" t="s">
        <v>178</v>
      </c>
    </row>
    <row r="63" spans="1:2">
      <c r="A63" t="s">
        <v>62</v>
      </c>
      <c r="B63" t="s">
        <v>19</v>
      </c>
    </row>
    <row r="64" spans="1:2">
      <c r="A64" t="s">
        <v>63</v>
      </c>
      <c r="B64" t="s">
        <v>161</v>
      </c>
    </row>
    <row r="65" spans="1:2">
      <c r="A65" t="s">
        <v>137</v>
      </c>
      <c r="B65" t="s">
        <v>161</v>
      </c>
    </row>
    <row r="66" spans="1:2">
      <c r="A66" t="s">
        <v>138</v>
      </c>
      <c r="B66" t="s">
        <v>54</v>
      </c>
    </row>
    <row r="67" spans="1:2">
      <c r="A67" t="s">
        <v>139</v>
      </c>
      <c r="B67" t="s">
        <v>54</v>
      </c>
    </row>
    <row r="68" spans="1:2">
      <c r="A68" t="s">
        <v>140</v>
      </c>
      <c r="B68" t="s">
        <v>161</v>
      </c>
    </row>
    <row r="69" spans="1:2">
      <c r="A69" t="s">
        <v>141</v>
      </c>
      <c r="B69" t="s">
        <v>54</v>
      </c>
    </row>
    <row r="70" spans="1:2">
      <c r="A70" t="s">
        <v>143</v>
      </c>
      <c r="B70" t="s">
        <v>54</v>
      </c>
    </row>
    <row r="71" spans="1:2">
      <c r="A71" t="s">
        <v>64</v>
      </c>
      <c r="B71" t="s">
        <v>19</v>
      </c>
    </row>
    <row r="72" spans="1:2">
      <c r="A72" t="s">
        <v>65</v>
      </c>
      <c r="B72" t="s">
        <v>161</v>
      </c>
    </row>
    <row r="73" spans="1:2">
      <c r="A73" t="s">
        <v>67</v>
      </c>
      <c r="B73" t="s">
        <v>161</v>
      </c>
    </row>
    <row r="74" spans="1:2">
      <c r="A74" t="s">
        <v>68</v>
      </c>
      <c r="B74" t="s">
        <v>66</v>
      </c>
    </row>
    <row r="75" spans="1:2">
      <c r="A75" t="s">
        <v>69</v>
      </c>
      <c r="B75" t="s">
        <v>66</v>
      </c>
    </row>
    <row r="76" spans="1:2">
      <c r="A76" t="s">
        <v>70</v>
      </c>
      <c r="B76" t="s">
        <v>179</v>
      </c>
    </row>
    <row r="77" spans="1:2">
      <c r="A77" t="s">
        <v>71</v>
      </c>
      <c r="B77" t="s">
        <v>161</v>
      </c>
    </row>
    <row r="78" spans="1:2">
      <c r="A78" t="s">
        <v>73</v>
      </c>
      <c r="B78" t="s">
        <v>72</v>
      </c>
    </row>
    <row r="79" spans="1:2">
      <c r="A79" t="s">
        <v>74</v>
      </c>
      <c r="B79" t="s">
        <v>72</v>
      </c>
    </row>
    <row r="80" spans="1:2">
      <c r="A80" t="s">
        <v>75</v>
      </c>
      <c r="B80" t="s">
        <v>66</v>
      </c>
    </row>
    <row r="81" spans="1:2">
      <c r="A81" t="s">
        <v>76</v>
      </c>
      <c r="B81" t="s">
        <v>161</v>
      </c>
    </row>
    <row r="82" spans="1:2">
      <c r="A82" t="s">
        <v>77</v>
      </c>
      <c r="B82" t="s">
        <v>179</v>
      </c>
    </row>
    <row r="83" spans="1:2">
      <c r="A83" t="s">
        <v>78</v>
      </c>
      <c r="B83" t="s">
        <v>179</v>
      </c>
    </row>
    <row r="84" spans="1:2">
      <c r="A84" t="s">
        <v>79</v>
      </c>
      <c r="B84" t="s">
        <v>161</v>
      </c>
    </row>
    <row r="85" spans="1:2">
      <c r="A85" t="s">
        <v>168</v>
      </c>
      <c r="B85" t="s">
        <v>161</v>
      </c>
    </row>
    <row r="86" spans="1:2">
      <c r="A86" t="s">
        <v>80</v>
      </c>
      <c r="B86" t="s">
        <v>81</v>
      </c>
    </row>
    <row r="87" spans="1:2">
      <c r="A87" t="s">
        <v>116</v>
      </c>
      <c r="B87" t="s">
        <v>129</v>
      </c>
    </row>
    <row r="88" spans="1:2">
      <c r="A88" t="s">
        <v>117</v>
      </c>
      <c r="B88" t="s">
        <v>129</v>
      </c>
    </row>
    <row r="89" spans="1:2">
      <c r="A89" t="s">
        <v>118</v>
      </c>
      <c r="B89" t="s">
        <v>130</v>
      </c>
    </row>
    <row r="90" spans="1:2">
      <c r="A90" t="s">
        <v>119</v>
      </c>
      <c r="B90" t="s">
        <v>129</v>
      </c>
    </row>
    <row r="91" spans="1:2">
      <c r="A91" t="s">
        <v>120</v>
      </c>
      <c r="B91" t="s">
        <v>130</v>
      </c>
    </row>
    <row r="92" spans="1:2">
      <c r="A92" t="s">
        <v>121</v>
      </c>
      <c r="B92" t="s">
        <v>130</v>
      </c>
    </row>
    <row r="93" spans="1:2">
      <c r="A93" t="s">
        <v>122</v>
      </c>
      <c r="B93" t="s">
        <v>161</v>
      </c>
    </row>
    <row r="94" spans="1:2">
      <c r="A94" t="s">
        <v>123</v>
      </c>
      <c r="B94" t="s">
        <v>164</v>
      </c>
    </row>
    <row r="95" spans="1:2">
      <c r="A95" t="s">
        <v>124</v>
      </c>
      <c r="B95" t="s">
        <v>163</v>
      </c>
    </row>
    <row r="96" spans="1:2">
      <c r="A96" t="s">
        <v>125</v>
      </c>
      <c r="B96" t="s">
        <v>164</v>
      </c>
    </row>
    <row r="97" spans="1:2">
      <c r="A97" t="s">
        <v>126</v>
      </c>
      <c r="B97" t="s">
        <v>163</v>
      </c>
    </row>
    <row r="98" spans="1:2">
      <c r="A98" t="s">
        <v>127</v>
      </c>
      <c r="B98" t="s">
        <v>208</v>
      </c>
    </row>
    <row r="99" spans="1:2">
      <c r="A99" t="s">
        <v>128</v>
      </c>
      <c r="B99" t="s">
        <v>164</v>
      </c>
    </row>
    <row r="100" spans="1:2">
      <c r="A100" t="s">
        <v>166</v>
      </c>
      <c r="B100" t="s">
        <v>209</v>
      </c>
    </row>
    <row r="101" spans="1:2">
      <c r="A101" t="s">
        <v>82</v>
      </c>
      <c r="B101" t="s">
        <v>83</v>
      </c>
    </row>
    <row r="102" spans="1:2">
      <c r="A102" t="s">
        <v>167</v>
      </c>
      <c r="B102" t="s">
        <v>84</v>
      </c>
    </row>
    <row r="103" spans="1:2">
      <c r="A103" t="s">
        <v>85</v>
      </c>
      <c r="B103" t="s">
        <v>84</v>
      </c>
    </row>
    <row r="104" spans="1:2">
      <c r="A104" t="s">
        <v>86</v>
      </c>
      <c r="B104" t="s">
        <v>83</v>
      </c>
    </row>
    <row r="105" spans="1:2">
      <c r="A105" t="s">
        <v>87</v>
      </c>
      <c r="B105" t="s">
        <v>83</v>
      </c>
    </row>
    <row r="106" spans="1:2">
      <c r="A106" t="s">
        <v>88</v>
      </c>
      <c r="B106" t="s">
        <v>95</v>
      </c>
    </row>
    <row r="107" spans="1:2">
      <c r="A107" t="s">
        <v>89</v>
      </c>
      <c r="B107" t="s">
        <v>161</v>
      </c>
    </row>
    <row r="108" spans="1:2">
      <c r="A108" t="s">
        <v>90</v>
      </c>
      <c r="B108" t="s">
        <v>95</v>
      </c>
    </row>
    <row r="109" spans="1:2">
      <c r="A109" t="s">
        <v>91</v>
      </c>
      <c r="B109" t="s">
        <v>95</v>
      </c>
    </row>
    <row r="110" spans="1:2">
      <c r="A110" t="s">
        <v>92</v>
      </c>
      <c r="B110" t="s">
        <v>95</v>
      </c>
    </row>
    <row r="111" spans="1:2">
      <c r="A111" t="s">
        <v>93</v>
      </c>
      <c r="B111" t="s">
        <v>95</v>
      </c>
    </row>
    <row r="112" spans="1:2">
      <c r="A112" t="s">
        <v>94</v>
      </c>
      <c r="B112" t="s">
        <v>169</v>
      </c>
    </row>
    <row r="113" spans="1:2">
      <c r="A113" t="s">
        <v>96</v>
      </c>
      <c r="B113" t="s">
        <v>97</v>
      </c>
    </row>
    <row r="114" spans="1:2">
      <c r="A114" t="s">
        <v>142</v>
      </c>
      <c r="B114" t="s">
        <v>161</v>
      </c>
    </row>
    <row r="115" spans="1:2">
      <c r="A115" t="s">
        <v>98</v>
      </c>
      <c r="B115" t="s">
        <v>97</v>
      </c>
    </row>
    <row r="116" spans="1:2">
      <c r="A116" t="s">
        <v>99</v>
      </c>
      <c r="B116" t="s">
        <v>100</v>
      </c>
    </row>
    <row r="117" spans="1:2">
      <c r="A117" t="s">
        <v>101</v>
      </c>
      <c r="B117" t="s">
        <v>97</v>
      </c>
    </row>
    <row r="118" spans="1:2">
      <c r="A118" t="s">
        <v>102</v>
      </c>
      <c r="B118" t="s">
        <v>100</v>
      </c>
    </row>
    <row r="119" spans="1:2">
      <c r="A119" t="s">
        <v>103</v>
      </c>
      <c r="B119" t="s">
        <v>100</v>
      </c>
    </row>
    <row r="120" spans="1:2">
      <c r="A120" t="s">
        <v>104</v>
      </c>
      <c r="B120" t="s">
        <v>100</v>
      </c>
    </row>
    <row r="121" spans="1:2">
      <c r="A121" t="s">
        <v>105</v>
      </c>
      <c r="B121" t="s">
        <v>97</v>
      </c>
    </row>
    <row r="122" spans="1:2">
      <c r="A122" t="s">
        <v>106</v>
      </c>
      <c r="B122" t="s">
        <v>100</v>
      </c>
    </row>
    <row r="123" spans="1:2">
      <c r="A123" t="s">
        <v>107</v>
      </c>
      <c r="B123" t="s">
        <v>97</v>
      </c>
    </row>
    <row r="124" spans="1:2">
      <c r="A124" t="s">
        <v>108</v>
      </c>
      <c r="B124" t="s">
        <v>95</v>
      </c>
    </row>
    <row r="125" spans="1:2">
      <c r="A125" t="s">
        <v>109</v>
      </c>
      <c r="B125" t="s">
        <v>95</v>
      </c>
    </row>
    <row r="126" spans="1:2">
      <c r="A126" t="s">
        <v>110</v>
      </c>
      <c r="B126" t="s">
        <v>95</v>
      </c>
    </row>
    <row r="127" spans="1:2">
      <c r="A127" t="s">
        <v>111</v>
      </c>
      <c r="B127" t="s">
        <v>95</v>
      </c>
    </row>
    <row r="128" spans="1:2">
      <c r="A128" t="s">
        <v>112</v>
      </c>
      <c r="B128" t="s">
        <v>95</v>
      </c>
    </row>
    <row r="129" spans="1:2">
      <c r="A129" t="s">
        <v>113</v>
      </c>
      <c r="B129" t="s">
        <v>97</v>
      </c>
    </row>
    <row r="130" spans="1:2">
      <c r="A130" t="s">
        <v>114</v>
      </c>
      <c r="B130" t="s">
        <v>210</v>
      </c>
    </row>
    <row r="131" spans="1:2">
      <c r="A131" t="s">
        <v>115</v>
      </c>
      <c r="B131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by_zipcode</vt:lpstr>
      <vt:lpstr>转单情况</vt:lpstr>
      <vt:lpstr>YW邮编覆盖</vt:lpstr>
      <vt:lpstr>SWFTX邮编覆盖</vt:lpstr>
      <vt:lpstr>单量概况</vt:lpstr>
      <vt:lpstr>全量</vt:lpstr>
      <vt:lpstr>AE</vt:lpstr>
      <vt:lpstr>线路DSP对应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Siming Shen</cp:lastModifiedBy>
  <dcterms:created xsi:type="dcterms:W3CDTF">2006-09-16T00:00:00Z</dcterms:created>
  <dcterms:modified xsi:type="dcterms:W3CDTF">2026-07-09T17:49:50Z</dcterms:modified>
</cp:coreProperties>
</file>